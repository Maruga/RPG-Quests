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blic\_Clienti\Maruga\Giochi\Vampiri\Vault\Vampiri\Investigare\Combattimento\"/>
    </mc:Choice>
  </mc:AlternateContent>
  <xr:revisionPtr revIDLastSave="0" documentId="13_ncr:1_{690728B6-64C3-43A7-AE5E-A4D733E741CB}" xr6:coauthVersionLast="47" xr6:coauthVersionMax="47" xr10:uidLastSave="{00000000-0000-0000-0000-000000000000}"/>
  <bookViews>
    <workbookView xWindow="13005" yWindow="870" windowWidth="25740" windowHeight="15345" xr2:uid="{E618FEDD-1956-4FF0-9586-6DDF5B67912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1" i="1" l="1"/>
  <c r="D40" i="1"/>
  <c r="C41" i="1"/>
  <c r="C40" i="1"/>
  <c r="D36" i="1"/>
  <c r="D35" i="1"/>
  <c r="D31" i="1"/>
  <c r="D30" i="1"/>
  <c r="F36" i="1"/>
  <c r="F35" i="1"/>
  <c r="C36" i="1"/>
  <c r="C35" i="1"/>
  <c r="C31" i="1"/>
  <c r="C30" i="1"/>
  <c r="E41" i="1" l="1"/>
  <c r="F30" i="1"/>
  <c r="F31" i="1"/>
  <c r="E40" i="1"/>
  <c r="E35" i="1"/>
  <c r="G35" i="1" s="1"/>
  <c r="E36" i="1"/>
  <c r="G36" i="1" s="1"/>
  <c r="H36" i="1" l="1"/>
  <c r="I36" i="1" s="1"/>
  <c r="F40" i="1" s="1"/>
  <c r="H35" i="1"/>
  <c r="I35" i="1" s="1"/>
  <c r="I40" i="1" l="1"/>
  <c r="F41" i="1"/>
  <c r="I41" i="1" s="1"/>
</calcChain>
</file>

<file path=xl/sharedStrings.xml><?xml version="1.0" encoding="utf-8"?>
<sst xmlns="http://schemas.openxmlformats.org/spreadsheetml/2006/main" count="72" uniqueCount="50">
  <si>
    <t>Distacco</t>
  </si>
  <si>
    <t>Pazienza</t>
  </si>
  <si>
    <t>Silenzio</t>
  </si>
  <si>
    <t>Lucidità</t>
  </si>
  <si>
    <t>Ascolto</t>
  </si>
  <si>
    <t>Presenza</t>
  </si>
  <si>
    <t>KI</t>
  </si>
  <si>
    <t>PG</t>
  </si>
  <si>
    <t>PNG</t>
  </si>
  <si>
    <t>Pistola</t>
  </si>
  <si>
    <t>Attributo</t>
  </si>
  <si>
    <t>Sparare</t>
  </si>
  <si>
    <t>Estrarre</t>
  </si>
  <si>
    <t>Ricarica</t>
  </si>
  <si>
    <t>Danno</t>
  </si>
  <si>
    <t xml:space="preserve">Iniziativa </t>
  </si>
  <si>
    <t>Valore Attributo</t>
  </si>
  <si>
    <t>Totale</t>
  </si>
  <si>
    <t>Scarto</t>
  </si>
  <si>
    <t>2D6</t>
  </si>
  <si>
    <t xml:space="preserve"> </t>
  </si>
  <si>
    <t>Agg.</t>
  </si>
  <si>
    <t>Difesa</t>
  </si>
  <si>
    <t>Dado</t>
  </si>
  <si>
    <t>B. Pres.</t>
  </si>
  <si>
    <t>Schivare</t>
  </si>
  <si>
    <t>Assorbito</t>
  </si>
  <si>
    <t>Keibo</t>
  </si>
  <si>
    <t>Lotta</t>
  </si>
  <si>
    <t>Colpire</t>
  </si>
  <si>
    <t>Fasi del combattimento</t>
  </si>
  <si>
    <t>Iniziativa</t>
  </si>
  <si>
    <t>Modificatore</t>
  </si>
  <si>
    <t>Modificatore sommato al risultato dei dadi, negativo è meglio.</t>
  </si>
  <si>
    <t>Basso Meglio</t>
  </si>
  <si>
    <t>Attaccare</t>
  </si>
  <si>
    <t>Muoversi</t>
  </si>
  <si>
    <t>Difendersi</t>
  </si>
  <si>
    <t>Attaccare usa arma secondo le regole e velocità dell'arma in base se pronta o no o puntata</t>
  </si>
  <si>
    <t>Muoversi, può muoversi e attaccare con piccoli movimenti oppure movimento pieno</t>
  </si>
  <si>
    <t>Difendersi, è una difesa attivà quind da un vantaggio a chi la usa</t>
  </si>
  <si>
    <t>Copertura</t>
  </si>
  <si>
    <t>Azioni disponibili:</t>
  </si>
  <si>
    <t>tiro 2d6 + modificatore su Presenza + Velocità arma</t>
  </si>
  <si>
    <t>Chi attacca tira 2d6 se superail attributo colpo a segno calcola lo scarto</t>
  </si>
  <si>
    <t>Se uno PG/PNG vuole può aumentare al massimo di 3 la velocità ma sottrarli al dado del tiro</t>
  </si>
  <si>
    <t>Lo scarto dopo i vari modificatori è il danno + il danno dell'arma.</t>
  </si>
  <si>
    <t>Lo scarto si somma al danno perché indica la precisione del colpo.</t>
  </si>
  <si>
    <t>Difesa è il tiro su attributo specifico per arma, più assorbimento più copertura.</t>
  </si>
  <si>
    <t>Distanza di un arma da fuoco da -1 ravvicinato, 0 normale, +1 lontano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</si>
</sst>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EECC-0DD2-436A-A786-BBC5BB4D4980}">
  <dimension ref="A1:I46"/>
  <sheetViews>
    <sheetView tabSelected="1" workbookViewId="0">
      <selection activeCell="A16" sqref="A16"/>
    </sheetView>
  </sheetViews>
  <sheetFormatPr defaultRowHeight="15" x14ac:dyDescent="0.25"/>
  <cols>
    <col min="2" max="5" width="9.140625" style="1"/>
    <col min="6" max="6" width="9.42578125" style="1" bestFit="1" customWidth="1"/>
    <col min="7" max="9" width="9.140625" style="1"/>
  </cols>
  <sheetData>
    <row r="1" spans="1:9" x14ac:dyDescent="0.25">
      <c r="A1" t="s">
        <v>30</v>
      </c>
    </row>
    <row r="3" spans="1:9" x14ac:dyDescent="0.25">
      <c r="A3" t="s">
        <v>31</v>
      </c>
      <c r="B3" s="8" t="s">
        <v>43</v>
      </c>
      <c r="I3" s="9" t="s">
        <v>34</v>
      </c>
    </row>
    <row r="5" spans="1:9" x14ac:dyDescent="0.25">
      <c r="A5" t="s">
        <v>42</v>
      </c>
      <c r="D5" s="1" t="s">
        <v>35</v>
      </c>
      <c r="E5" s="1" t="s">
        <v>36</v>
      </c>
      <c r="F5" s="1" t="s">
        <v>37</v>
      </c>
    </row>
    <row r="6" spans="1:9" x14ac:dyDescent="0.25">
      <c r="A6" t="s">
        <v>38</v>
      </c>
    </row>
    <row r="7" spans="1:9" x14ac:dyDescent="0.25">
      <c r="A7" t="s">
        <v>39</v>
      </c>
    </row>
    <row r="8" spans="1:9" x14ac:dyDescent="0.25">
      <c r="A8" t="s">
        <v>40</v>
      </c>
    </row>
    <row r="10" spans="1:9" x14ac:dyDescent="0.25">
      <c r="A10" t="s">
        <v>44</v>
      </c>
    </row>
    <row r="11" spans="1:9" x14ac:dyDescent="0.25">
      <c r="A11" t="s">
        <v>45</v>
      </c>
    </row>
    <row r="12" spans="1:9" x14ac:dyDescent="0.25">
      <c r="A12" t="s">
        <v>46</v>
      </c>
    </row>
    <row r="13" spans="1:9" x14ac:dyDescent="0.25">
      <c r="A13" t="s">
        <v>47</v>
      </c>
    </row>
    <row r="14" spans="1:9" x14ac:dyDescent="0.25">
      <c r="A14" t="s">
        <v>48</v>
      </c>
    </row>
    <row r="15" spans="1:9" x14ac:dyDescent="0.25">
      <c r="A15" t="s">
        <v>49</v>
      </c>
    </row>
    <row r="19" spans="1:9" x14ac:dyDescent="0.25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3" t="s">
        <v>5</v>
      </c>
      <c r="I19" s="1" t="s">
        <v>6</v>
      </c>
    </row>
    <row r="21" spans="1:9" x14ac:dyDescent="0.25">
      <c r="A21" t="s">
        <v>7</v>
      </c>
      <c r="B21" s="1">
        <v>7</v>
      </c>
      <c r="C21" s="1">
        <v>6</v>
      </c>
      <c r="D21" s="1">
        <v>4</v>
      </c>
      <c r="E21" s="5">
        <v>7</v>
      </c>
      <c r="F21" s="1">
        <v>5</v>
      </c>
      <c r="G21" s="1">
        <v>6</v>
      </c>
      <c r="I21" s="1">
        <v>10</v>
      </c>
    </row>
    <row r="22" spans="1:9" x14ac:dyDescent="0.25">
      <c r="A22" t="s">
        <v>8</v>
      </c>
      <c r="B22" s="1">
        <v>6</v>
      </c>
      <c r="C22" s="1">
        <v>5</v>
      </c>
      <c r="D22" s="1">
        <v>7</v>
      </c>
      <c r="E22" s="5">
        <v>5</v>
      </c>
      <c r="F22" s="1">
        <v>4</v>
      </c>
      <c r="G22" s="1">
        <v>7</v>
      </c>
      <c r="I22" s="1">
        <v>10</v>
      </c>
    </row>
    <row r="24" spans="1:9" x14ac:dyDescent="0.25">
      <c r="B24" s="1" t="s">
        <v>10</v>
      </c>
      <c r="C24" s="1" t="s">
        <v>22</v>
      </c>
      <c r="D24" s="1" t="s">
        <v>12</v>
      </c>
      <c r="E24" s="1" t="s">
        <v>29</v>
      </c>
      <c r="F24" s="1" t="s">
        <v>13</v>
      </c>
      <c r="G24" s="1" t="s">
        <v>14</v>
      </c>
    </row>
    <row r="25" spans="1:9" x14ac:dyDescent="0.25">
      <c r="A25" t="s">
        <v>9</v>
      </c>
      <c r="B25" s="1" t="s">
        <v>3</v>
      </c>
      <c r="C25" s="1" t="s">
        <v>0</v>
      </c>
      <c r="D25" s="1">
        <v>4</v>
      </c>
      <c r="E25" s="1">
        <v>2</v>
      </c>
      <c r="F25" s="1">
        <v>5</v>
      </c>
      <c r="G25" s="1">
        <v>4</v>
      </c>
    </row>
    <row r="26" spans="1:9" x14ac:dyDescent="0.25">
      <c r="A26" t="s">
        <v>27</v>
      </c>
      <c r="B26" s="1" t="s">
        <v>2</v>
      </c>
      <c r="C26" s="1" t="s">
        <v>4</v>
      </c>
      <c r="D26" s="1">
        <v>2</v>
      </c>
      <c r="E26" s="1">
        <v>2</v>
      </c>
      <c r="F26" s="1">
        <v>0</v>
      </c>
      <c r="G26" s="1">
        <v>2</v>
      </c>
    </row>
    <row r="27" spans="1:9" x14ac:dyDescent="0.25">
      <c r="A27" t="s">
        <v>28</v>
      </c>
      <c r="B27" s="1" t="s">
        <v>5</v>
      </c>
      <c r="C27" s="1" t="s">
        <v>1</v>
      </c>
      <c r="D27" s="1">
        <v>1</v>
      </c>
      <c r="E27" s="1">
        <v>1</v>
      </c>
      <c r="F27" s="1">
        <v>0</v>
      </c>
      <c r="G27" s="1">
        <v>1</v>
      </c>
    </row>
    <row r="29" spans="1:9" x14ac:dyDescent="0.25">
      <c r="C29" s="1" t="s">
        <v>19</v>
      </c>
      <c r="D29" s="3" t="s">
        <v>24</v>
      </c>
      <c r="E29" s="4" t="s">
        <v>21</v>
      </c>
      <c r="F29" s="1" t="s">
        <v>17</v>
      </c>
    </row>
    <row r="30" spans="1:9" x14ac:dyDescent="0.25">
      <c r="A30" t="s">
        <v>15</v>
      </c>
      <c r="B30" s="1" t="s">
        <v>7</v>
      </c>
      <c r="C30" s="1">
        <f ca="1">RANDBETWEEN(1,6)+RANDBETWEEN(2,6)</f>
        <v>6</v>
      </c>
      <c r="D30" s="1">
        <f>HLOOKUP(G21,$C$44:$I$45,2,FALSE)</f>
        <v>0</v>
      </c>
      <c r="E30" s="1">
        <v>2</v>
      </c>
      <c r="F30" s="1">
        <f ca="1">C30+D30+E30</f>
        <v>8</v>
      </c>
    </row>
    <row r="31" spans="1:9" x14ac:dyDescent="0.25">
      <c r="B31" s="1" t="s">
        <v>8</v>
      </c>
      <c r="C31" s="1">
        <f ca="1">RANDBETWEEN(1,6)+RANDBETWEEN(2,6)</f>
        <v>12</v>
      </c>
      <c r="D31" s="1">
        <f>HLOOKUP(G22,$C$44:$I$45,2,FALSE)</f>
        <v>-1</v>
      </c>
      <c r="E31" s="1">
        <v>0</v>
      </c>
      <c r="F31" s="1">
        <f ca="1">C31+D31+E31</f>
        <v>11</v>
      </c>
    </row>
    <row r="34" spans="1:9" x14ac:dyDescent="0.25">
      <c r="C34" s="1" t="s">
        <v>19</v>
      </c>
      <c r="D34" s="4" t="s">
        <v>21</v>
      </c>
      <c r="E34" s="1" t="s">
        <v>23</v>
      </c>
      <c r="F34" s="1" t="s">
        <v>3</v>
      </c>
      <c r="G34" s="1" t="s">
        <v>18</v>
      </c>
      <c r="H34" s="1" t="s">
        <v>14</v>
      </c>
      <c r="I34" s="6" t="s">
        <v>17</v>
      </c>
    </row>
    <row r="35" spans="1:9" x14ac:dyDescent="0.25">
      <c r="A35" t="s">
        <v>11</v>
      </c>
      <c r="B35" s="1" t="s">
        <v>7</v>
      </c>
      <c r="C35" s="1">
        <f ca="1">RANDBETWEEN(1,6)+RANDBETWEEN(2,6)</f>
        <v>7</v>
      </c>
      <c r="D35" s="1">
        <f>E30*-1</f>
        <v>-2</v>
      </c>
      <c r="E35" s="1">
        <f ca="1">C35+D35</f>
        <v>5</v>
      </c>
      <c r="F35" s="5">
        <f>E21</f>
        <v>7</v>
      </c>
      <c r="G35" s="1">
        <f ca="1">IF(F35-E35&gt;=0,F35-E35,0)</f>
        <v>2</v>
      </c>
      <c r="H35" s="1">
        <f ca="1">IF(G35=0,0,G25)</f>
        <v>4</v>
      </c>
      <c r="I35" s="7">
        <f ca="1">H35+G35</f>
        <v>6</v>
      </c>
    </row>
    <row r="36" spans="1:9" x14ac:dyDescent="0.25">
      <c r="B36" s="1" t="s">
        <v>8</v>
      </c>
      <c r="C36" s="1">
        <f ca="1">RANDBETWEEN(1,6)+RANDBETWEEN(2,6)</f>
        <v>8</v>
      </c>
      <c r="D36" s="1">
        <f>E31*-1</f>
        <v>0</v>
      </c>
      <c r="E36" s="1">
        <f ca="1">C36+D36</f>
        <v>8</v>
      </c>
      <c r="F36" s="5">
        <f>E22</f>
        <v>5</v>
      </c>
      <c r="G36" s="1">
        <f ca="1">IF(F36-E36&gt;=0,F36-E36,0)</f>
        <v>0</v>
      </c>
      <c r="H36" s="1">
        <f ca="1">IF(G36=0,0,G25)</f>
        <v>0</v>
      </c>
      <c r="I36" s="6">
        <f ca="1">H36+G36</f>
        <v>0</v>
      </c>
    </row>
    <row r="37" spans="1:9" x14ac:dyDescent="0.25">
      <c r="E37" s="1" t="s">
        <v>20</v>
      </c>
    </row>
    <row r="39" spans="1:9" x14ac:dyDescent="0.25">
      <c r="C39" s="1" t="s">
        <v>0</v>
      </c>
      <c r="D39" s="1" t="s">
        <v>19</v>
      </c>
      <c r="E39" s="1" t="s">
        <v>18</v>
      </c>
      <c r="F39" s="6" t="s">
        <v>14</v>
      </c>
      <c r="G39" s="1" t="s">
        <v>26</v>
      </c>
      <c r="H39" s="1" t="s">
        <v>41</v>
      </c>
      <c r="I39" s="1" t="s">
        <v>17</v>
      </c>
    </row>
    <row r="40" spans="1:9" x14ac:dyDescent="0.25">
      <c r="A40" t="s">
        <v>25</v>
      </c>
      <c r="B40" s="1" t="s">
        <v>7</v>
      </c>
      <c r="C40" s="1">
        <f>B21</f>
        <v>7</v>
      </c>
      <c r="D40" s="1">
        <f ca="1">RANDBETWEEN(1,6)+RANDBETWEEN(2,6)</f>
        <v>9</v>
      </c>
      <c r="E40" s="1">
        <f ca="1">IF(D40-C40&gt;0,0,C40-D40)</f>
        <v>0</v>
      </c>
      <c r="F40" s="6">
        <f ca="1">I36</f>
        <v>0</v>
      </c>
      <c r="G40" s="1">
        <v>3</v>
      </c>
      <c r="I40" s="1">
        <f ca="1">F40-G40-E40</f>
        <v>-3</v>
      </c>
    </row>
    <row r="41" spans="1:9" x14ac:dyDescent="0.25">
      <c r="B41" s="1" t="s">
        <v>8</v>
      </c>
      <c r="C41" s="1">
        <f>B22</f>
        <v>6</v>
      </c>
      <c r="D41" s="1">
        <f ca="1">RANDBETWEEN(1,6)+RANDBETWEEN(2,6)</f>
        <v>11</v>
      </c>
      <c r="E41" s="1">
        <f ca="1">IF(D41-C41&gt;0,0,C41-D41)</f>
        <v>0</v>
      </c>
      <c r="F41" s="7">
        <f ca="1">I35</f>
        <v>6</v>
      </c>
      <c r="G41" s="1">
        <v>3</v>
      </c>
      <c r="I41" s="1">
        <f ca="1">F41-G41-E41</f>
        <v>3</v>
      </c>
    </row>
    <row r="44" spans="1:9" x14ac:dyDescent="0.25">
      <c r="A44" t="s">
        <v>16</v>
      </c>
      <c r="C44" s="1">
        <v>4</v>
      </c>
      <c r="D44" s="1">
        <v>5</v>
      </c>
      <c r="E44" s="1">
        <v>6</v>
      </c>
      <c r="F44" s="1">
        <v>7</v>
      </c>
      <c r="G44" s="1">
        <v>8</v>
      </c>
      <c r="H44" s="1">
        <v>9</v>
      </c>
      <c r="I44" s="1">
        <v>10</v>
      </c>
    </row>
    <row r="45" spans="1:9" x14ac:dyDescent="0.25">
      <c r="A45" s="2" t="s">
        <v>32</v>
      </c>
      <c r="B45" s="2"/>
      <c r="C45" s="1">
        <v>2</v>
      </c>
      <c r="D45" s="1">
        <v>1</v>
      </c>
      <c r="E45" s="1">
        <v>0</v>
      </c>
      <c r="F45" s="1">
        <v>-1</v>
      </c>
      <c r="G45" s="1">
        <v>-2</v>
      </c>
      <c r="H45" s="1">
        <v>-3</v>
      </c>
      <c r="I45" s="1">
        <v>-4</v>
      </c>
    </row>
    <row r="46" spans="1:9" x14ac:dyDescent="0.25">
      <c r="A46" t="s">
        <v>33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Bartolini</dc:creator>
  <cp:lastModifiedBy>Claudio Bartolini</cp:lastModifiedBy>
  <cp:lastPrinted>2026-09-02T23:28:24Z</cp:lastPrinted>
  <dcterms:created xsi:type="dcterms:W3CDTF">2026-09-02T23:21:24Z</dcterms:created>
  <dcterms:modified xsi:type="dcterms:W3CDTF">2026-09-03T21:33:01Z</dcterms:modified>
</cp:coreProperties>
</file>