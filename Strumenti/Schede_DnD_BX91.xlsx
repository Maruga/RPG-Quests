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5F06DB14-DB33-4D60-9E6C-721AED6BA3D7}" xr6:coauthVersionLast="47" xr6:coauthVersionMax="47" xr10:uidLastSave="{00000000-0000-0000-0000-000000000000}"/>
  <bookViews>
    <workbookView xWindow="11568" yWindow="0" windowWidth="27396" windowHeight="16656" activeTab="6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Oggetti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C26" i="2"/>
  <c r="C27" i="2"/>
  <c r="C28" i="2"/>
  <c r="C29" i="2"/>
  <c r="C30" i="2"/>
  <c r="C31" i="2"/>
  <c r="C32" i="2"/>
  <c r="C33" i="2"/>
  <c r="C25" i="2"/>
  <c r="D24" i="2"/>
  <c r="E24" i="2" s="1"/>
  <c r="F24" i="2" s="1"/>
  <c r="G24" i="2" s="1"/>
  <c r="H24" i="2" s="1"/>
  <c r="I24" i="2" s="1"/>
  <c r="J24" i="2" s="1"/>
  <c r="K24" i="2" s="1"/>
  <c r="L24" i="2" s="1"/>
  <c r="M24" i="2" s="1"/>
  <c r="N24" i="2" s="1"/>
  <c r="O24" i="2" s="1"/>
  <c r="P24" i="2" s="1"/>
  <c r="Q24" i="2" s="1"/>
  <c r="Q31" i="2" s="1"/>
  <c r="E22" i="8"/>
  <c r="E21" i="8"/>
  <c r="E22" i="7"/>
  <c r="E21" i="7"/>
  <c r="E22" i="6"/>
  <c r="E21" i="6"/>
  <c r="E22" i="5"/>
  <c r="E21" i="5"/>
  <c r="E22" i="4"/>
  <c r="E21" i="4"/>
  <c r="E22" i="3"/>
  <c r="E21" i="3"/>
  <c r="D37" i="8"/>
  <c r="E37" i="8" s="1"/>
  <c r="F37" i="8" s="1"/>
  <c r="G37" i="8" s="1"/>
  <c r="H37" i="8" s="1"/>
  <c r="I37" i="8" s="1"/>
  <c r="J37" i="8" s="1"/>
  <c r="K37" i="8" s="1"/>
  <c r="L37" i="8" s="1"/>
  <c r="D36" i="8"/>
  <c r="E36" i="8" s="1"/>
  <c r="F36" i="8" s="1"/>
  <c r="G36" i="8" s="1"/>
  <c r="H36" i="8" s="1"/>
  <c r="I36" i="8" s="1"/>
  <c r="J36" i="8" s="1"/>
  <c r="K36" i="8" s="1"/>
  <c r="L36" i="8" s="1"/>
  <c r="D35" i="8"/>
  <c r="E35" i="8" s="1"/>
  <c r="F35" i="8" s="1"/>
  <c r="G35" i="8" s="1"/>
  <c r="H35" i="8" s="1"/>
  <c r="I35" i="8" s="1"/>
  <c r="J35" i="8" s="1"/>
  <c r="K35" i="8" s="1"/>
  <c r="L35" i="8" s="1"/>
  <c r="E34" i="8"/>
  <c r="F34" i="8" s="1"/>
  <c r="G34" i="8" s="1"/>
  <c r="H34" i="8" s="1"/>
  <c r="I34" i="8" s="1"/>
  <c r="J34" i="8" s="1"/>
  <c r="K34" i="8" s="1"/>
  <c r="L34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37" i="7"/>
  <c r="E37" i="7" s="1"/>
  <c r="F37" i="7" s="1"/>
  <c r="G37" i="7" s="1"/>
  <c r="H37" i="7" s="1"/>
  <c r="I37" i="7" s="1"/>
  <c r="J37" i="7" s="1"/>
  <c r="K37" i="7" s="1"/>
  <c r="L37" i="7" s="1"/>
  <c r="D36" i="7"/>
  <c r="E36" i="7" s="1"/>
  <c r="F36" i="7" s="1"/>
  <c r="G36" i="7" s="1"/>
  <c r="H36" i="7" s="1"/>
  <c r="I36" i="7" s="1"/>
  <c r="J36" i="7" s="1"/>
  <c r="K36" i="7" s="1"/>
  <c r="L36" i="7" s="1"/>
  <c r="D35" i="7"/>
  <c r="E35" i="7" s="1"/>
  <c r="F35" i="7" s="1"/>
  <c r="G35" i="7" s="1"/>
  <c r="H35" i="7" s="1"/>
  <c r="I35" i="7" s="1"/>
  <c r="J35" i="7" s="1"/>
  <c r="K35" i="7" s="1"/>
  <c r="L35" i="7" s="1"/>
  <c r="E34" i="7"/>
  <c r="F34" i="7" s="1"/>
  <c r="G34" i="7" s="1"/>
  <c r="H34" i="7" s="1"/>
  <c r="I34" i="7" s="1"/>
  <c r="J34" i="7" s="1"/>
  <c r="K34" i="7" s="1"/>
  <c r="L34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37" i="6"/>
  <c r="E37" i="6" s="1"/>
  <c r="F37" i="6" s="1"/>
  <c r="G37" i="6" s="1"/>
  <c r="H37" i="6" s="1"/>
  <c r="I37" i="6" s="1"/>
  <c r="J37" i="6" s="1"/>
  <c r="K37" i="6" s="1"/>
  <c r="L37" i="6" s="1"/>
  <c r="D36" i="6"/>
  <c r="E36" i="6" s="1"/>
  <c r="F36" i="6" s="1"/>
  <c r="G36" i="6" s="1"/>
  <c r="H36" i="6" s="1"/>
  <c r="I36" i="6" s="1"/>
  <c r="J36" i="6" s="1"/>
  <c r="K36" i="6" s="1"/>
  <c r="L36" i="6" s="1"/>
  <c r="D35" i="6"/>
  <c r="E35" i="6" s="1"/>
  <c r="F35" i="6" s="1"/>
  <c r="G35" i="6" s="1"/>
  <c r="H35" i="6" s="1"/>
  <c r="I35" i="6" s="1"/>
  <c r="J35" i="6" s="1"/>
  <c r="K35" i="6" s="1"/>
  <c r="L35" i="6" s="1"/>
  <c r="E34" i="6"/>
  <c r="F34" i="6" s="1"/>
  <c r="G34" i="6" s="1"/>
  <c r="H34" i="6" s="1"/>
  <c r="I34" i="6" s="1"/>
  <c r="J34" i="6" s="1"/>
  <c r="K34" i="6" s="1"/>
  <c r="L34" i="6" s="1"/>
  <c r="K18" i="6"/>
  <c r="J18" i="6"/>
  <c r="K17" i="6"/>
  <c r="J17" i="6"/>
  <c r="K16" i="6"/>
  <c r="J16" i="6"/>
  <c r="K15" i="6"/>
  <c r="J15" i="6"/>
  <c r="K14" i="6"/>
  <c r="J14" i="6" s="1"/>
  <c r="I18" i="5"/>
  <c r="I17" i="5"/>
  <c r="I16" i="5"/>
  <c r="I15" i="5"/>
  <c r="J18" i="4"/>
  <c r="J17" i="4"/>
  <c r="J16" i="4"/>
  <c r="J15" i="4"/>
  <c r="J14" i="4"/>
  <c r="J16" i="1"/>
  <c r="J15" i="1"/>
  <c r="J14" i="1"/>
  <c r="J18" i="3"/>
  <c r="J17" i="3"/>
  <c r="J16" i="3"/>
  <c r="J15" i="3"/>
  <c r="D37" i="5"/>
  <c r="E37" i="5" s="1"/>
  <c r="F37" i="5" s="1"/>
  <c r="G37" i="5" s="1"/>
  <c r="H37" i="5" s="1"/>
  <c r="I37" i="5" s="1"/>
  <c r="J37" i="5" s="1"/>
  <c r="K37" i="5" s="1"/>
  <c r="L37" i="5" s="1"/>
  <c r="D36" i="5"/>
  <c r="E36" i="5" s="1"/>
  <c r="F36" i="5" s="1"/>
  <c r="G36" i="5" s="1"/>
  <c r="H36" i="5" s="1"/>
  <c r="I36" i="5" s="1"/>
  <c r="J36" i="5" s="1"/>
  <c r="K36" i="5" s="1"/>
  <c r="L36" i="5" s="1"/>
  <c r="D35" i="5"/>
  <c r="E35" i="5" s="1"/>
  <c r="F35" i="5" s="1"/>
  <c r="G35" i="5" s="1"/>
  <c r="H35" i="5" s="1"/>
  <c r="I35" i="5" s="1"/>
  <c r="J35" i="5" s="1"/>
  <c r="K35" i="5" s="1"/>
  <c r="L35" i="5" s="1"/>
  <c r="E34" i="5"/>
  <c r="F34" i="5" s="1"/>
  <c r="G34" i="5" s="1"/>
  <c r="H34" i="5" s="1"/>
  <c r="I34" i="5" s="1"/>
  <c r="J34" i="5" s="1"/>
  <c r="K34" i="5" s="1"/>
  <c r="L34" i="5" s="1"/>
  <c r="K18" i="5"/>
  <c r="J18" i="5" s="1"/>
  <c r="K17" i="5"/>
  <c r="J17" i="5" s="1"/>
  <c r="K16" i="5"/>
  <c r="J16" i="5" s="1"/>
  <c r="K15" i="5"/>
  <c r="J15" i="5" s="1"/>
  <c r="K14" i="5"/>
  <c r="J14" i="5" s="1"/>
  <c r="I18" i="4"/>
  <c r="I17" i="4"/>
  <c r="I16" i="4"/>
  <c r="I15" i="4"/>
  <c r="D37" i="4"/>
  <c r="E37" i="4" s="1"/>
  <c r="F37" i="4" s="1"/>
  <c r="G37" i="4" s="1"/>
  <c r="H37" i="4" s="1"/>
  <c r="I37" i="4" s="1"/>
  <c r="J37" i="4" s="1"/>
  <c r="K37" i="4" s="1"/>
  <c r="L37" i="4" s="1"/>
  <c r="D36" i="4"/>
  <c r="E36" i="4" s="1"/>
  <c r="F36" i="4" s="1"/>
  <c r="G36" i="4" s="1"/>
  <c r="H36" i="4" s="1"/>
  <c r="I36" i="4" s="1"/>
  <c r="J36" i="4" s="1"/>
  <c r="K36" i="4" s="1"/>
  <c r="L36" i="4" s="1"/>
  <c r="D35" i="4"/>
  <c r="E35" i="4" s="1"/>
  <c r="F35" i="4" s="1"/>
  <c r="G35" i="4" s="1"/>
  <c r="H35" i="4" s="1"/>
  <c r="I35" i="4" s="1"/>
  <c r="J35" i="4" s="1"/>
  <c r="K35" i="4" s="1"/>
  <c r="L35" i="4" s="1"/>
  <c r="E34" i="4"/>
  <c r="F34" i="4" s="1"/>
  <c r="G34" i="4" s="1"/>
  <c r="H34" i="4" s="1"/>
  <c r="I34" i="4" s="1"/>
  <c r="J34" i="4" s="1"/>
  <c r="K34" i="4" s="1"/>
  <c r="L34" i="4" s="1"/>
  <c r="K18" i="4"/>
  <c r="K17" i="4"/>
  <c r="K16" i="4"/>
  <c r="K15" i="4"/>
  <c r="K14" i="4"/>
  <c r="D37" i="3"/>
  <c r="E37" i="3" s="1"/>
  <c r="F37" i="3" s="1"/>
  <c r="G37" i="3" s="1"/>
  <c r="H37" i="3" s="1"/>
  <c r="I37" i="3" s="1"/>
  <c r="J37" i="3" s="1"/>
  <c r="K37" i="3" s="1"/>
  <c r="L37" i="3" s="1"/>
  <c r="D36" i="3"/>
  <c r="E36" i="3" s="1"/>
  <c r="F36" i="3" s="1"/>
  <c r="G36" i="3" s="1"/>
  <c r="H36" i="3" s="1"/>
  <c r="I36" i="3" s="1"/>
  <c r="J36" i="3" s="1"/>
  <c r="K36" i="3" s="1"/>
  <c r="L36" i="3" s="1"/>
  <c r="D35" i="3"/>
  <c r="E35" i="3" s="1"/>
  <c r="F35" i="3" s="1"/>
  <c r="G35" i="3" s="1"/>
  <c r="H35" i="3" s="1"/>
  <c r="I35" i="3" s="1"/>
  <c r="J35" i="3" s="1"/>
  <c r="K35" i="3" s="1"/>
  <c r="L35" i="3" s="1"/>
  <c r="E34" i="3"/>
  <c r="F34" i="3" s="1"/>
  <c r="G34" i="3" s="1"/>
  <c r="H34" i="3" s="1"/>
  <c r="I34" i="3" s="1"/>
  <c r="J34" i="3" s="1"/>
  <c r="K34" i="3" s="1"/>
  <c r="L34" i="3" s="1"/>
  <c r="K18" i="3"/>
  <c r="K17" i="3"/>
  <c r="K16" i="3"/>
  <c r="K15" i="3"/>
  <c r="K14" i="3"/>
  <c r="J14" i="3" s="1"/>
  <c r="K15" i="1"/>
  <c r="K16" i="1"/>
  <c r="K17" i="1"/>
  <c r="J17" i="1" s="1"/>
  <c r="K18" i="1"/>
  <c r="J18" i="1" s="1"/>
  <c r="K14" i="1"/>
  <c r="D36" i="1"/>
  <c r="E36" i="1" s="1"/>
  <c r="F36" i="1" s="1"/>
  <c r="G36" i="1" s="1"/>
  <c r="H36" i="1" s="1"/>
  <c r="I36" i="1" s="1"/>
  <c r="J36" i="1" s="1"/>
  <c r="K36" i="1" s="1"/>
  <c r="L36" i="1" s="1"/>
  <c r="D37" i="1"/>
  <c r="E37" i="1" s="1"/>
  <c r="F37" i="1" s="1"/>
  <c r="G37" i="1" s="1"/>
  <c r="H37" i="1" s="1"/>
  <c r="I37" i="1" s="1"/>
  <c r="J37" i="1" s="1"/>
  <c r="K37" i="1" s="1"/>
  <c r="L37" i="1" s="1"/>
  <c r="D35" i="1"/>
  <c r="E35" i="1" s="1"/>
  <c r="F35" i="1" s="1"/>
  <c r="G35" i="1" s="1"/>
  <c r="H35" i="1" s="1"/>
  <c r="I35" i="1" s="1"/>
  <c r="J35" i="1" s="1"/>
  <c r="K35" i="1" s="1"/>
  <c r="L35" i="1" s="1"/>
  <c r="E34" i="1"/>
  <c r="F34" i="1" s="1"/>
  <c r="G34" i="1" s="1"/>
  <c r="H34" i="1" s="1"/>
  <c r="I34" i="1" s="1"/>
  <c r="J34" i="1" s="1"/>
  <c r="K34" i="1" s="1"/>
  <c r="L34" i="1" s="1"/>
  <c r="F28" i="2" l="1"/>
  <c r="E28" i="2"/>
  <c r="O33" i="2"/>
  <c r="N33" i="2"/>
  <c r="M33" i="2"/>
  <c r="I31" i="2"/>
  <c r="M30" i="2"/>
  <c r="L30" i="2"/>
  <c r="K30" i="2"/>
  <c r="H28" i="2"/>
  <c r="G28" i="2"/>
  <c r="Q32" i="2"/>
  <c r="P32" i="2"/>
  <c r="J30" i="2"/>
  <c r="D28" i="2"/>
  <c r="O32" i="2"/>
  <c r="G27" i="2"/>
  <c r="I30" i="2"/>
  <c r="N32" i="2"/>
  <c r="H30" i="2"/>
  <c r="F27" i="2"/>
  <c r="E27" i="2"/>
  <c r="G30" i="2"/>
  <c r="L32" i="2"/>
  <c r="K29" i="2"/>
  <c r="D27" i="2"/>
  <c r="K32" i="2"/>
  <c r="J29" i="2"/>
  <c r="Q26" i="2"/>
  <c r="O31" i="2"/>
  <c r="I29" i="2"/>
  <c r="P26" i="2"/>
  <c r="M32" i="2"/>
  <c r="N31" i="2"/>
  <c r="H29" i="2"/>
  <c r="E26" i="2"/>
  <c r="M31" i="2"/>
  <c r="G29" i="2"/>
  <c r="D26" i="2"/>
  <c r="L31" i="2"/>
  <c r="F29" i="2"/>
  <c r="Q25" i="2"/>
  <c r="Q33" i="2"/>
  <c r="K31" i="2"/>
  <c r="E29" i="2"/>
  <c r="P25" i="2"/>
  <c r="P33" i="2"/>
  <c r="J31" i="2"/>
  <c r="I28" i="2"/>
  <c r="N25" i="2"/>
  <c r="O25" i="2"/>
  <c r="Q27" i="2"/>
  <c r="O26" i="2"/>
  <c r="M25" i="2"/>
  <c r="L33" i="2"/>
  <c r="J32" i="2"/>
  <c r="H31" i="2"/>
  <c r="F30" i="2"/>
  <c r="D29" i="2"/>
  <c r="P27" i="2"/>
  <c r="N26" i="2"/>
  <c r="L25" i="2"/>
  <c r="K33" i="2"/>
  <c r="I32" i="2"/>
  <c r="G31" i="2"/>
  <c r="E30" i="2"/>
  <c r="Q28" i="2"/>
  <c r="O27" i="2"/>
  <c r="M26" i="2"/>
  <c r="K25" i="2"/>
  <c r="J33" i="2"/>
  <c r="H32" i="2"/>
  <c r="F31" i="2"/>
  <c r="D30" i="2"/>
  <c r="P28" i="2"/>
  <c r="N27" i="2"/>
  <c r="L26" i="2"/>
  <c r="J25" i="2"/>
  <c r="I33" i="2"/>
  <c r="G32" i="2"/>
  <c r="E31" i="2"/>
  <c r="Q29" i="2"/>
  <c r="O28" i="2"/>
  <c r="M27" i="2"/>
  <c r="K26" i="2"/>
  <c r="I25" i="2"/>
  <c r="H33" i="2"/>
  <c r="F32" i="2"/>
  <c r="D31" i="2"/>
  <c r="P29" i="2"/>
  <c r="N28" i="2"/>
  <c r="L27" i="2"/>
  <c r="J26" i="2"/>
  <c r="H25" i="2"/>
  <c r="G33" i="2"/>
  <c r="E32" i="2"/>
  <c r="Q30" i="2"/>
  <c r="O29" i="2"/>
  <c r="M28" i="2"/>
  <c r="K27" i="2"/>
  <c r="I26" i="2"/>
  <c r="G25" i="2"/>
  <c r="F33" i="2"/>
  <c r="D32" i="2"/>
  <c r="P30" i="2"/>
  <c r="N29" i="2"/>
  <c r="L28" i="2"/>
  <c r="J27" i="2"/>
  <c r="H26" i="2"/>
  <c r="F25" i="2"/>
  <c r="E33" i="2"/>
  <c r="O30" i="2"/>
  <c r="M29" i="2"/>
  <c r="K28" i="2"/>
  <c r="I27" i="2"/>
  <c r="G26" i="2"/>
  <c r="E25" i="2"/>
  <c r="D33" i="2"/>
  <c r="P31" i="2"/>
  <c r="N30" i="2"/>
  <c r="L29" i="2"/>
  <c r="J28" i="2"/>
  <c r="H27" i="2"/>
  <c r="F26" i="2"/>
  <c r="D25" i="2"/>
</calcChain>
</file>

<file path=xl/sharedStrings.xml><?xml version="1.0" encoding="utf-8"?>
<sst xmlns="http://schemas.openxmlformats.org/spreadsheetml/2006/main" count="814" uniqueCount="253">
  <si>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</si>
  <si>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</si>
  <si>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</si>
  <si>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</si>
  <si>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</si>
  <si>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</si>
  <si>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</si>
  <si>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</si>
  <si>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</si>
  <si>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</si>
  <si>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</si>
  <si>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</si>
  <si>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</si>
  <si>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</si>
  <si>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</si>
  <si>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</si>
  <si>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</si>
  <si>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</si>
  <si>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</si>
  <si>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</si>
  <si>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</si>
  <si>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</si>
  <si>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</si>
  <si>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</si>
  <si>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</si>
  <si>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</si>
  <si>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</si>
  <si>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</si>
  <si>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</si>
  <si>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</si>
  <si>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</si>
  <si>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</si>
  <si>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</si>
  <si>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</si>
  <si>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</si>
  <si>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</si>
  <si>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</si>
  <si>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Peso</t>
  </si>
  <si>
    <t>Esplorazione</t>
  </si>
  <si>
    <t>3 Livello</t>
  </si>
  <si>
    <t>THAC0 - CA avversario = Tiro necessario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</si>
  <si>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</si>
  <si>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</si>
  <si>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</si>
  <si>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</si>
  <si>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</si>
  <si>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</si>
  <si>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</si>
  <si>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</si>
  <si>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</si>
  <si>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</si>
  <si>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Armi grandi, armatura pesante, scudo grande, arco l., balestra p.</t>
  </si>
  <si>
    <t>Armi piccole, torce, pozioni, corda, faretra, acqua s., bacchette</t>
  </si>
  <si>
    <t>Armi m., armature l., scudo , arco c., balestra l., stivali, mantello</t>
  </si>
  <si>
    <t>Anelli, amuleti, pergamene (10), chiavi, gemme</t>
  </si>
  <si>
    <t>Sutan Ambermoor</t>
  </si>
  <si>
    <t>Neutrale</t>
  </si>
  <si>
    <t>Veleno, Raggio della Morte, +1 mg</t>
  </si>
  <si>
    <t>Common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</si>
  <si>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</si>
  <si>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</si>
  <si>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</si>
  <si>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</si>
  <si>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</si>
  <si>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</si>
  <si>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</si>
  <si>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</si>
  <si>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</si>
  <si>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</si>
  <si>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</si>
  <si>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Ogni 100 mo 1 Slot, Borsa Conservante +5 slot, fiale 1 slot ogni 5</t>
  </si>
  <si>
    <t>Monete. 100=1slot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</si>
  <si>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</si>
  <si>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</si>
  <si>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</si>
  <si>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</si>
  <si>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</si>
  <si>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</si>
  <si>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</si>
  <si>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</si>
  <si>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</si>
  <si>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</si>
  <si>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</si>
  <si>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</si>
  <si>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</si>
  <si>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</si>
  <si>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</si>
  <si>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</si>
  <si>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</si>
  <si>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</si>
  <si>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</si>
  <si>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</si>
  <si>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</si>
  <si>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</si>
  <si>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</si>
  <si>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</si>
  <si>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</si>
  <si>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</si>
  <si>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</si>
  <si>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</si>
  <si>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</si>
  <si>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</si>
  <si>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</si>
  <si>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</si>
  <si>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</si>
  <si>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</si>
  <si>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Carica: +2 TxC, -2 CA</t>
  </si>
  <si>
    <t>Copertura: Parziale -2 | Quasi totale -4 TxC nemico</t>
  </si>
  <si>
    <t xml:space="preserve">       vs area: Parziale +2 TS | Quasi totale +4 TS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</si>
  <si>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</si>
  <si>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</si>
  <si>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</si>
  <si>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</si>
  <si>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</si>
  <si>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</si>
  <si>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</si>
  <si>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</si>
  <si>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</si>
  <si>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</si>
  <si>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</si>
  <si>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</si>
  <si>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</si>
  <si>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</si>
  <si>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</si>
  <si>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</si>
  <si>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</si>
  <si>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</si>
  <si>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</si>
  <si>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</si>
  <si>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</si>
  <si>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</si>
  <si>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</si>
  <si>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</si>
  <si>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</si>
  <si>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</si>
  <si>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</si>
  <si>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</si>
  <si>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</si>
  <si>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Ritirata difensiva, mezzo movimento, no attacco</t>
  </si>
  <si>
    <t>Juven Lionsbane</t>
  </si>
  <si>
    <t>Mago</t>
  </si>
  <si>
    <t>5°</t>
  </si>
  <si>
    <t>Common, Orc, Ogre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</si>
  <si>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</si>
  <si>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</si>
  <si>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</si>
  <si>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</si>
  <si>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</si>
  <si>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</si>
  <si>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</si>
  <si>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</si>
  <si>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</si>
  <si>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</si>
  <si>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</si>
  <si>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</si>
  <si>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</si>
  <si>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</si>
  <si>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</si>
  <si>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</si>
  <si>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</si>
  <si>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</si>
  <si>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</si>
  <si>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Common, Gnomesco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</si>
  <si>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</si>
  <si>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</si>
  <si>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</si>
  <si>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</si>
  <si>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</si>
  <si>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</si>
  <si>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</si>
  <si>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</si>
  <si>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</si>
  <si>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</si>
  <si>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</si>
  <si>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</si>
  <si>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</si>
  <si>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</si>
  <si>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</si>
  <si>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</si>
  <si>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</si>
  <si>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</si>
  <si>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</si>
  <si>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</si>
  <si>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</si>
  <si>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</si>
  <si>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</si>
  <si>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</si>
  <si>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</si>
  <si>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</si>
  <si>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</si>
  <si>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</si>
  <si>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</si>
  <si>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</si>
  <si>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</si>
  <si>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</si>
  <si>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</si>
  <si>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</si>
  <si>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</si>
  <si>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</si>
  <si>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Elfico, Comune, Orchesco, Hobgoblin, Gnoll, Draconico, Pixie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</si>
  <si>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</si>
  <si>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</si>
  <si>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</si>
  <si>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</si>
  <si>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</si>
  <si>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</si>
  <si>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</si>
  <si>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</si>
  <si>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</si>
  <si>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</si>
  <si>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</si>
  <si>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</si>
  <si>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</si>
  <si>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</si>
  <si>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</si>
  <si>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</si>
  <si>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</si>
  <si>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</si>
  <si>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</si>
  <si>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</si>
  <si>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</si>
  <si>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</si>
  <si>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Common, Uomini Lucertola</t>
  </si>
  <si>
    <t>THAC0</t>
  </si>
  <si>
    <t>THAC0 - Tiro = CA Colpita</t>
  </si>
  <si>
    <t>Note/Cariche</t>
  </si>
  <si>
    <t>Nessuna</t>
  </si>
  <si>
    <t>Cuoio</t>
  </si>
  <si>
    <t>Cuoio Borchiato</t>
  </si>
  <si>
    <t>Cotta di maglie</t>
  </si>
  <si>
    <t>Scudo</t>
  </si>
  <si>
    <t>Arm. a Scaglie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</si>
  <si>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</si>
  <si>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</si>
  <si>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</si>
  <si>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</si>
  <si>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</si>
  <si>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</si>
  <si>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</si>
  <si>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</si>
  <si>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</si>
  <si>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TS: tiro ≥ valore = successo</t>
  </si>
  <si>
    <t>Torcia 30'/6□, Lanterna 30'/6□</t>
  </si>
  <si>
    <t>-2 TxC luce fioca, -4 TxC buio</t>
  </si>
  <si>
    <t>Ritirata difensiva: ½ mov., no attacco opportunità</t>
  </si>
  <si>
    <t>Copertura vs area: Parz. +2 TS, Quasi tot. +4 TS</t>
  </si>
  <si>
    <t>Copertura: Parz. -2 TxC, Quasi tot. -4 TxC nemico</t>
  </si>
  <si>
    <t>---</t>
  </si>
  <si>
    <t>Riportare slot occupati</t>
  </si>
  <si>
    <t>by Maru</t>
  </si>
  <si>
    <t>Distanza: Corto +1 TxC | Medio +0 | Lungo -1 TxC</t>
  </si>
  <si>
    <t>melee lenta</t>
  </si>
  <si>
    <t>Lancio 2R Danni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</si>
</sst>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2"/>
      <color theme="6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2"/>
      <color rgb="FFC00000"/>
      <name val="Aptos"/>
      <family val="2"/>
    </font>
    <font>
      <i/>
      <sz val="9"/>
      <color theme="1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Dot">
        <color auto="1"/>
      </left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/>
      <diagonal/>
    </border>
    <border>
      <left/>
      <right style="mediumDashDot">
        <color auto="1"/>
      </right>
      <top style="mediumDashDot">
        <color auto="1"/>
      </top>
      <bottom style="thin">
        <color indexed="64"/>
      </bottom>
      <diagonal/>
    </border>
    <border>
      <left style="mediumDashDot">
        <color auto="1"/>
      </left>
      <right/>
      <top style="thin">
        <color indexed="64"/>
      </top>
      <bottom style="thin">
        <color indexed="64"/>
      </bottom>
      <diagonal/>
    </border>
    <border>
      <left/>
      <right style="mediumDashDot">
        <color auto="1"/>
      </right>
      <top style="thin">
        <color indexed="64"/>
      </top>
      <bottom style="thin">
        <color indexed="64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thin">
        <color indexed="64"/>
      </bottom>
      <diagonal/>
    </border>
    <border>
      <left/>
      <right style="mediumDashDot">
        <color auto="1"/>
      </right>
      <top/>
      <bottom style="thin">
        <color indexed="64"/>
      </bottom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14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left"/>
    </xf>
    <xf numFmtId="0" fontId="0" fillId="0" borderId="15" xfId="0" applyBorder="1" applyAlignment="1">
      <alignment vertical="center"/>
    </xf>
    <xf numFmtId="0" fontId="6" fillId="0" borderId="13" xfId="0" applyFon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2" xfId="0" applyBorder="1" applyAlignment="1">
      <alignment vertical="center"/>
    </xf>
    <xf numFmtId="0" fontId="1" fillId="0" borderId="14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16" xfId="0" applyFont="1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vertical="center"/>
    </xf>
    <xf numFmtId="0" fontId="16" fillId="0" borderId="12" xfId="0" applyFont="1" applyBorder="1" applyAlignment="1">
      <alignment horizontal="center" vertical="center"/>
    </xf>
    <xf numFmtId="0" fontId="1" fillId="4" borderId="6" xfId="0" applyFont="1" applyFill="1" applyBorder="1" applyAlignment="1">
      <alignment horizontal="left" vertical="center"/>
    </xf>
    <xf numFmtId="0" fontId="0" fillId="4" borderId="7" xfId="0" applyFill="1" applyBorder="1" applyAlignment="1">
      <alignment horizontal="left" vertical="center"/>
    </xf>
    <xf numFmtId="0" fontId="0" fillId="4" borderId="8" xfId="0" applyFill="1" applyBorder="1" applyAlignment="1">
      <alignment horizontal="left" vertical="center"/>
    </xf>
    <xf numFmtId="0" fontId="0" fillId="4" borderId="7" xfId="0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1" fillId="4" borderId="8" xfId="0" applyFont="1" applyFill="1" applyBorder="1" applyAlignment="1">
      <alignment horizontal="left" vertical="center"/>
    </xf>
    <xf numFmtId="0" fontId="0" fillId="4" borderId="7" xfId="0" quotePrefix="1" applyFill="1" applyBorder="1" applyAlignment="1">
      <alignment horizontal="left" vertical="center"/>
    </xf>
    <xf numFmtId="0" fontId="0" fillId="4" borderId="9" xfId="0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0" fillId="7" borderId="12" xfId="0" applyFill="1" applyBorder="1" applyAlignment="1">
      <alignment vertical="center"/>
    </xf>
    <xf numFmtId="0" fontId="8" fillId="0" borderId="13" xfId="0" applyFont="1" applyBorder="1" applyAlignment="1">
      <alignment horizontal="center" vertical="center"/>
    </xf>
    <xf numFmtId="0" fontId="1" fillId="4" borderId="7" xfId="0" applyFont="1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18" fillId="4" borderId="7" xfId="0" applyFont="1" applyFill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12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9" fillId="0" borderId="0" xfId="0" applyFont="1"/>
    <xf numFmtId="0" fontId="0" fillId="0" borderId="1" xfId="0" applyBorder="1"/>
    <xf numFmtId="0" fontId="21" fillId="0" borderId="0" xfId="0" applyFont="1"/>
    <xf numFmtId="0" fontId="13" fillId="0" borderId="0" xfId="0" applyFont="1" applyAlignment="1">
      <alignment horizontal="left"/>
    </xf>
    <xf numFmtId="0" fontId="22" fillId="5" borderId="0" xfId="0" applyFont="1" applyFill="1" applyAlignment="1">
      <alignment vertical="center"/>
    </xf>
    <xf numFmtId="0" fontId="23" fillId="5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5" borderId="0" xfId="0" applyFont="1" applyFill="1" applyAlignment="1">
      <alignment vertical="center"/>
    </xf>
    <xf numFmtId="0" fontId="27" fillId="0" borderId="0" xfId="0" applyFont="1" applyAlignment="1">
      <alignment horizontal="center" vertical="center"/>
    </xf>
    <xf numFmtId="0" fontId="27" fillId="1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7" fillId="10" borderId="1" xfId="0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8" borderId="0" xfId="0" applyFill="1" applyAlignment="1">
      <alignment vertical="center"/>
    </xf>
    <xf numFmtId="0" fontId="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left"/>
    </xf>
    <xf numFmtId="0" fontId="0" fillId="11" borderId="0" xfId="0" applyFill="1"/>
    <xf numFmtId="0" fontId="0" fillId="0" borderId="1" xfId="0" applyBorder="1" applyAlignment="1">
      <alignment horizontal="left"/>
    </xf>
    <xf numFmtId="0" fontId="0" fillId="8" borderId="1" xfId="0" applyFill="1" applyBorder="1" applyAlignment="1">
      <alignment vertical="center"/>
    </xf>
    <xf numFmtId="0" fontId="28" fillId="8" borderId="0" xfId="0" applyFont="1" applyFill="1" applyAlignment="1">
      <alignment horizontal="center" vertical="center"/>
    </xf>
    <xf numFmtId="0" fontId="28" fillId="8" borderId="1" xfId="0" applyFont="1" applyFill="1" applyBorder="1" applyAlignment="1">
      <alignment horizontal="center" vertical="center"/>
    </xf>
    <xf numFmtId="0" fontId="29" fillId="0" borderId="0" xfId="0" applyFont="1" applyAlignment="1">
      <alignment horizontal="right" vertical="center"/>
    </xf>
    <xf numFmtId="0" fontId="12" fillId="0" borderId="0" xfId="0" applyFont="1" applyAlignment="1">
      <alignment horizontal="left" vertical="center"/>
    </xf>
    <xf numFmtId="0" fontId="13" fillId="6" borderId="0" xfId="0" applyFont="1" applyFill="1" applyAlignment="1">
      <alignment horizontal="left" vertical="center"/>
    </xf>
    <xf numFmtId="0" fontId="13" fillId="6" borderId="1" xfId="0" applyFont="1" applyFill="1" applyBorder="1" applyAlignment="1">
      <alignment horizontal="left" vertical="center"/>
    </xf>
    <xf numFmtId="0" fontId="0" fillId="0" borderId="3" xfId="0" applyBorder="1" applyAlignment="1">
      <alignment vertical="center"/>
    </xf>
    <xf numFmtId="0" fontId="0" fillId="6" borderId="0" xfId="0" applyFill="1" applyAlignment="1">
      <alignment vertical="center"/>
    </xf>
    <xf numFmtId="0" fontId="0" fillId="6" borderId="3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6" borderId="19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12" fillId="8" borderId="3" xfId="0" applyFont="1" applyFill="1" applyBorder="1" applyAlignment="1">
      <alignment horizontal="left" vertical="center"/>
    </xf>
    <xf numFmtId="0" fontId="12" fillId="8" borderId="19" xfId="0" applyFont="1" applyFill="1" applyBorder="1" applyAlignment="1">
      <alignment horizontal="left" vertical="center"/>
    </xf>
    <xf numFmtId="0" fontId="24" fillId="9" borderId="4" xfId="0" applyFont="1" applyFill="1" applyBorder="1" applyAlignment="1">
      <alignment horizontal="center" vertical="center"/>
    </xf>
    <xf numFmtId="0" fontId="23" fillId="13" borderId="4" xfId="0" applyFont="1" applyFill="1" applyBorder="1"/>
    <xf numFmtId="0" fontId="23" fillId="13" borderId="4" xfId="0" applyFont="1" applyFill="1" applyBorder="1" applyAlignment="1">
      <alignment horizontal="left"/>
    </xf>
    <xf numFmtId="0" fontId="23" fillId="12" borderId="5" xfId="0" applyFont="1" applyFill="1" applyBorder="1" applyAlignment="1">
      <alignment horizontal="left" vertical="center"/>
    </xf>
    <xf numFmtId="0" fontId="23" fillId="12" borderId="4" xfId="0" applyFont="1" applyFill="1" applyBorder="1" applyAlignment="1">
      <alignment vertical="center"/>
    </xf>
    <xf numFmtId="0" fontId="23" fillId="12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0" fontId="30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2" fillId="0" borderId="1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6" fillId="10" borderId="1" xfId="0" applyFont="1" applyFill="1" applyBorder="1" applyAlignment="1">
      <alignment horizontal="center" vertical="center"/>
    </xf>
    <xf numFmtId="0" fontId="26" fillId="10" borderId="21" xfId="0" applyFont="1" applyFill="1" applyBorder="1" applyAlignment="1">
      <alignment horizontal="center" vertical="center"/>
    </xf>
    <xf numFmtId="0" fontId="26" fillId="10" borderId="0" xfId="0" applyFont="1" applyFill="1" applyAlignment="1">
      <alignment horizontal="center" vertical="center"/>
    </xf>
    <xf numFmtId="0" fontId="26" fillId="10" borderId="20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3" fillId="9" borderId="4" xfId="0" applyFont="1" applyFill="1" applyBorder="1" applyAlignment="1">
      <alignment horizontal="center" vertical="center"/>
    </xf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37"/>
  <sheetViews>
    <sheetView topLeftCell="A10" zoomScale="110" zoomScaleNormal="110" workbookViewId="0">
      <selection activeCell="F40" sqref="F40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52" t="s">
        <v>0</v>
      </c>
      <c r="B1" s="53" t="s">
        <v>211</v>
      </c>
      <c r="C1" s="53"/>
      <c r="D1" s="54"/>
      <c r="E1" s="70"/>
      <c r="F1" s="55"/>
      <c r="G1" s="72" t="s">
        <v>180</v>
      </c>
      <c r="H1" s="53"/>
      <c r="I1" s="55"/>
      <c r="J1" s="56"/>
      <c r="K1" s="57" t="s">
        <v>34</v>
      </c>
      <c r="L1" s="54"/>
      <c r="M1" s="54"/>
      <c r="N1" s="58" t="s">
        <v>104</v>
      </c>
      <c r="O1" s="53"/>
      <c r="P1" s="59"/>
    </row>
    <row r="2" spans="1:16" ht="20.399999999999999" customHeight="1" x14ac:dyDescent="0.3">
      <c r="A2" s="60" t="s">
        <v>103</v>
      </c>
      <c r="B2" s="61" t="s">
        <v>212</v>
      </c>
      <c r="C2" s="61"/>
      <c r="D2" s="62"/>
      <c r="E2" s="63" t="s">
        <v>33</v>
      </c>
      <c r="F2" s="64"/>
      <c r="G2" s="64" t="s">
        <v>212</v>
      </c>
      <c r="H2" s="64"/>
      <c r="I2" s="71" t="s">
        <v>141</v>
      </c>
      <c r="J2" s="62"/>
      <c r="K2" s="65" t="s">
        <v>1</v>
      </c>
      <c r="L2" s="66"/>
      <c r="M2" s="66"/>
      <c r="N2" s="61" t="s">
        <v>56</v>
      </c>
      <c r="O2" s="61"/>
      <c r="P2" s="67"/>
    </row>
    <row r="3" spans="1:16" ht="9.6" customHeight="1" x14ac:dyDescent="0.3">
      <c r="A3" s="15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6"/>
    </row>
    <row r="4" spans="1:16" ht="18.600000000000001" customHeight="1" x14ac:dyDescent="0.3">
      <c r="A4" s="17" t="s">
        <v>8</v>
      </c>
      <c r="B4" s="18">
        <v>3</v>
      </c>
      <c r="C4" s="1"/>
      <c r="D4" s="19" t="s">
        <v>37</v>
      </c>
      <c r="E4" s="1"/>
      <c r="F4" s="20">
        <v>20</v>
      </c>
      <c r="G4" s="73" t="s">
        <v>72</v>
      </c>
      <c r="H4" s="1"/>
      <c r="I4" s="1"/>
      <c r="J4" s="1"/>
      <c r="K4" s="21" t="s">
        <v>102</v>
      </c>
      <c r="L4" s="1"/>
      <c r="M4" s="22">
        <v>2</v>
      </c>
      <c r="N4" s="1"/>
      <c r="O4" s="19" t="s">
        <v>9</v>
      </c>
      <c r="P4" s="69">
        <v>25</v>
      </c>
    </row>
    <row r="5" spans="1:16" ht="19.8" customHeight="1" x14ac:dyDescent="0.3">
      <c r="A5" s="23" t="s">
        <v>29</v>
      </c>
      <c r="B5" s="7"/>
      <c r="J5" s="2" t="s">
        <v>101</v>
      </c>
      <c r="M5" s="7" t="s">
        <v>10</v>
      </c>
      <c r="N5" s="6"/>
      <c r="O5" s="6"/>
      <c r="P5" s="24"/>
    </row>
    <row r="6" spans="1:16" ht="32.4" customHeight="1" x14ac:dyDescent="0.3">
      <c r="A6" s="51">
        <v>14</v>
      </c>
      <c r="B6" s="21" t="s">
        <v>2</v>
      </c>
      <c r="C6" s="136" t="s">
        <v>184</v>
      </c>
      <c r="D6" s="136"/>
      <c r="E6" s="136"/>
      <c r="F6" s="136"/>
      <c r="G6" s="136"/>
      <c r="H6" s="136"/>
      <c r="I6" s="136"/>
      <c r="J6" s="20">
        <v>1</v>
      </c>
      <c r="K6" s="20"/>
      <c r="M6" s="137" t="s">
        <v>57</v>
      </c>
      <c r="N6" s="137"/>
      <c r="O6" s="137"/>
      <c r="P6" s="25">
        <v>6</v>
      </c>
    </row>
    <row r="7" spans="1:16" ht="32.4" customHeight="1" x14ac:dyDescent="0.3">
      <c r="A7" s="51">
        <v>14</v>
      </c>
      <c r="B7" s="21" t="s">
        <v>3</v>
      </c>
      <c r="C7" s="136" t="s">
        <v>128</v>
      </c>
      <c r="D7" s="136"/>
      <c r="E7" s="136"/>
      <c r="F7" s="136"/>
      <c r="G7" s="136"/>
      <c r="H7" s="136"/>
      <c r="I7" s="136"/>
      <c r="J7" s="20">
        <v>1</v>
      </c>
      <c r="K7" s="20"/>
      <c r="M7" s="137" t="s">
        <v>11</v>
      </c>
      <c r="N7" s="137"/>
      <c r="O7" s="137"/>
      <c r="P7" s="25">
        <v>7</v>
      </c>
    </row>
    <row r="8" spans="1:16" ht="32.4" customHeight="1" x14ac:dyDescent="0.3">
      <c r="A8" s="51">
        <v>9</v>
      </c>
      <c r="B8" s="21" t="s">
        <v>4</v>
      </c>
      <c r="C8" s="136" t="s">
        <v>96</v>
      </c>
      <c r="D8" s="136"/>
      <c r="E8" s="136"/>
      <c r="F8" s="136"/>
      <c r="G8" s="136"/>
      <c r="H8" s="136"/>
      <c r="I8" s="136"/>
      <c r="J8" s="20">
        <v>0</v>
      </c>
      <c r="K8" s="20"/>
      <c r="M8" s="137" t="s">
        <v>14</v>
      </c>
      <c r="N8" s="137"/>
      <c r="O8" s="137"/>
      <c r="P8" s="25">
        <v>8</v>
      </c>
    </row>
    <row r="9" spans="1:16" ht="32.4" customHeight="1" x14ac:dyDescent="0.3">
      <c r="A9" s="51">
        <v>13</v>
      </c>
      <c r="B9" s="21" t="s">
        <v>5</v>
      </c>
      <c r="C9" s="136" t="s">
        <v>145</v>
      </c>
      <c r="D9" s="136"/>
      <c r="E9" s="136"/>
      <c r="F9" s="136"/>
      <c r="G9" s="136"/>
      <c r="H9" s="136"/>
      <c r="I9" s="136"/>
      <c r="J9" s="20">
        <v>1</v>
      </c>
      <c r="K9" s="20"/>
      <c r="M9" s="137" t="s">
        <v>12</v>
      </c>
      <c r="N9" s="137"/>
      <c r="O9" s="137"/>
      <c r="P9" s="25">
        <v>10</v>
      </c>
    </row>
    <row r="10" spans="1:16" ht="32.4" customHeight="1" x14ac:dyDescent="0.3">
      <c r="A10" s="51">
        <v>12</v>
      </c>
      <c r="B10" s="21" t="s">
        <v>6</v>
      </c>
      <c r="C10" s="136" t="s">
        <v>96</v>
      </c>
      <c r="D10" s="136"/>
      <c r="E10" s="136"/>
      <c r="F10" s="136"/>
      <c r="G10" s="136"/>
      <c r="H10" s="136"/>
      <c r="I10" s="136"/>
      <c r="J10" s="20">
        <v>0</v>
      </c>
      <c r="K10" s="20"/>
      <c r="M10" s="137" t="s">
        <v>13</v>
      </c>
      <c r="N10" s="137"/>
      <c r="O10" s="137"/>
      <c r="P10" s="25">
        <v>10</v>
      </c>
    </row>
    <row r="11" spans="1:16" ht="32.4" customHeight="1" x14ac:dyDescent="0.3">
      <c r="A11" s="51">
        <v>11</v>
      </c>
      <c r="B11" s="21" t="s">
        <v>7</v>
      </c>
      <c r="C11" s="136" t="s">
        <v>99</v>
      </c>
      <c r="D11" s="136"/>
      <c r="E11" s="136"/>
      <c r="F11" s="136"/>
      <c r="G11" s="136"/>
      <c r="H11" s="136"/>
      <c r="I11" s="136"/>
      <c r="J11" s="20">
        <v>0</v>
      </c>
      <c r="K11" s="20"/>
      <c r="P11" s="26"/>
    </row>
    <row r="12" spans="1:16" ht="8.4" customHeight="1" x14ac:dyDescent="0.3">
      <c r="A12" s="27"/>
      <c r="P12" s="26"/>
    </row>
    <row r="13" spans="1:16" s="3" customFormat="1" ht="15.6" customHeight="1" x14ac:dyDescent="0.3">
      <c r="A13" s="28" t="s">
        <v>16</v>
      </c>
      <c r="B13" s="4"/>
      <c r="C13" s="12"/>
      <c r="E13" s="4" t="s">
        <v>17</v>
      </c>
      <c r="F13" s="4"/>
      <c r="G13" s="4"/>
      <c r="H13" s="12"/>
      <c r="I13" s="29" t="s">
        <v>75</v>
      </c>
      <c r="J13" s="29" t="s">
        <v>76</v>
      </c>
      <c r="K13" s="29" t="s">
        <v>77</v>
      </c>
      <c r="N13" s="4" t="s">
        <v>63</v>
      </c>
      <c r="O13" s="5"/>
      <c r="P13" s="30"/>
    </row>
    <row r="14" spans="1:16" s="3" customFormat="1" ht="15.6" customHeight="1" x14ac:dyDescent="0.3">
      <c r="A14" s="138" t="s">
        <v>222</v>
      </c>
      <c r="B14" s="139"/>
      <c r="E14" s="12" t="s">
        <v>21</v>
      </c>
      <c r="F14" s="12"/>
      <c r="H14" s="31" t="s">
        <v>80</v>
      </c>
      <c r="I14" s="32">
        <v>20</v>
      </c>
      <c r="J14" s="1">
        <f>K14*1.5</f>
        <v>6</v>
      </c>
      <c r="K14" s="1">
        <f>I14/5</f>
        <v>4</v>
      </c>
      <c r="N14" s="3" t="s">
        <v>206</v>
      </c>
      <c r="P14" s="16"/>
    </row>
    <row r="15" spans="1:16" s="3" customFormat="1" ht="15.6" customHeight="1" x14ac:dyDescent="0.3">
      <c r="A15" s="138"/>
      <c r="B15" s="139"/>
      <c r="E15" s="33" t="s">
        <v>38</v>
      </c>
      <c r="F15" s="33"/>
      <c r="G15" s="34"/>
      <c r="H15" s="35" t="s">
        <v>81</v>
      </c>
      <c r="I15" s="36">
        <f>I14*3</f>
        <v>60</v>
      </c>
      <c r="J15" s="36">
        <f>K15*1.5</f>
        <v>18</v>
      </c>
      <c r="K15" s="36">
        <f t="shared" ref="K15:K18" si="0">I15/5</f>
        <v>12</v>
      </c>
      <c r="N15" s="3" t="s">
        <v>150</v>
      </c>
      <c r="P15" s="16"/>
    </row>
    <row r="16" spans="1:16" s="3" customFormat="1" ht="15.6" customHeight="1" x14ac:dyDescent="0.3">
      <c r="A16" s="138"/>
      <c r="B16" s="139"/>
      <c r="E16" s="12" t="s">
        <v>18</v>
      </c>
      <c r="F16" s="12"/>
      <c r="H16" s="31" t="s">
        <v>80</v>
      </c>
      <c r="I16" s="32">
        <f>I14*3</f>
        <v>60</v>
      </c>
      <c r="J16" s="1">
        <f>K16*1.5</f>
        <v>18</v>
      </c>
      <c r="K16" s="1">
        <f t="shared" si="0"/>
        <v>12</v>
      </c>
      <c r="N16" s="3" t="s">
        <v>214</v>
      </c>
      <c r="P16" s="16"/>
    </row>
    <row r="17" spans="1:16" s="3" customFormat="1" ht="15.6" customHeight="1" x14ac:dyDescent="0.3">
      <c r="A17" s="138"/>
      <c r="B17" s="139"/>
      <c r="E17" s="33" t="s">
        <v>35</v>
      </c>
      <c r="F17" s="33"/>
      <c r="G17" s="34"/>
      <c r="H17" s="35" t="s">
        <v>80</v>
      </c>
      <c r="I17" s="36">
        <f>I14/2</f>
        <v>10</v>
      </c>
      <c r="J17" s="36">
        <f>K17*1.5</f>
        <v>3</v>
      </c>
      <c r="K17" s="36">
        <f t="shared" si="0"/>
        <v>2</v>
      </c>
      <c r="N17" s="3" t="s">
        <v>67</v>
      </c>
      <c r="P17" s="16"/>
    </row>
    <row r="18" spans="1:16" s="3" customFormat="1" ht="15.6" customHeight="1" x14ac:dyDescent="0.3">
      <c r="A18" s="15"/>
      <c r="E18" s="12" t="s">
        <v>36</v>
      </c>
      <c r="F18" s="12"/>
      <c r="H18" s="31" t="s">
        <v>80</v>
      </c>
      <c r="I18" s="32">
        <f>I14/2</f>
        <v>10</v>
      </c>
      <c r="J18" s="1">
        <f>K18*1.5</f>
        <v>3</v>
      </c>
      <c r="K18" s="1">
        <f t="shared" si="0"/>
        <v>2</v>
      </c>
      <c r="N18" s="3" t="s">
        <v>66</v>
      </c>
      <c r="P18" s="16"/>
    </row>
    <row r="19" spans="1:16" s="3" customFormat="1" ht="15.6" customHeight="1" x14ac:dyDescent="0.3">
      <c r="A19" s="28" t="s">
        <v>71</v>
      </c>
      <c r="B19" s="4"/>
      <c r="E19" s="33" t="s">
        <v>22</v>
      </c>
      <c r="F19" s="33"/>
      <c r="G19" s="34"/>
      <c r="H19" s="35" t="s">
        <v>82</v>
      </c>
      <c r="I19" s="37" t="s">
        <v>161</v>
      </c>
      <c r="J19" s="37" t="s">
        <v>78</v>
      </c>
      <c r="K19" s="37"/>
      <c r="N19" s="3" t="s">
        <v>213</v>
      </c>
      <c r="P19" s="16"/>
    </row>
    <row r="20" spans="1:16" s="3" customFormat="1" ht="15.6" customHeight="1" x14ac:dyDescent="0.3">
      <c r="A20" s="15" t="s">
        <v>44</v>
      </c>
      <c r="B20" s="38">
        <v>0</v>
      </c>
      <c r="N20" s="130" t="s">
        <v>194</v>
      </c>
      <c r="O20" s="130"/>
      <c r="P20" s="131"/>
    </row>
    <row r="21" spans="1:16" s="3" customFormat="1" ht="15.6" customHeight="1" x14ac:dyDescent="0.3">
      <c r="A21" s="15" t="s">
        <v>41</v>
      </c>
      <c r="B21" s="38">
        <v>500</v>
      </c>
      <c r="E21" s="82" t="str">
        <f>'Cleric A'!E21</f>
        <v>THAC0 - Tiro = CA Colpita</v>
      </c>
      <c r="O21" s="39" t="s">
        <v>48</v>
      </c>
      <c r="P21" s="40">
        <v>8</v>
      </c>
    </row>
    <row r="22" spans="1:16" ht="15.6" customHeight="1" x14ac:dyDescent="0.3">
      <c r="A22" s="27" t="s">
        <v>45</v>
      </c>
      <c r="B22" s="38">
        <v>0</v>
      </c>
      <c r="E22" s="82" t="str">
        <f>'Cleric A'!E22</f>
        <v>THAC0 - CA avversario = Tiro necessario</v>
      </c>
      <c r="N22" s="3"/>
      <c r="O22" s="39" t="s">
        <v>41</v>
      </c>
      <c r="P22" s="40">
        <v>5</v>
      </c>
    </row>
    <row r="23" spans="1:16" ht="15.6" customHeight="1" x14ac:dyDescent="0.3">
      <c r="A23" s="27" t="s">
        <v>42</v>
      </c>
      <c r="B23" s="38">
        <v>0</v>
      </c>
      <c r="E23" s="2" t="s">
        <v>105</v>
      </c>
      <c r="M23" s="12"/>
      <c r="N23" s="13"/>
      <c r="P23" s="26"/>
    </row>
    <row r="24" spans="1:16" ht="15.6" customHeight="1" x14ac:dyDescent="0.3">
      <c r="A24" s="27"/>
      <c r="E24" s="2" t="s">
        <v>107</v>
      </c>
      <c r="M24" s="12"/>
      <c r="N24" s="12"/>
      <c r="P24" s="26"/>
    </row>
    <row r="25" spans="1:16" ht="15.6" customHeight="1" x14ac:dyDescent="0.3">
      <c r="A25" s="15"/>
      <c r="C25" s="80"/>
      <c r="E25" s="2" t="s">
        <v>108</v>
      </c>
      <c r="P25" s="26"/>
    </row>
    <row r="26" spans="1:16" ht="15.6" customHeight="1" x14ac:dyDescent="0.3">
      <c r="A26" s="3"/>
      <c r="C26" s="80"/>
      <c r="E26" s="2" t="s">
        <v>106</v>
      </c>
      <c r="P26" s="26"/>
    </row>
    <row r="27" spans="1:16" ht="15.6" customHeight="1" x14ac:dyDescent="0.3">
      <c r="E27" s="2" t="s">
        <v>138</v>
      </c>
    </row>
    <row r="28" spans="1:16" ht="15.6" customHeight="1" x14ac:dyDescent="0.3">
      <c r="A28" s="78"/>
      <c r="B28" s="75"/>
      <c r="C28" s="80"/>
      <c r="E28" s="32"/>
      <c r="G28" s="32"/>
      <c r="I28" s="32"/>
      <c r="N28" s="4" t="s">
        <v>29</v>
      </c>
      <c r="O28" s="6"/>
      <c r="P28" s="24"/>
    </row>
    <row r="29" spans="1:16" ht="15.6" customHeight="1" x14ac:dyDescent="0.3">
      <c r="A29" s="79" t="s">
        <v>220</v>
      </c>
      <c r="B29" s="11"/>
      <c r="C29" s="80"/>
      <c r="N29" s="2" t="s">
        <v>61</v>
      </c>
      <c r="P29" s="26"/>
    </row>
    <row r="30" spans="1:16" x14ac:dyDescent="0.3">
      <c r="A30" s="79" t="s">
        <v>218</v>
      </c>
      <c r="B30" s="11"/>
      <c r="C30" s="80"/>
      <c r="N30" s="2" t="s">
        <v>221</v>
      </c>
      <c r="P30" s="26"/>
    </row>
    <row r="31" spans="1:16" ht="15.6" customHeight="1" x14ac:dyDescent="0.3">
      <c r="A31" s="79" t="s">
        <v>219</v>
      </c>
      <c r="B31" s="11"/>
      <c r="C31" s="80"/>
      <c r="N31" s="2" t="s">
        <v>62</v>
      </c>
      <c r="P31" s="26"/>
    </row>
    <row r="32" spans="1:16" x14ac:dyDescent="0.3">
      <c r="A32" s="78"/>
      <c r="B32" s="11"/>
      <c r="C32" s="80"/>
      <c r="P32" s="26"/>
    </row>
    <row r="33" spans="1:27" x14ac:dyDescent="0.3">
      <c r="A33" s="27"/>
      <c r="L33" s="81" t="s">
        <v>223</v>
      </c>
      <c r="P33" s="26"/>
    </row>
    <row r="34" spans="1:27" ht="15.6" x14ac:dyDescent="0.3">
      <c r="A34" s="41" t="s">
        <v>15</v>
      </c>
      <c r="B34" s="8" t="s">
        <v>19</v>
      </c>
      <c r="C34" s="10" t="s">
        <v>20</v>
      </c>
      <c r="D34" s="9">
        <v>8</v>
      </c>
      <c r="E34" s="10">
        <f>D34-1</f>
        <v>7</v>
      </c>
      <c r="F34" s="9">
        <f t="shared" ref="F34:L34" si="1">E34-1</f>
        <v>6</v>
      </c>
      <c r="G34" s="10">
        <f t="shared" si="1"/>
        <v>5</v>
      </c>
      <c r="H34" s="9">
        <f t="shared" si="1"/>
        <v>4</v>
      </c>
      <c r="I34" s="10">
        <f t="shared" si="1"/>
        <v>3</v>
      </c>
      <c r="J34" s="9">
        <f t="shared" si="1"/>
        <v>2</v>
      </c>
      <c r="K34" s="10">
        <f t="shared" si="1"/>
        <v>1</v>
      </c>
      <c r="L34" s="9">
        <f t="shared" si="1"/>
        <v>0</v>
      </c>
      <c r="M34" s="132" t="s">
        <v>26</v>
      </c>
      <c r="N34" s="132"/>
      <c r="O34" s="4" t="s">
        <v>27</v>
      </c>
      <c r="P34" s="24"/>
    </row>
    <row r="35" spans="1:27" ht="18" x14ac:dyDescent="0.3">
      <c r="A35" s="42" t="s">
        <v>215</v>
      </c>
      <c r="B35" s="1" t="s">
        <v>23</v>
      </c>
      <c r="C35" s="43">
        <v>7</v>
      </c>
      <c r="D35" s="44">
        <f>C35+1</f>
        <v>8</v>
      </c>
      <c r="E35" s="43">
        <f t="shared" ref="E35:L35" si="2">D35+1</f>
        <v>9</v>
      </c>
      <c r="F35" s="44">
        <f t="shared" si="2"/>
        <v>10</v>
      </c>
      <c r="G35" s="43">
        <f t="shared" si="2"/>
        <v>11</v>
      </c>
      <c r="H35" s="44">
        <f t="shared" si="2"/>
        <v>12</v>
      </c>
      <c r="I35" s="43">
        <f t="shared" si="2"/>
        <v>13</v>
      </c>
      <c r="J35" s="44">
        <f t="shared" si="2"/>
        <v>14</v>
      </c>
      <c r="K35" s="43">
        <f t="shared" si="2"/>
        <v>15</v>
      </c>
      <c r="L35" s="44">
        <f t="shared" si="2"/>
        <v>16</v>
      </c>
      <c r="M35" s="133" t="s">
        <v>216</v>
      </c>
      <c r="N35" s="133"/>
      <c r="P35" s="26"/>
    </row>
    <row r="36" spans="1:27" ht="18" x14ac:dyDescent="0.3">
      <c r="A36" s="42" t="s">
        <v>24</v>
      </c>
      <c r="B36" s="1" t="s">
        <v>23</v>
      </c>
      <c r="C36" s="43">
        <v>7</v>
      </c>
      <c r="D36" s="44">
        <f t="shared" ref="D36:L37" si="3">C36+1</f>
        <v>8</v>
      </c>
      <c r="E36" s="43">
        <f t="shared" si="3"/>
        <v>9</v>
      </c>
      <c r="F36" s="44">
        <f t="shared" si="3"/>
        <v>10</v>
      </c>
      <c r="G36" s="43">
        <f t="shared" si="3"/>
        <v>11</v>
      </c>
      <c r="H36" s="44">
        <f t="shared" si="3"/>
        <v>12</v>
      </c>
      <c r="I36" s="43">
        <f t="shared" si="3"/>
        <v>13</v>
      </c>
      <c r="J36" s="44">
        <f t="shared" si="3"/>
        <v>14</v>
      </c>
      <c r="K36" s="43">
        <f t="shared" si="3"/>
        <v>15</v>
      </c>
      <c r="L36" s="44">
        <f t="shared" si="3"/>
        <v>16</v>
      </c>
      <c r="M36" s="134" t="s">
        <v>191</v>
      </c>
      <c r="N36" s="134"/>
      <c r="O36" s="3" t="s">
        <v>130</v>
      </c>
      <c r="P36" s="26"/>
      <c r="AA36"/>
    </row>
    <row r="37" spans="1:27" ht="18.600000000000001" thickBot="1" x14ac:dyDescent="0.35">
      <c r="A37" s="45" t="s">
        <v>60</v>
      </c>
      <c r="B37" s="46" t="s">
        <v>89</v>
      </c>
      <c r="C37" s="47">
        <v>6</v>
      </c>
      <c r="D37" s="48">
        <f t="shared" si="3"/>
        <v>7</v>
      </c>
      <c r="E37" s="47">
        <f t="shared" si="3"/>
        <v>8</v>
      </c>
      <c r="F37" s="48">
        <f t="shared" si="3"/>
        <v>9</v>
      </c>
      <c r="G37" s="47">
        <f t="shared" si="3"/>
        <v>10</v>
      </c>
      <c r="H37" s="48">
        <f t="shared" si="3"/>
        <v>11</v>
      </c>
      <c r="I37" s="47">
        <f t="shared" si="3"/>
        <v>12</v>
      </c>
      <c r="J37" s="48">
        <f t="shared" si="3"/>
        <v>13</v>
      </c>
      <c r="K37" s="47">
        <f t="shared" si="3"/>
        <v>14</v>
      </c>
      <c r="L37" s="48">
        <f t="shared" si="3"/>
        <v>15</v>
      </c>
      <c r="M37" s="135" t="s">
        <v>93</v>
      </c>
      <c r="N37" s="135"/>
      <c r="O37" s="49" t="s">
        <v>217</v>
      </c>
      <c r="P37" s="50"/>
    </row>
  </sheetData>
  <mergeCells count="17"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N20:P20"/>
    <mergeCell ref="M34:N34"/>
    <mergeCell ref="M35:N35"/>
    <mergeCell ref="M36:N36"/>
    <mergeCell ref="M37:N37"/>
  </mergeCells>
  <pageMargins left="0.25" right="0.25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37"/>
  <sheetViews>
    <sheetView topLeftCell="A9" zoomScale="110" zoomScaleNormal="110" workbookViewId="0">
      <selection activeCell="E21" sqref="E21:E22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52" t="s">
        <v>0</v>
      </c>
      <c r="B1" s="53" t="s">
        <v>196</v>
      </c>
      <c r="C1" s="53"/>
      <c r="D1" s="54"/>
      <c r="E1" s="70"/>
      <c r="F1" s="55"/>
      <c r="G1" s="72" t="s">
        <v>207</v>
      </c>
      <c r="H1" s="53"/>
      <c r="I1" s="55"/>
      <c r="J1" s="56"/>
      <c r="K1" s="57" t="s">
        <v>34</v>
      </c>
      <c r="L1" s="54"/>
      <c r="M1" s="54"/>
      <c r="N1" s="58" t="s">
        <v>198</v>
      </c>
      <c r="O1" s="53"/>
      <c r="P1" s="59"/>
    </row>
    <row r="2" spans="1:16" ht="20.399999999999999" customHeight="1" x14ac:dyDescent="0.3">
      <c r="A2" s="60" t="s">
        <v>103</v>
      </c>
      <c r="B2" s="61" t="s">
        <v>197</v>
      </c>
      <c r="C2" s="61"/>
      <c r="D2" s="62"/>
      <c r="E2" s="63" t="s">
        <v>33</v>
      </c>
      <c r="F2" s="64"/>
      <c r="G2" s="64" t="s">
        <v>197</v>
      </c>
      <c r="H2" s="64"/>
      <c r="I2" s="71" t="s">
        <v>141</v>
      </c>
      <c r="J2" s="62"/>
      <c r="K2" s="65" t="s">
        <v>1</v>
      </c>
      <c r="L2" s="66"/>
      <c r="M2" s="66"/>
      <c r="N2" s="61" t="s">
        <v>56</v>
      </c>
      <c r="O2" s="61"/>
      <c r="P2" s="67"/>
    </row>
    <row r="3" spans="1:16" ht="9.6" customHeight="1" x14ac:dyDescent="0.3">
      <c r="A3" s="15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6"/>
    </row>
    <row r="4" spans="1:16" ht="18.600000000000001" customHeight="1" x14ac:dyDescent="0.3">
      <c r="A4" s="17" t="s">
        <v>8</v>
      </c>
      <c r="B4" s="18">
        <v>4</v>
      </c>
      <c r="C4" s="1"/>
      <c r="D4" s="19" t="s">
        <v>37</v>
      </c>
      <c r="E4" s="1"/>
      <c r="F4" s="20">
        <v>24</v>
      </c>
      <c r="G4" s="73" t="s">
        <v>122</v>
      </c>
      <c r="H4" s="1"/>
      <c r="I4" s="1"/>
      <c r="J4" s="1"/>
      <c r="K4" s="21" t="s">
        <v>102</v>
      </c>
      <c r="L4" s="1"/>
      <c r="M4" s="22">
        <v>0</v>
      </c>
      <c r="N4" s="1"/>
      <c r="O4" s="19" t="s">
        <v>9</v>
      </c>
      <c r="P4" s="69">
        <v>30</v>
      </c>
    </row>
    <row r="5" spans="1:16" ht="19.8" customHeight="1" x14ac:dyDescent="0.3">
      <c r="A5" s="23" t="s">
        <v>29</v>
      </c>
      <c r="B5" s="7"/>
      <c r="J5" s="2" t="s">
        <v>101</v>
      </c>
      <c r="M5" s="7" t="s">
        <v>10</v>
      </c>
      <c r="N5" s="6"/>
      <c r="O5" s="6"/>
      <c r="P5" s="24"/>
    </row>
    <row r="6" spans="1:16" ht="32.4" customHeight="1" x14ac:dyDescent="0.3">
      <c r="A6" s="51">
        <v>16</v>
      </c>
      <c r="B6" s="21" t="s">
        <v>2</v>
      </c>
      <c r="C6" s="136" t="s">
        <v>127</v>
      </c>
      <c r="D6" s="136"/>
      <c r="E6" s="136"/>
      <c r="F6" s="136"/>
      <c r="G6" s="136"/>
      <c r="H6" s="136"/>
      <c r="I6" s="136"/>
      <c r="J6" s="20">
        <v>2</v>
      </c>
      <c r="K6" s="20"/>
      <c r="M6" s="137" t="s">
        <v>57</v>
      </c>
      <c r="N6" s="137"/>
      <c r="O6" s="137"/>
      <c r="P6" s="25">
        <v>10</v>
      </c>
    </row>
    <row r="7" spans="1:16" ht="32.4" customHeight="1" x14ac:dyDescent="0.3">
      <c r="A7" s="51">
        <v>12</v>
      </c>
      <c r="B7" s="21" t="s">
        <v>3</v>
      </c>
      <c r="C7" s="136" t="s">
        <v>96</v>
      </c>
      <c r="D7" s="136"/>
      <c r="E7" s="136"/>
      <c r="F7" s="136"/>
      <c r="G7" s="136"/>
      <c r="H7" s="136"/>
      <c r="I7" s="136"/>
      <c r="J7" s="20">
        <v>0</v>
      </c>
      <c r="K7" s="20"/>
      <c r="M7" s="137" t="s">
        <v>11</v>
      </c>
      <c r="N7" s="137"/>
      <c r="O7" s="137"/>
      <c r="P7" s="25">
        <v>11</v>
      </c>
    </row>
    <row r="8" spans="1:16" ht="32.4" customHeight="1" x14ac:dyDescent="0.3">
      <c r="A8" s="51">
        <v>13</v>
      </c>
      <c r="B8" s="21" t="s">
        <v>4</v>
      </c>
      <c r="C8" s="136" t="s">
        <v>144</v>
      </c>
      <c r="D8" s="136"/>
      <c r="E8" s="136"/>
      <c r="F8" s="136"/>
      <c r="G8" s="136"/>
      <c r="H8" s="136"/>
      <c r="I8" s="136"/>
      <c r="J8" s="20">
        <v>1</v>
      </c>
      <c r="K8" s="20"/>
      <c r="M8" s="137" t="s">
        <v>14</v>
      </c>
      <c r="N8" s="137"/>
      <c r="O8" s="137"/>
      <c r="P8" s="25">
        <v>11</v>
      </c>
    </row>
    <row r="9" spans="1:16" ht="32.4" customHeight="1" x14ac:dyDescent="0.3">
      <c r="A9" s="51">
        <v>17</v>
      </c>
      <c r="B9" s="21" t="s">
        <v>5</v>
      </c>
      <c r="C9" s="136" t="s">
        <v>145</v>
      </c>
      <c r="D9" s="136"/>
      <c r="E9" s="136"/>
      <c r="F9" s="136"/>
      <c r="G9" s="136"/>
      <c r="H9" s="136"/>
      <c r="I9" s="136"/>
      <c r="J9" s="20">
        <v>2</v>
      </c>
      <c r="K9" s="20"/>
      <c r="M9" s="137" t="s">
        <v>12</v>
      </c>
      <c r="N9" s="137"/>
      <c r="O9" s="137"/>
      <c r="P9" s="25">
        <v>13</v>
      </c>
    </row>
    <row r="10" spans="1:16" ht="32.4" customHeight="1" x14ac:dyDescent="0.3">
      <c r="A10" s="51">
        <v>11</v>
      </c>
      <c r="B10" s="21" t="s">
        <v>6</v>
      </c>
      <c r="C10" s="136" t="s">
        <v>96</v>
      </c>
      <c r="D10" s="136"/>
      <c r="E10" s="136"/>
      <c r="F10" s="136"/>
      <c r="G10" s="136"/>
      <c r="H10" s="136"/>
      <c r="I10" s="136"/>
      <c r="J10" s="20">
        <v>0</v>
      </c>
      <c r="K10" s="20"/>
      <c r="M10" s="137" t="s">
        <v>13</v>
      </c>
      <c r="N10" s="137"/>
      <c r="O10" s="137"/>
      <c r="P10" s="25">
        <v>12</v>
      </c>
    </row>
    <row r="11" spans="1:16" ht="32.4" customHeight="1" x14ac:dyDescent="0.3">
      <c r="A11" s="51">
        <v>10</v>
      </c>
      <c r="B11" s="21" t="s">
        <v>7</v>
      </c>
      <c r="C11" s="136" t="s">
        <v>99</v>
      </c>
      <c r="D11" s="136"/>
      <c r="E11" s="136"/>
      <c r="F11" s="136"/>
      <c r="G11" s="136"/>
      <c r="H11" s="136"/>
      <c r="I11" s="136"/>
      <c r="J11" s="20">
        <v>0</v>
      </c>
      <c r="K11" s="20"/>
      <c r="P11" s="26"/>
    </row>
    <row r="12" spans="1:16" ht="8.4" customHeight="1" x14ac:dyDescent="0.3">
      <c r="A12" s="27"/>
      <c r="P12" s="26"/>
    </row>
    <row r="13" spans="1:16" s="3" customFormat="1" ht="15.6" customHeight="1" x14ac:dyDescent="0.3">
      <c r="A13" s="28" t="s">
        <v>16</v>
      </c>
      <c r="B13" s="4"/>
      <c r="C13" s="12"/>
      <c r="E13" s="4" t="s">
        <v>17</v>
      </c>
      <c r="F13" s="4"/>
      <c r="G13" s="4"/>
      <c r="H13" s="12"/>
      <c r="I13" s="29" t="s">
        <v>75</v>
      </c>
      <c r="J13" s="29" t="s">
        <v>76</v>
      </c>
      <c r="K13" s="29" t="s">
        <v>77</v>
      </c>
      <c r="N13" s="4" t="s">
        <v>63</v>
      </c>
      <c r="O13" s="5"/>
      <c r="P13" s="30"/>
    </row>
    <row r="14" spans="1:16" s="3" customFormat="1" ht="15.6" customHeight="1" x14ac:dyDescent="0.3">
      <c r="A14" s="138" t="s">
        <v>199</v>
      </c>
      <c r="B14" s="139"/>
      <c r="E14" s="12" t="s">
        <v>21</v>
      </c>
      <c r="F14" s="12"/>
      <c r="H14" s="31" t="s">
        <v>80</v>
      </c>
      <c r="I14" s="32">
        <v>30</v>
      </c>
      <c r="J14" s="1">
        <f>K14*1.5</f>
        <v>9</v>
      </c>
      <c r="K14" s="1">
        <f>I14/5</f>
        <v>6</v>
      </c>
      <c r="N14" s="3" t="s">
        <v>206</v>
      </c>
      <c r="P14" s="16"/>
    </row>
    <row r="15" spans="1:16" s="3" customFormat="1" ht="15.6" customHeight="1" x14ac:dyDescent="0.3">
      <c r="A15" s="138"/>
      <c r="B15" s="139"/>
      <c r="E15" s="33" t="s">
        <v>38</v>
      </c>
      <c r="F15" s="33"/>
      <c r="G15" s="34"/>
      <c r="H15" s="35" t="s">
        <v>81</v>
      </c>
      <c r="I15" s="36">
        <f>I14*3</f>
        <v>90</v>
      </c>
      <c r="J15" s="36">
        <f>K15*1.5</f>
        <v>27</v>
      </c>
      <c r="K15" s="36">
        <f t="shared" ref="K15:K18" si="0">I15/5</f>
        <v>18</v>
      </c>
      <c r="N15" s="3" t="s">
        <v>150</v>
      </c>
      <c r="P15" s="16"/>
    </row>
    <row r="16" spans="1:16" s="3" customFormat="1" ht="15.6" customHeight="1" x14ac:dyDescent="0.3">
      <c r="A16" s="138"/>
      <c r="B16" s="139"/>
      <c r="E16" s="12" t="s">
        <v>18</v>
      </c>
      <c r="F16" s="12"/>
      <c r="H16" s="31" t="s">
        <v>80</v>
      </c>
      <c r="I16" s="32">
        <f>I14*3</f>
        <v>90</v>
      </c>
      <c r="J16" s="1">
        <f>K16*1.5</f>
        <v>27</v>
      </c>
      <c r="K16" s="1">
        <f t="shared" si="0"/>
        <v>18</v>
      </c>
      <c r="N16" s="3" t="s">
        <v>169</v>
      </c>
      <c r="P16" s="16"/>
    </row>
    <row r="17" spans="1:16" s="3" customFormat="1" ht="15.6" customHeight="1" x14ac:dyDescent="0.3">
      <c r="A17" s="138"/>
      <c r="B17" s="139"/>
      <c r="E17" s="33" t="s">
        <v>35</v>
      </c>
      <c r="F17" s="33"/>
      <c r="G17" s="34"/>
      <c r="H17" s="35" t="s">
        <v>80</v>
      </c>
      <c r="I17" s="36">
        <f>I14/2</f>
        <v>15</v>
      </c>
      <c r="J17" s="36">
        <f>K17*1.5</f>
        <v>4.5</v>
      </c>
      <c r="K17" s="36">
        <f t="shared" si="0"/>
        <v>3</v>
      </c>
      <c r="N17" s="3" t="s">
        <v>125</v>
      </c>
      <c r="P17" s="16"/>
    </row>
    <row r="18" spans="1:16" s="3" customFormat="1" ht="15.6" customHeight="1" x14ac:dyDescent="0.3">
      <c r="A18" s="15"/>
      <c r="E18" s="12" t="s">
        <v>36</v>
      </c>
      <c r="F18" s="12"/>
      <c r="H18" s="31" t="s">
        <v>80</v>
      </c>
      <c r="I18" s="32">
        <f>I14/2</f>
        <v>15</v>
      </c>
      <c r="J18" s="1">
        <f>K18*1.5</f>
        <v>4.5</v>
      </c>
      <c r="K18" s="1">
        <f t="shared" si="0"/>
        <v>3</v>
      </c>
      <c r="N18" s="3" t="s">
        <v>67</v>
      </c>
      <c r="P18" s="16"/>
    </row>
    <row r="19" spans="1:16" s="3" customFormat="1" ht="15.6" customHeight="1" x14ac:dyDescent="0.3">
      <c r="A19" s="28" t="s">
        <v>71</v>
      </c>
      <c r="B19" s="4"/>
      <c r="E19" s="33" t="s">
        <v>22</v>
      </c>
      <c r="F19" s="33"/>
      <c r="G19" s="34"/>
      <c r="H19" s="35" t="s">
        <v>82</v>
      </c>
      <c r="I19" s="37" t="s">
        <v>209</v>
      </c>
      <c r="J19" s="37" t="s">
        <v>210</v>
      </c>
      <c r="K19" s="37"/>
      <c r="N19" s="3" t="s">
        <v>151</v>
      </c>
      <c r="P19" s="16"/>
    </row>
    <row r="20" spans="1:16" s="3" customFormat="1" ht="15.6" customHeight="1" x14ac:dyDescent="0.3">
      <c r="A20" s="15" t="s">
        <v>44</v>
      </c>
      <c r="B20" s="38">
        <v>0</v>
      </c>
      <c r="N20" s="130" t="s">
        <v>132</v>
      </c>
      <c r="O20" s="130"/>
      <c r="P20" s="131"/>
    </row>
    <row r="21" spans="1:16" s="3" customFormat="1" ht="15.6" customHeight="1" x14ac:dyDescent="0.3">
      <c r="A21" s="15" t="s">
        <v>41</v>
      </c>
      <c r="B21" s="38">
        <v>500</v>
      </c>
      <c r="E21" s="82" t="str">
        <f>'Cleric A'!E21</f>
        <v>THAC0 - Tiro = CA Colpita</v>
      </c>
      <c r="N21" s="3" t="s">
        <v>194</v>
      </c>
      <c r="P21" s="40"/>
    </row>
    <row r="22" spans="1:16" ht="15.6" customHeight="1" x14ac:dyDescent="0.3">
      <c r="A22" s="27" t="s">
        <v>45</v>
      </c>
      <c r="B22" s="38">
        <v>0</v>
      </c>
      <c r="E22" s="82" t="str">
        <f>'Cleric A'!E22</f>
        <v>THAC0 - CA avversario = Tiro necessario</v>
      </c>
      <c r="F22" s="3"/>
      <c r="N22" s="3"/>
      <c r="O22" s="39" t="s">
        <v>48</v>
      </c>
      <c r="P22" s="40">
        <v>12</v>
      </c>
    </row>
    <row r="23" spans="1:16" ht="15.6" customHeight="1" x14ac:dyDescent="0.3">
      <c r="A23" s="27" t="s">
        <v>42</v>
      </c>
      <c r="B23" s="38">
        <v>0</v>
      </c>
      <c r="E23" s="2" t="s">
        <v>105</v>
      </c>
      <c r="M23" s="12"/>
      <c r="N23" s="13"/>
      <c r="O23" s="39" t="s">
        <v>41</v>
      </c>
      <c r="P23" s="40">
        <v>5</v>
      </c>
    </row>
    <row r="24" spans="1:16" ht="15.6" customHeight="1" x14ac:dyDescent="0.3">
      <c r="A24" s="27"/>
      <c r="E24" s="2" t="s">
        <v>107</v>
      </c>
      <c r="M24" s="12"/>
      <c r="N24" s="12"/>
      <c r="P24" s="40"/>
    </row>
    <row r="25" spans="1:16" ht="15.6" customHeight="1" x14ac:dyDescent="0.3">
      <c r="A25" s="27"/>
      <c r="E25" s="2" t="s">
        <v>108</v>
      </c>
      <c r="P25" s="26"/>
    </row>
    <row r="26" spans="1:16" ht="15.6" customHeight="1" x14ac:dyDescent="0.3">
      <c r="A26" s="27"/>
      <c r="E26" s="2" t="s">
        <v>106</v>
      </c>
      <c r="P26" s="26"/>
    </row>
    <row r="27" spans="1:16" ht="15.6" customHeight="1" x14ac:dyDescent="0.3"/>
    <row r="28" spans="1:16" ht="15.6" customHeight="1" x14ac:dyDescent="0.3">
      <c r="A28" s="28" t="s">
        <v>43</v>
      </c>
      <c r="B28" s="4"/>
      <c r="C28" s="14" t="s">
        <v>109</v>
      </c>
      <c r="D28" s="6"/>
      <c r="E28" s="14" t="s">
        <v>110</v>
      </c>
      <c r="F28" s="6"/>
      <c r="G28" s="14" t="s">
        <v>111</v>
      </c>
      <c r="H28" s="6"/>
      <c r="I28" s="14"/>
      <c r="J28" s="6"/>
      <c r="K28" s="6"/>
      <c r="N28" s="4" t="s">
        <v>29</v>
      </c>
      <c r="O28" s="6"/>
      <c r="P28" s="24"/>
    </row>
    <row r="29" spans="1:16" ht="15.6" customHeight="1" x14ac:dyDescent="0.3">
      <c r="A29" s="68" t="s">
        <v>30</v>
      </c>
      <c r="B29" s="2" t="s">
        <v>204</v>
      </c>
      <c r="N29" s="2" t="s">
        <v>200</v>
      </c>
      <c r="P29" s="26"/>
    </row>
    <row r="30" spans="1:16" x14ac:dyDescent="0.3">
      <c r="A30" s="68" t="s">
        <v>31</v>
      </c>
      <c r="B30" s="2" t="s">
        <v>205</v>
      </c>
      <c r="N30" s="2" t="s">
        <v>32</v>
      </c>
      <c r="P30" s="26"/>
    </row>
    <row r="31" spans="1:16" ht="15.6" customHeight="1" x14ac:dyDescent="0.3">
      <c r="A31" s="68" t="s">
        <v>39</v>
      </c>
      <c r="B31" s="2" t="s">
        <v>203</v>
      </c>
      <c r="N31" s="2" t="s">
        <v>208</v>
      </c>
      <c r="P31" s="26"/>
    </row>
    <row r="32" spans="1:16" x14ac:dyDescent="0.3">
      <c r="A32" s="27"/>
      <c r="N32" s="2" t="s">
        <v>201</v>
      </c>
      <c r="P32" s="26"/>
    </row>
    <row r="33" spans="1:27" x14ac:dyDescent="0.3">
      <c r="A33" s="27"/>
      <c r="L33" s="81" t="s">
        <v>223</v>
      </c>
      <c r="P33" s="26"/>
    </row>
    <row r="34" spans="1:27" ht="15.6" x14ac:dyDescent="0.3">
      <c r="A34" s="41" t="s">
        <v>15</v>
      </c>
      <c r="B34" s="8" t="s">
        <v>19</v>
      </c>
      <c r="C34" s="10" t="s">
        <v>20</v>
      </c>
      <c r="D34" s="9">
        <v>8</v>
      </c>
      <c r="E34" s="10">
        <f>D34-1</f>
        <v>7</v>
      </c>
      <c r="F34" s="9">
        <f t="shared" ref="F34:L34" si="1">E34-1</f>
        <v>6</v>
      </c>
      <c r="G34" s="10">
        <f t="shared" si="1"/>
        <v>5</v>
      </c>
      <c r="H34" s="9">
        <f t="shared" si="1"/>
        <v>4</v>
      </c>
      <c r="I34" s="10">
        <f t="shared" si="1"/>
        <v>3</v>
      </c>
      <c r="J34" s="9">
        <f t="shared" si="1"/>
        <v>2</v>
      </c>
      <c r="K34" s="10">
        <f t="shared" si="1"/>
        <v>1</v>
      </c>
      <c r="L34" s="9">
        <f t="shared" si="1"/>
        <v>0</v>
      </c>
      <c r="M34" s="132" t="s">
        <v>26</v>
      </c>
      <c r="N34" s="132"/>
      <c r="O34" s="4" t="s">
        <v>27</v>
      </c>
      <c r="P34" s="24"/>
    </row>
    <row r="35" spans="1:27" ht="18" x14ac:dyDescent="0.3">
      <c r="A35" s="42" t="s">
        <v>163</v>
      </c>
      <c r="B35" s="1" t="s">
        <v>23</v>
      </c>
      <c r="C35" s="43">
        <v>6</v>
      </c>
      <c r="D35" s="44">
        <f>C35+1</f>
        <v>7</v>
      </c>
      <c r="E35" s="43">
        <f t="shared" ref="E35:L35" si="2">D35+1</f>
        <v>8</v>
      </c>
      <c r="F35" s="44">
        <f t="shared" si="2"/>
        <v>9</v>
      </c>
      <c r="G35" s="43">
        <f t="shared" si="2"/>
        <v>10</v>
      </c>
      <c r="H35" s="44">
        <f t="shared" si="2"/>
        <v>11</v>
      </c>
      <c r="I35" s="43">
        <f t="shared" si="2"/>
        <v>12</v>
      </c>
      <c r="J35" s="44">
        <f t="shared" si="2"/>
        <v>13</v>
      </c>
      <c r="K35" s="43">
        <f t="shared" si="2"/>
        <v>14</v>
      </c>
      <c r="L35" s="44">
        <f t="shared" si="2"/>
        <v>15</v>
      </c>
      <c r="M35" s="133" t="s">
        <v>202</v>
      </c>
      <c r="N35" s="133"/>
      <c r="P35" s="26"/>
    </row>
    <row r="36" spans="1:27" ht="18" x14ac:dyDescent="0.3">
      <c r="A36" s="42" t="s">
        <v>24</v>
      </c>
      <c r="B36" s="1" t="s">
        <v>23</v>
      </c>
      <c r="C36" s="43">
        <v>6</v>
      </c>
      <c r="D36" s="44">
        <f t="shared" ref="D36:L37" si="3">C36+1</f>
        <v>7</v>
      </c>
      <c r="E36" s="43">
        <f t="shared" si="3"/>
        <v>8</v>
      </c>
      <c r="F36" s="44">
        <f t="shared" si="3"/>
        <v>9</v>
      </c>
      <c r="G36" s="43">
        <f t="shared" si="3"/>
        <v>10</v>
      </c>
      <c r="H36" s="44">
        <f t="shared" si="3"/>
        <v>11</v>
      </c>
      <c r="I36" s="43">
        <f t="shared" si="3"/>
        <v>12</v>
      </c>
      <c r="J36" s="44">
        <f t="shared" si="3"/>
        <v>13</v>
      </c>
      <c r="K36" s="43">
        <f t="shared" si="3"/>
        <v>14</v>
      </c>
      <c r="L36" s="44">
        <f t="shared" si="3"/>
        <v>15</v>
      </c>
      <c r="M36" s="134" t="s">
        <v>120</v>
      </c>
      <c r="N36" s="134"/>
      <c r="O36" s="3"/>
      <c r="P36" s="26"/>
      <c r="AA36"/>
    </row>
    <row r="37" spans="1:27" ht="18.600000000000001" thickBot="1" x14ac:dyDescent="0.35">
      <c r="A37" s="45" t="s">
        <v>25</v>
      </c>
      <c r="B37" s="46" t="s">
        <v>121</v>
      </c>
      <c r="C37" s="47">
        <v>8</v>
      </c>
      <c r="D37" s="48">
        <f t="shared" si="3"/>
        <v>9</v>
      </c>
      <c r="E37" s="47">
        <f t="shared" si="3"/>
        <v>10</v>
      </c>
      <c r="F37" s="48">
        <f t="shared" si="3"/>
        <v>11</v>
      </c>
      <c r="G37" s="47">
        <f t="shared" si="3"/>
        <v>12</v>
      </c>
      <c r="H37" s="48">
        <f t="shared" si="3"/>
        <v>13</v>
      </c>
      <c r="I37" s="47">
        <f t="shared" si="3"/>
        <v>14</v>
      </c>
      <c r="J37" s="48">
        <f t="shared" si="3"/>
        <v>15</v>
      </c>
      <c r="K37" s="47">
        <f t="shared" si="3"/>
        <v>16</v>
      </c>
      <c r="L37" s="48">
        <f t="shared" si="3"/>
        <v>17</v>
      </c>
      <c r="M37" s="135" t="s">
        <v>28</v>
      </c>
      <c r="N37" s="135"/>
      <c r="O37" s="49"/>
      <c r="P37" s="50"/>
    </row>
  </sheetData>
  <mergeCells count="17"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N20:P20"/>
    <mergeCell ref="M34:N34"/>
    <mergeCell ref="M35:N35"/>
    <mergeCell ref="M36:N36"/>
    <mergeCell ref="M37:N37"/>
  </mergeCells>
  <pageMargins left="0.25" right="0.25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37"/>
  <sheetViews>
    <sheetView topLeftCell="A6" zoomScale="90" zoomScaleNormal="90" workbookViewId="0">
      <selection activeCell="B36" sqref="B36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52" t="s">
        <v>0</v>
      </c>
      <c r="B1" s="53" t="s">
        <v>181</v>
      </c>
      <c r="C1" s="53"/>
      <c r="D1" s="54"/>
      <c r="E1" s="70"/>
      <c r="F1" s="55"/>
      <c r="G1" s="72" t="s">
        <v>195</v>
      </c>
      <c r="H1" s="53"/>
      <c r="I1" s="55"/>
      <c r="J1" s="56"/>
      <c r="K1" s="57" t="s">
        <v>34</v>
      </c>
      <c r="L1" s="54"/>
      <c r="M1" s="54"/>
      <c r="N1" s="58" t="s">
        <v>104</v>
      </c>
      <c r="O1" s="53"/>
      <c r="P1" s="59"/>
    </row>
    <row r="2" spans="1:16" ht="20.399999999999999" customHeight="1" x14ac:dyDescent="0.3">
      <c r="A2" s="60" t="s">
        <v>103</v>
      </c>
      <c r="B2" s="61" t="s">
        <v>182</v>
      </c>
      <c r="C2" s="61"/>
      <c r="D2" s="62"/>
      <c r="E2" s="63" t="s">
        <v>33</v>
      </c>
      <c r="F2" s="64"/>
      <c r="G2" s="64" t="s">
        <v>182</v>
      </c>
      <c r="H2" s="64"/>
      <c r="I2" s="71" t="s">
        <v>141</v>
      </c>
      <c r="J2" s="62"/>
      <c r="K2" s="65" t="s">
        <v>1</v>
      </c>
      <c r="L2" s="66"/>
      <c r="M2" s="66"/>
      <c r="N2" s="61" t="s">
        <v>56</v>
      </c>
      <c r="O2" s="61"/>
      <c r="P2" s="67"/>
    </row>
    <row r="3" spans="1:16" ht="9.6" customHeight="1" x14ac:dyDescent="0.3">
      <c r="A3" s="15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6"/>
    </row>
    <row r="4" spans="1:16" ht="18.600000000000001" customHeight="1" x14ac:dyDescent="0.3">
      <c r="A4" s="17" t="s">
        <v>8</v>
      </c>
      <c r="B4" s="18">
        <v>2</v>
      </c>
      <c r="C4" s="1"/>
      <c r="D4" s="19" t="s">
        <v>37</v>
      </c>
      <c r="E4" s="1"/>
      <c r="F4" s="20">
        <v>22</v>
      </c>
      <c r="G4" s="73" t="s">
        <v>183</v>
      </c>
      <c r="H4" s="1"/>
      <c r="I4" s="1"/>
      <c r="J4" s="1"/>
      <c r="K4" s="21" t="s">
        <v>102</v>
      </c>
      <c r="L4" s="1"/>
      <c r="M4" s="22">
        <v>0</v>
      </c>
      <c r="N4" s="1"/>
      <c r="O4" s="19" t="s">
        <v>9</v>
      </c>
      <c r="P4" s="69">
        <v>44</v>
      </c>
    </row>
    <row r="5" spans="1:16" ht="19.8" customHeight="1" x14ac:dyDescent="0.3">
      <c r="A5" s="23" t="s">
        <v>29</v>
      </c>
      <c r="B5" s="7"/>
      <c r="J5" s="2" t="s">
        <v>101</v>
      </c>
      <c r="M5" s="7" t="s">
        <v>10</v>
      </c>
      <c r="N5" s="6"/>
      <c r="O5" s="6"/>
      <c r="P5" s="24"/>
    </row>
    <row r="6" spans="1:16" ht="32.4" customHeight="1" x14ac:dyDescent="0.3">
      <c r="A6" s="51">
        <v>13</v>
      </c>
      <c r="B6" s="21" t="s">
        <v>2</v>
      </c>
      <c r="C6" s="136" t="s">
        <v>184</v>
      </c>
      <c r="D6" s="136"/>
      <c r="E6" s="136"/>
      <c r="F6" s="136"/>
      <c r="G6" s="136"/>
      <c r="H6" s="136"/>
      <c r="I6" s="136"/>
      <c r="J6" s="20">
        <v>1</v>
      </c>
      <c r="K6" s="20"/>
      <c r="M6" s="137" t="s">
        <v>57</v>
      </c>
      <c r="N6" s="137"/>
      <c r="O6" s="137"/>
      <c r="P6" s="25">
        <v>6</v>
      </c>
    </row>
    <row r="7" spans="1:16" ht="32.4" customHeight="1" x14ac:dyDescent="0.3">
      <c r="A7" s="51">
        <v>10</v>
      </c>
      <c r="B7" s="21" t="s">
        <v>3</v>
      </c>
      <c r="C7" s="136" t="s">
        <v>96</v>
      </c>
      <c r="D7" s="136"/>
      <c r="E7" s="136"/>
      <c r="F7" s="136"/>
      <c r="G7" s="136"/>
      <c r="H7" s="136"/>
      <c r="I7" s="136"/>
      <c r="J7" s="20">
        <v>0</v>
      </c>
      <c r="K7" s="20"/>
      <c r="M7" s="137" t="s">
        <v>11</v>
      </c>
      <c r="N7" s="137"/>
      <c r="O7" s="137"/>
      <c r="P7" s="25">
        <v>6</v>
      </c>
    </row>
    <row r="8" spans="1:16" ht="32.4" customHeight="1" x14ac:dyDescent="0.3">
      <c r="A8" s="51">
        <v>16</v>
      </c>
      <c r="B8" s="21" t="s">
        <v>4</v>
      </c>
      <c r="C8" s="136" t="s">
        <v>144</v>
      </c>
      <c r="D8" s="136"/>
      <c r="E8" s="136"/>
      <c r="F8" s="136"/>
      <c r="G8" s="136"/>
      <c r="H8" s="136"/>
      <c r="I8" s="136"/>
      <c r="J8" s="20">
        <v>2</v>
      </c>
      <c r="K8" s="20"/>
      <c r="M8" s="137" t="s">
        <v>14</v>
      </c>
      <c r="N8" s="137"/>
      <c r="O8" s="137"/>
      <c r="P8" s="25">
        <v>7</v>
      </c>
    </row>
    <row r="9" spans="1:16" ht="32.4" customHeight="1" x14ac:dyDescent="0.3">
      <c r="A9" s="51">
        <v>10</v>
      </c>
      <c r="B9" s="21" t="s">
        <v>5</v>
      </c>
      <c r="C9" s="136" t="s">
        <v>185</v>
      </c>
      <c r="D9" s="136"/>
      <c r="E9" s="136"/>
      <c r="F9" s="136"/>
      <c r="G9" s="136"/>
      <c r="H9" s="136"/>
      <c r="I9" s="136"/>
      <c r="J9" s="20">
        <v>0</v>
      </c>
      <c r="K9" s="20"/>
      <c r="M9" s="137" t="s">
        <v>12</v>
      </c>
      <c r="N9" s="137"/>
      <c r="O9" s="137"/>
      <c r="P9" s="25">
        <v>10</v>
      </c>
    </row>
    <row r="10" spans="1:16" ht="32.4" customHeight="1" x14ac:dyDescent="0.3">
      <c r="A10" s="51">
        <v>13</v>
      </c>
      <c r="B10" s="21" t="s">
        <v>6</v>
      </c>
      <c r="C10" s="136" t="s">
        <v>186</v>
      </c>
      <c r="D10" s="136"/>
      <c r="E10" s="136"/>
      <c r="F10" s="136"/>
      <c r="G10" s="136"/>
      <c r="H10" s="136"/>
      <c r="I10" s="136"/>
      <c r="J10" s="20">
        <v>1</v>
      </c>
      <c r="K10" s="20"/>
      <c r="M10" s="137" t="s">
        <v>13</v>
      </c>
      <c r="N10" s="137"/>
      <c r="O10" s="137"/>
      <c r="P10" s="25">
        <v>9</v>
      </c>
    </row>
    <row r="11" spans="1:16" ht="32.4" customHeight="1" x14ac:dyDescent="0.3">
      <c r="A11" s="51">
        <v>11</v>
      </c>
      <c r="B11" s="21" t="s">
        <v>7</v>
      </c>
      <c r="C11" s="136" t="s">
        <v>99</v>
      </c>
      <c r="D11" s="136"/>
      <c r="E11" s="136"/>
      <c r="F11" s="136"/>
      <c r="G11" s="136"/>
      <c r="H11" s="136"/>
      <c r="I11" s="136"/>
      <c r="J11" s="20">
        <v>0</v>
      </c>
      <c r="K11" s="20"/>
      <c r="P11" s="26"/>
    </row>
    <row r="12" spans="1:16" ht="9" customHeight="1" x14ac:dyDescent="0.3">
      <c r="A12" s="27"/>
      <c r="P12" s="26"/>
    </row>
    <row r="13" spans="1:16" s="3" customFormat="1" ht="15.6" customHeight="1" x14ac:dyDescent="0.3">
      <c r="A13" s="28" t="s">
        <v>16</v>
      </c>
      <c r="B13" s="4"/>
      <c r="C13" s="12"/>
      <c r="E13" s="4" t="s">
        <v>17</v>
      </c>
      <c r="F13" s="4"/>
      <c r="G13" s="4"/>
      <c r="H13" s="12"/>
      <c r="I13" s="29" t="s">
        <v>75</v>
      </c>
      <c r="J13" s="29" t="s">
        <v>76</v>
      </c>
      <c r="K13" s="29" t="s">
        <v>77</v>
      </c>
      <c r="N13" s="4" t="s">
        <v>63</v>
      </c>
      <c r="O13" s="5"/>
      <c r="P13" s="30"/>
    </row>
    <row r="14" spans="1:16" s="3" customFormat="1" ht="15.6" customHeight="1" x14ac:dyDescent="0.3">
      <c r="A14" s="138" t="s">
        <v>187</v>
      </c>
      <c r="B14" s="139"/>
      <c r="E14" s="12" t="s">
        <v>21</v>
      </c>
      <c r="F14" s="12"/>
      <c r="H14" s="31" t="s">
        <v>80</v>
      </c>
      <c r="I14" s="32">
        <v>20</v>
      </c>
      <c r="J14" s="1">
        <f>K14*1.5</f>
        <v>6</v>
      </c>
      <c r="K14" s="1">
        <f>I14/5</f>
        <v>4</v>
      </c>
      <c r="N14" s="3" t="s">
        <v>64</v>
      </c>
      <c r="P14" s="16"/>
    </row>
    <row r="15" spans="1:16" s="3" customFormat="1" ht="15.6" customHeight="1" x14ac:dyDescent="0.3">
      <c r="A15" s="138"/>
      <c r="B15" s="139"/>
      <c r="E15" s="33" t="s">
        <v>38</v>
      </c>
      <c r="F15" s="33"/>
      <c r="G15" s="34"/>
      <c r="H15" s="35" t="s">
        <v>81</v>
      </c>
      <c r="I15" s="36">
        <v>60</v>
      </c>
      <c r="J15" s="36">
        <f>K15*1.5</f>
        <v>18</v>
      </c>
      <c r="K15" s="36">
        <f t="shared" ref="K15:K18" si="0">I15/5</f>
        <v>12</v>
      </c>
      <c r="N15" s="3" t="s">
        <v>150</v>
      </c>
      <c r="P15" s="16"/>
    </row>
    <row r="16" spans="1:16" s="3" customFormat="1" ht="15.6" customHeight="1" x14ac:dyDescent="0.3">
      <c r="A16" s="138"/>
      <c r="B16" s="139"/>
      <c r="E16" s="12" t="s">
        <v>18</v>
      </c>
      <c r="F16" s="12"/>
      <c r="H16" s="31" t="s">
        <v>80</v>
      </c>
      <c r="I16" s="32">
        <v>60</v>
      </c>
      <c r="J16" s="1">
        <f>K16*1.5</f>
        <v>18</v>
      </c>
      <c r="K16" s="1">
        <f t="shared" si="0"/>
        <v>12</v>
      </c>
      <c r="N16" s="3" t="s">
        <v>167</v>
      </c>
      <c r="P16" s="16"/>
    </row>
    <row r="17" spans="1:16" s="3" customFormat="1" ht="15.6" customHeight="1" x14ac:dyDescent="0.3">
      <c r="A17" s="138"/>
      <c r="B17" s="139"/>
      <c r="E17" s="33" t="s">
        <v>35</v>
      </c>
      <c r="F17" s="33"/>
      <c r="G17" s="34"/>
      <c r="H17" s="35" t="s">
        <v>80</v>
      </c>
      <c r="I17" s="36">
        <v>10</v>
      </c>
      <c r="J17" s="36">
        <f>K17*1.5</f>
        <v>3</v>
      </c>
      <c r="K17" s="36">
        <f t="shared" si="0"/>
        <v>2</v>
      </c>
      <c r="N17" s="3" t="s">
        <v>67</v>
      </c>
      <c r="P17" s="16"/>
    </row>
    <row r="18" spans="1:16" s="3" customFormat="1" ht="15.6" customHeight="1" x14ac:dyDescent="0.3">
      <c r="A18" s="15"/>
      <c r="E18" s="12" t="s">
        <v>36</v>
      </c>
      <c r="F18" s="12"/>
      <c r="H18" s="31" t="s">
        <v>80</v>
      </c>
      <c r="I18" s="32">
        <v>10</v>
      </c>
      <c r="J18" s="1">
        <f>K18*1.5</f>
        <v>3</v>
      </c>
      <c r="K18" s="1">
        <f t="shared" si="0"/>
        <v>2</v>
      </c>
      <c r="N18" s="3" t="s">
        <v>193</v>
      </c>
      <c r="P18" s="16"/>
    </row>
    <row r="19" spans="1:16" s="3" customFormat="1" ht="15.6" customHeight="1" x14ac:dyDescent="0.3">
      <c r="A19" s="28" t="s">
        <v>71</v>
      </c>
      <c r="B19" s="4"/>
      <c r="E19" s="33" t="s">
        <v>22</v>
      </c>
      <c r="F19" s="33"/>
      <c r="G19" s="34"/>
      <c r="H19" s="35" t="s">
        <v>82</v>
      </c>
      <c r="I19" s="37" t="s">
        <v>79</v>
      </c>
      <c r="J19" s="37" t="s">
        <v>78</v>
      </c>
      <c r="K19" s="37"/>
      <c r="N19" s="3" t="s">
        <v>194</v>
      </c>
      <c r="P19" s="16"/>
    </row>
    <row r="20" spans="1:16" s="3" customFormat="1" ht="15.6" customHeight="1" x14ac:dyDescent="0.3">
      <c r="A20" s="15" t="s">
        <v>44</v>
      </c>
      <c r="B20" s="38">
        <v>0</v>
      </c>
      <c r="N20" s="130" t="s">
        <v>132</v>
      </c>
      <c r="O20" s="130"/>
      <c r="P20" s="131"/>
    </row>
    <row r="21" spans="1:16" s="3" customFormat="1" ht="15.6" customHeight="1" x14ac:dyDescent="0.3">
      <c r="A21" s="15" t="s">
        <v>41</v>
      </c>
      <c r="B21" s="38">
        <v>500</v>
      </c>
      <c r="E21" s="82" t="str">
        <f>'Cleric A'!E21</f>
        <v>THAC0 - Tiro = CA Colpita</v>
      </c>
      <c r="O21" s="39" t="s">
        <v>48</v>
      </c>
      <c r="P21" s="40">
        <v>11</v>
      </c>
    </row>
    <row r="22" spans="1:16" ht="15.6" customHeight="1" x14ac:dyDescent="0.3">
      <c r="A22" s="27" t="s">
        <v>45</v>
      </c>
      <c r="B22" s="38">
        <v>0</v>
      </c>
      <c r="E22" s="82" t="str">
        <f>'Cleric A'!E22</f>
        <v>THAC0 - CA avversario = Tiro necessario</v>
      </c>
      <c r="N22" s="3"/>
      <c r="O22" s="39" t="s">
        <v>41</v>
      </c>
      <c r="P22" s="40">
        <v>5</v>
      </c>
    </row>
    <row r="23" spans="1:16" ht="15.6" customHeight="1" x14ac:dyDescent="0.3">
      <c r="A23" s="27" t="s">
        <v>42</v>
      </c>
      <c r="B23" s="38">
        <v>0</v>
      </c>
      <c r="E23" s="2" t="s">
        <v>105</v>
      </c>
      <c r="M23" s="12"/>
      <c r="N23" s="13"/>
      <c r="P23" s="26"/>
    </row>
    <row r="24" spans="1:16" ht="15.6" customHeight="1" x14ac:dyDescent="0.3">
      <c r="A24" s="27"/>
      <c r="E24" s="2" t="s">
        <v>107</v>
      </c>
      <c r="M24" s="12"/>
      <c r="N24" s="12"/>
      <c r="P24" s="26"/>
    </row>
    <row r="25" spans="1:16" ht="15.6" customHeight="1" x14ac:dyDescent="0.3">
      <c r="A25" s="27"/>
      <c r="E25" s="2" t="s">
        <v>108</v>
      </c>
      <c r="P25" s="26"/>
    </row>
    <row r="26" spans="1:16" ht="15.6" customHeight="1" x14ac:dyDescent="0.3">
      <c r="A26" s="27"/>
      <c r="E26" s="2" t="s">
        <v>106</v>
      </c>
      <c r="P26" s="26"/>
    </row>
    <row r="27" spans="1:16" ht="15.6" customHeight="1" x14ac:dyDescent="0.3">
      <c r="E27" s="2" t="s">
        <v>138</v>
      </c>
    </row>
    <row r="28" spans="1:16" ht="15.6" customHeight="1" x14ac:dyDescent="0.3">
      <c r="A28" s="76" t="s">
        <v>137</v>
      </c>
      <c r="B28" s="75"/>
      <c r="C28" s="75" t="s">
        <v>8</v>
      </c>
      <c r="E28" s="32"/>
      <c r="G28" s="32"/>
      <c r="I28" s="32"/>
      <c r="N28" s="4" t="s">
        <v>29</v>
      </c>
      <c r="O28" s="6"/>
      <c r="P28" s="24"/>
    </row>
    <row r="29" spans="1:16" ht="15.6" customHeight="1" x14ac:dyDescent="0.3">
      <c r="A29" s="78" t="s">
        <v>136</v>
      </c>
      <c r="B29" s="11"/>
      <c r="C29" s="74">
        <v>2</v>
      </c>
      <c r="N29" s="2" t="s">
        <v>61</v>
      </c>
      <c r="P29" s="26"/>
    </row>
    <row r="30" spans="1:16" x14ac:dyDescent="0.3">
      <c r="A30" s="78" t="s">
        <v>134</v>
      </c>
      <c r="B30" s="11"/>
      <c r="C30" s="11">
        <v>3</v>
      </c>
      <c r="N30" s="2" t="s">
        <v>32</v>
      </c>
      <c r="P30" s="26"/>
    </row>
    <row r="31" spans="1:16" ht="15.6" customHeight="1" x14ac:dyDescent="0.3">
      <c r="A31" s="78" t="s">
        <v>164</v>
      </c>
      <c r="B31" s="11"/>
      <c r="C31" s="11">
        <v>3</v>
      </c>
      <c r="N31" s="2" t="s">
        <v>62</v>
      </c>
      <c r="P31" s="26"/>
    </row>
    <row r="32" spans="1:16" x14ac:dyDescent="0.3">
      <c r="A32" s="78" t="s">
        <v>24</v>
      </c>
      <c r="B32" s="11"/>
      <c r="C32" s="11">
        <v>3</v>
      </c>
      <c r="N32" s="2" t="s">
        <v>188</v>
      </c>
      <c r="P32" s="26"/>
    </row>
    <row r="33" spans="1:27" x14ac:dyDescent="0.3">
      <c r="A33" s="27"/>
      <c r="L33" s="81" t="s">
        <v>223</v>
      </c>
      <c r="P33" s="26"/>
    </row>
    <row r="34" spans="1:27" ht="15.6" x14ac:dyDescent="0.3">
      <c r="A34" s="41" t="s">
        <v>15</v>
      </c>
      <c r="B34" s="8" t="s">
        <v>19</v>
      </c>
      <c r="C34" s="10" t="s">
        <v>20</v>
      </c>
      <c r="D34" s="9">
        <v>8</v>
      </c>
      <c r="E34" s="10">
        <f>D34-1</f>
        <v>7</v>
      </c>
      <c r="F34" s="9">
        <f t="shared" ref="F34:L34" si="1">E34-1</f>
        <v>6</v>
      </c>
      <c r="G34" s="10">
        <f t="shared" si="1"/>
        <v>5</v>
      </c>
      <c r="H34" s="9">
        <f t="shared" si="1"/>
        <v>4</v>
      </c>
      <c r="I34" s="10">
        <f t="shared" si="1"/>
        <v>3</v>
      </c>
      <c r="J34" s="9">
        <f t="shared" si="1"/>
        <v>2</v>
      </c>
      <c r="K34" s="10">
        <f t="shared" si="1"/>
        <v>1</v>
      </c>
      <c r="L34" s="9">
        <f t="shared" si="1"/>
        <v>0</v>
      </c>
      <c r="M34" s="132" t="s">
        <v>26</v>
      </c>
      <c r="N34" s="132"/>
      <c r="O34" s="4" t="s">
        <v>27</v>
      </c>
      <c r="P34" s="24"/>
    </row>
    <row r="35" spans="1:27" ht="18" x14ac:dyDescent="0.3">
      <c r="A35" s="42" t="s">
        <v>118</v>
      </c>
      <c r="B35" s="1" t="s">
        <v>251</v>
      </c>
      <c r="C35" s="43">
        <v>7</v>
      </c>
      <c r="D35" s="44">
        <f>C35+1</f>
        <v>8</v>
      </c>
      <c r="E35" s="43">
        <f t="shared" ref="E35:L35" si="2">D35+1</f>
        <v>9</v>
      </c>
      <c r="F35" s="44">
        <f t="shared" si="2"/>
        <v>10</v>
      </c>
      <c r="G35" s="43">
        <f t="shared" si="2"/>
        <v>11</v>
      </c>
      <c r="H35" s="44">
        <f t="shared" si="2"/>
        <v>12</v>
      </c>
      <c r="I35" s="43">
        <f t="shared" si="2"/>
        <v>13</v>
      </c>
      <c r="J35" s="44">
        <f t="shared" si="2"/>
        <v>14</v>
      </c>
      <c r="K35" s="43">
        <f t="shared" si="2"/>
        <v>15</v>
      </c>
      <c r="L35" s="44">
        <f t="shared" si="2"/>
        <v>16</v>
      </c>
      <c r="M35" s="133" t="s">
        <v>189</v>
      </c>
      <c r="N35" s="133"/>
      <c r="O35" s="2" t="s">
        <v>192</v>
      </c>
      <c r="P35" s="26"/>
    </row>
    <row r="36" spans="1:27" ht="18" x14ac:dyDescent="0.3">
      <c r="A36" s="42" t="s">
        <v>24</v>
      </c>
      <c r="B36" s="1" t="s">
        <v>23</v>
      </c>
      <c r="C36" s="43">
        <v>7</v>
      </c>
      <c r="D36" s="44">
        <f t="shared" ref="D36:L37" si="3">C36+1</f>
        <v>8</v>
      </c>
      <c r="E36" s="43">
        <f t="shared" si="3"/>
        <v>9</v>
      </c>
      <c r="F36" s="44">
        <f t="shared" si="3"/>
        <v>10</v>
      </c>
      <c r="G36" s="43">
        <f t="shared" si="3"/>
        <v>11</v>
      </c>
      <c r="H36" s="44">
        <f t="shared" si="3"/>
        <v>12</v>
      </c>
      <c r="I36" s="43">
        <f t="shared" si="3"/>
        <v>13</v>
      </c>
      <c r="J36" s="44">
        <f t="shared" si="3"/>
        <v>14</v>
      </c>
      <c r="K36" s="43">
        <f t="shared" si="3"/>
        <v>15</v>
      </c>
      <c r="L36" s="44">
        <f t="shared" si="3"/>
        <v>16</v>
      </c>
      <c r="M36" s="134" t="s">
        <v>191</v>
      </c>
      <c r="N36" s="134"/>
      <c r="O36" s="3" t="s">
        <v>130</v>
      </c>
      <c r="P36" s="26"/>
      <c r="AA36"/>
    </row>
    <row r="37" spans="1:27" ht="18.600000000000001" thickBot="1" x14ac:dyDescent="0.35">
      <c r="A37" s="45" t="s">
        <v>164</v>
      </c>
      <c r="B37" s="46" t="s">
        <v>190</v>
      </c>
      <c r="C37" s="47">
        <v>8</v>
      </c>
      <c r="D37" s="48">
        <f t="shared" si="3"/>
        <v>9</v>
      </c>
      <c r="E37" s="47">
        <f t="shared" si="3"/>
        <v>10</v>
      </c>
      <c r="F37" s="48">
        <f t="shared" si="3"/>
        <v>11</v>
      </c>
      <c r="G37" s="47">
        <f t="shared" si="3"/>
        <v>12</v>
      </c>
      <c r="H37" s="48">
        <f t="shared" si="3"/>
        <v>13</v>
      </c>
      <c r="I37" s="47">
        <f t="shared" si="3"/>
        <v>14</v>
      </c>
      <c r="J37" s="48">
        <f t="shared" si="3"/>
        <v>15</v>
      </c>
      <c r="K37" s="47">
        <f t="shared" si="3"/>
        <v>16</v>
      </c>
      <c r="L37" s="48">
        <f t="shared" si="3"/>
        <v>17</v>
      </c>
      <c r="M37" s="135" t="s">
        <v>28</v>
      </c>
      <c r="N37" s="135"/>
      <c r="O37" s="49" t="s">
        <v>131</v>
      </c>
      <c r="P37" s="50"/>
    </row>
  </sheetData>
  <mergeCells count="17"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N20:P20"/>
    <mergeCell ref="M34:N34"/>
    <mergeCell ref="M35:N35"/>
    <mergeCell ref="M36:N36"/>
    <mergeCell ref="M37:N37"/>
  </mergeCells>
  <pageMargins left="0.25" right="0.25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37"/>
  <sheetViews>
    <sheetView topLeftCell="A10" zoomScale="110" zoomScaleNormal="110" workbookViewId="0">
      <selection activeCell="E21" sqref="E21:E22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52" t="s">
        <v>0</v>
      </c>
      <c r="B1" s="53" t="s">
        <v>160</v>
      </c>
      <c r="C1" s="53"/>
      <c r="D1" s="54"/>
      <c r="E1" s="70"/>
      <c r="F1" s="55"/>
      <c r="G1" s="72" t="s">
        <v>180</v>
      </c>
      <c r="H1" s="53"/>
      <c r="I1" s="55"/>
      <c r="J1" s="56"/>
      <c r="K1" s="57" t="s">
        <v>34</v>
      </c>
      <c r="L1" s="54"/>
      <c r="M1" s="54"/>
      <c r="N1" s="58" t="s">
        <v>104</v>
      </c>
      <c r="O1" s="53"/>
      <c r="P1" s="59"/>
    </row>
    <row r="2" spans="1:16" ht="20.399999999999999" customHeight="1" x14ac:dyDescent="0.3">
      <c r="A2" s="60" t="s">
        <v>103</v>
      </c>
      <c r="B2" s="61" t="s">
        <v>84</v>
      </c>
      <c r="C2" s="61"/>
      <c r="D2" s="62"/>
      <c r="E2" s="63" t="s">
        <v>33</v>
      </c>
      <c r="F2" s="64"/>
      <c r="G2" s="64" t="s">
        <v>159</v>
      </c>
      <c r="H2" s="64"/>
      <c r="I2" s="71" t="s">
        <v>114</v>
      </c>
      <c r="J2" s="62"/>
      <c r="K2" s="65" t="s">
        <v>1</v>
      </c>
      <c r="L2" s="66"/>
      <c r="M2" s="66"/>
      <c r="N2" s="61" t="s">
        <v>56</v>
      </c>
      <c r="O2" s="61"/>
      <c r="P2" s="67"/>
    </row>
    <row r="3" spans="1:16" ht="9.6" customHeight="1" x14ac:dyDescent="0.3">
      <c r="A3" s="15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6"/>
    </row>
    <row r="4" spans="1:16" ht="18.600000000000001" customHeight="1" x14ac:dyDescent="0.3">
      <c r="A4" s="17" t="s">
        <v>8</v>
      </c>
      <c r="B4" s="18">
        <v>4</v>
      </c>
      <c r="C4" s="1"/>
      <c r="D4" s="19" t="s">
        <v>37</v>
      </c>
      <c r="E4" s="1"/>
      <c r="F4" s="20">
        <v>20</v>
      </c>
      <c r="G4" s="73" t="s">
        <v>72</v>
      </c>
      <c r="H4" s="1"/>
      <c r="I4" s="1"/>
      <c r="J4" s="1"/>
      <c r="K4" s="21" t="s">
        <v>102</v>
      </c>
      <c r="L4" s="1"/>
      <c r="M4" s="22">
        <v>2</v>
      </c>
      <c r="N4" s="1"/>
      <c r="O4" s="19" t="s">
        <v>9</v>
      </c>
      <c r="P4" s="69">
        <v>26</v>
      </c>
    </row>
    <row r="5" spans="1:16" ht="19.8" customHeight="1" x14ac:dyDescent="0.3">
      <c r="A5" s="23" t="s">
        <v>29</v>
      </c>
      <c r="B5" s="7"/>
      <c r="J5" s="2" t="s">
        <v>101</v>
      </c>
      <c r="M5" s="7" t="s">
        <v>10</v>
      </c>
      <c r="N5" s="6"/>
      <c r="O5" s="6"/>
      <c r="P5" s="24"/>
    </row>
    <row r="6" spans="1:16" ht="32.4" customHeight="1" x14ac:dyDescent="0.3">
      <c r="A6" s="51">
        <v>9</v>
      </c>
      <c r="B6" s="21" t="s">
        <v>2</v>
      </c>
      <c r="C6" s="136" t="s">
        <v>94</v>
      </c>
      <c r="D6" s="136"/>
      <c r="E6" s="136"/>
      <c r="F6" s="136"/>
      <c r="G6" s="136"/>
      <c r="H6" s="136"/>
      <c r="I6" s="136"/>
      <c r="J6" s="20">
        <v>0</v>
      </c>
      <c r="K6" s="20"/>
      <c r="M6" s="137" t="s">
        <v>57</v>
      </c>
      <c r="N6" s="137"/>
      <c r="O6" s="137"/>
      <c r="P6" s="25">
        <v>12</v>
      </c>
    </row>
    <row r="7" spans="1:16" ht="32.4" customHeight="1" x14ac:dyDescent="0.3">
      <c r="A7" s="51">
        <v>16</v>
      </c>
      <c r="B7" s="21" t="s">
        <v>3</v>
      </c>
      <c r="C7" s="136" t="s">
        <v>128</v>
      </c>
      <c r="D7" s="136"/>
      <c r="E7" s="136"/>
      <c r="F7" s="136"/>
      <c r="G7" s="136"/>
      <c r="H7" s="136"/>
      <c r="I7" s="136"/>
      <c r="J7" s="20">
        <v>2</v>
      </c>
      <c r="K7" s="20"/>
      <c r="M7" s="137" t="s">
        <v>11</v>
      </c>
      <c r="N7" s="137"/>
      <c r="O7" s="137"/>
      <c r="P7" s="25">
        <v>14</v>
      </c>
    </row>
    <row r="8" spans="1:16" ht="32.4" customHeight="1" x14ac:dyDescent="0.3">
      <c r="A8" s="51">
        <v>13</v>
      </c>
      <c r="B8" s="21" t="s">
        <v>4</v>
      </c>
      <c r="C8" s="136" t="s">
        <v>144</v>
      </c>
      <c r="D8" s="136"/>
      <c r="E8" s="136"/>
      <c r="F8" s="136"/>
      <c r="G8" s="136"/>
      <c r="H8" s="136"/>
      <c r="I8" s="136"/>
      <c r="J8" s="20">
        <v>1</v>
      </c>
      <c r="K8" s="20"/>
      <c r="M8" s="137" t="s">
        <v>14</v>
      </c>
      <c r="N8" s="137"/>
      <c r="O8" s="137"/>
      <c r="P8" s="25">
        <v>12</v>
      </c>
    </row>
    <row r="9" spans="1:16" ht="32.4" customHeight="1" x14ac:dyDescent="0.3">
      <c r="A9" s="51">
        <v>14</v>
      </c>
      <c r="B9" s="21" t="s">
        <v>5</v>
      </c>
      <c r="C9" s="136" t="s">
        <v>145</v>
      </c>
      <c r="D9" s="136"/>
      <c r="E9" s="136"/>
      <c r="F9" s="136"/>
      <c r="G9" s="136"/>
      <c r="H9" s="136"/>
      <c r="I9" s="136"/>
      <c r="J9" s="20">
        <v>1</v>
      </c>
      <c r="K9" s="20"/>
      <c r="M9" s="137" t="s">
        <v>12</v>
      </c>
      <c r="N9" s="137"/>
      <c r="O9" s="137"/>
      <c r="P9" s="25">
        <v>16</v>
      </c>
    </row>
    <row r="10" spans="1:16" ht="32.4" customHeight="1" x14ac:dyDescent="0.3">
      <c r="A10" s="51">
        <v>6</v>
      </c>
      <c r="B10" s="21" t="s">
        <v>6</v>
      </c>
      <c r="C10" s="136" t="s">
        <v>129</v>
      </c>
      <c r="D10" s="136"/>
      <c r="E10" s="136"/>
      <c r="F10" s="136"/>
      <c r="G10" s="136"/>
      <c r="H10" s="136"/>
      <c r="I10" s="136"/>
      <c r="J10" s="20">
        <v>-1</v>
      </c>
      <c r="K10" s="20"/>
      <c r="M10" s="137" t="s">
        <v>13</v>
      </c>
      <c r="N10" s="137"/>
      <c r="O10" s="137"/>
      <c r="P10" s="25">
        <v>14</v>
      </c>
    </row>
    <row r="11" spans="1:16" ht="32.4" customHeight="1" x14ac:dyDescent="0.3">
      <c r="A11" s="51">
        <v>10</v>
      </c>
      <c r="B11" s="21" t="s">
        <v>7</v>
      </c>
      <c r="C11" s="136" t="s">
        <v>99</v>
      </c>
      <c r="D11" s="136"/>
      <c r="E11" s="136"/>
      <c r="F11" s="136"/>
      <c r="G11" s="136"/>
      <c r="H11" s="136"/>
      <c r="I11" s="136"/>
      <c r="J11" s="20">
        <v>0</v>
      </c>
      <c r="K11" s="20"/>
      <c r="P11" s="26"/>
    </row>
    <row r="12" spans="1:16" ht="8.4" customHeight="1" x14ac:dyDescent="0.3">
      <c r="A12" s="27"/>
      <c r="P12" s="26"/>
    </row>
    <row r="13" spans="1:16" s="3" customFormat="1" ht="15.6" customHeight="1" x14ac:dyDescent="0.3">
      <c r="A13" s="28" t="s">
        <v>16</v>
      </c>
      <c r="B13" s="4"/>
      <c r="C13" s="12"/>
      <c r="E13" s="4" t="s">
        <v>17</v>
      </c>
      <c r="F13" s="4"/>
      <c r="G13" s="4"/>
      <c r="H13" s="12"/>
      <c r="I13" s="29" t="s">
        <v>75</v>
      </c>
      <c r="J13" s="29" t="s">
        <v>76</v>
      </c>
      <c r="K13" s="29" t="s">
        <v>77</v>
      </c>
      <c r="N13" s="4" t="s">
        <v>63</v>
      </c>
      <c r="O13" s="5"/>
      <c r="P13" s="30"/>
    </row>
    <row r="14" spans="1:16" s="3" customFormat="1" ht="15.6" customHeight="1" x14ac:dyDescent="0.3">
      <c r="A14" s="138" t="s">
        <v>162</v>
      </c>
      <c r="B14" s="139"/>
      <c r="E14" s="12" t="s">
        <v>21</v>
      </c>
      <c r="F14" s="12"/>
      <c r="H14" s="31" t="s">
        <v>80</v>
      </c>
      <c r="I14" s="32">
        <v>40</v>
      </c>
      <c r="J14" s="1">
        <f>K14*1.5</f>
        <v>12</v>
      </c>
      <c r="K14" s="1">
        <f>I14/5</f>
        <v>8</v>
      </c>
      <c r="N14" s="3" t="s">
        <v>166</v>
      </c>
      <c r="P14" s="16"/>
    </row>
    <row r="15" spans="1:16" s="3" customFormat="1" ht="15.6" customHeight="1" x14ac:dyDescent="0.3">
      <c r="A15" s="138"/>
      <c r="B15" s="139"/>
      <c r="E15" s="33" t="s">
        <v>38</v>
      </c>
      <c r="F15" s="33"/>
      <c r="G15" s="34"/>
      <c r="H15" s="35" t="s">
        <v>81</v>
      </c>
      <c r="I15" s="36">
        <f>I14*3</f>
        <v>120</v>
      </c>
      <c r="J15" s="36">
        <f>K15*1.5</f>
        <v>36</v>
      </c>
      <c r="K15" s="36">
        <f t="shared" ref="K15:K18" si="0">I15/5</f>
        <v>24</v>
      </c>
      <c r="N15" s="3" t="s">
        <v>150</v>
      </c>
      <c r="P15" s="16"/>
    </row>
    <row r="16" spans="1:16" s="3" customFormat="1" ht="15.6" customHeight="1" x14ac:dyDescent="0.3">
      <c r="A16" s="138"/>
      <c r="B16" s="139"/>
      <c r="E16" s="12" t="s">
        <v>18</v>
      </c>
      <c r="F16" s="12"/>
      <c r="H16" s="31" t="s">
        <v>80</v>
      </c>
      <c r="I16" s="32">
        <f>I14*3</f>
        <v>120</v>
      </c>
      <c r="J16" s="1">
        <f>K16*1.5</f>
        <v>36</v>
      </c>
      <c r="K16" s="1">
        <f t="shared" si="0"/>
        <v>24</v>
      </c>
      <c r="N16" s="3" t="s">
        <v>167</v>
      </c>
      <c r="P16" s="16"/>
    </row>
    <row r="17" spans="1:16" s="3" customFormat="1" ht="15.6" customHeight="1" x14ac:dyDescent="0.3">
      <c r="A17" s="138"/>
      <c r="B17" s="139"/>
      <c r="E17" s="33" t="s">
        <v>35</v>
      </c>
      <c r="F17" s="33"/>
      <c r="G17" s="34"/>
      <c r="H17" s="35" t="s">
        <v>80</v>
      </c>
      <c r="I17" s="36">
        <f>I14/2</f>
        <v>20</v>
      </c>
      <c r="J17" s="36">
        <f>K17*1.5</f>
        <v>6</v>
      </c>
      <c r="K17" s="36">
        <f t="shared" si="0"/>
        <v>4</v>
      </c>
      <c r="N17" s="3" t="s">
        <v>67</v>
      </c>
      <c r="P17" s="16"/>
    </row>
    <row r="18" spans="1:16" s="3" customFormat="1" ht="15.6" customHeight="1" x14ac:dyDescent="0.3">
      <c r="A18" s="15"/>
      <c r="E18" s="12" t="s">
        <v>36</v>
      </c>
      <c r="F18" s="12"/>
      <c r="H18" s="31" t="s">
        <v>80</v>
      </c>
      <c r="I18" s="32">
        <f>I14/2</f>
        <v>20</v>
      </c>
      <c r="J18" s="1">
        <f>K18*1.5</f>
        <v>6</v>
      </c>
      <c r="K18" s="1">
        <f t="shared" si="0"/>
        <v>4</v>
      </c>
      <c r="N18" s="3" t="s">
        <v>168</v>
      </c>
      <c r="P18" s="16"/>
    </row>
    <row r="19" spans="1:16" s="3" customFormat="1" ht="15.6" customHeight="1" x14ac:dyDescent="0.3">
      <c r="A19" s="28" t="s">
        <v>71</v>
      </c>
      <c r="B19" s="4"/>
      <c r="E19" s="33" t="s">
        <v>22</v>
      </c>
      <c r="F19" s="33"/>
      <c r="G19" s="34"/>
      <c r="H19" s="35" t="s">
        <v>82</v>
      </c>
      <c r="I19" s="37" t="s">
        <v>148</v>
      </c>
      <c r="J19" s="37" t="s">
        <v>147</v>
      </c>
      <c r="K19" s="37"/>
      <c r="N19" s="3" t="s">
        <v>169</v>
      </c>
      <c r="P19" s="16"/>
    </row>
    <row r="20" spans="1:16" s="3" customFormat="1" ht="15.6" customHeight="1" x14ac:dyDescent="0.3">
      <c r="A20" s="15" t="s">
        <v>44</v>
      </c>
      <c r="B20" s="38">
        <v>0</v>
      </c>
      <c r="N20" s="130" t="s">
        <v>132</v>
      </c>
      <c r="O20" s="130"/>
      <c r="P20" s="131"/>
    </row>
    <row r="21" spans="1:16" s="3" customFormat="1" ht="15.6" customHeight="1" x14ac:dyDescent="0.3">
      <c r="A21" s="15" t="s">
        <v>41</v>
      </c>
      <c r="B21" s="38">
        <v>500</v>
      </c>
      <c r="E21" s="82" t="str">
        <f>'Cleric A'!E21</f>
        <v>THAC0 - Tiro = CA Colpita</v>
      </c>
      <c r="O21" s="39" t="s">
        <v>48</v>
      </c>
      <c r="P21" s="40">
        <v>9</v>
      </c>
    </row>
    <row r="22" spans="1:16" ht="15.6" customHeight="1" x14ac:dyDescent="0.3">
      <c r="A22" s="27" t="s">
        <v>45</v>
      </c>
      <c r="B22" s="38">
        <v>0</v>
      </c>
      <c r="E22" s="82" t="str">
        <f>'Cleric A'!E22</f>
        <v>THAC0 - CA avversario = Tiro necessario</v>
      </c>
      <c r="N22" s="3"/>
      <c r="O22" s="39" t="s">
        <v>41</v>
      </c>
      <c r="P22" s="40">
        <v>5</v>
      </c>
    </row>
    <row r="23" spans="1:16" ht="15.6" customHeight="1" x14ac:dyDescent="0.3">
      <c r="A23" s="27" t="s">
        <v>42</v>
      </c>
      <c r="B23" s="38">
        <v>0</v>
      </c>
      <c r="E23" s="2" t="s">
        <v>105</v>
      </c>
      <c r="M23" s="12"/>
      <c r="N23" s="13"/>
      <c r="P23" s="26"/>
    </row>
    <row r="24" spans="1:16" ht="15.6" customHeight="1" x14ac:dyDescent="0.3">
      <c r="A24" s="27"/>
      <c r="E24" s="2" t="s">
        <v>107</v>
      </c>
      <c r="M24" s="12"/>
      <c r="N24" s="12"/>
      <c r="P24" s="26"/>
    </row>
    <row r="25" spans="1:16" ht="15.6" customHeight="1" x14ac:dyDescent="0.3">
      <c r="E25" s="2" t="s">
        <v>108</v>
      </c>
    </row>
    <row r="26" spans="1:16" ht="15.6" customHeight="1" x14ac:dyDescent="0.3">
      <c r="A26" s="15" t="s">
        <v>172</v>
      </c>
      <c r="C26" s="80">
        <v>0.45</v>
      </c>
      <c r="E26" s="2" t="s">
        <v>106</v>
      </c>
      <c r="P26" s="26"/>
    </row>
    <row r="27" spans="1:16" ht="15.6" customHeight="1" x14ac:dyDescent="0.3">
      <c r="A27" s="3" t="s">
        <v>177</v>
      </c>
      <c r="C27" s="80">
        <v>0.4</v>
      </c>
      <c r="E27" s="2" t="s">
        <v>138</v>
      </c>
      <c r="P27" s="26"/>
    </row>
    <row r="28" spans="1:16" ht="15.6" customHeight="1" x14ac:dyDescent="0.3">
      <c r="A28" s="78" t="s">
        <v>173</v>
      </c>
      <c r="B28" s="75"/>
      <c r="C28" s="80">
        <v>0.45</v>
      </c>
      <c r="E28" s="32"/>
      <c r="G28" s="32"/>
      <c r="I28" s="32"/>
      <c r="N28" s="4" t="s">
        <v>29</v>
      </c>
      <c r="O28" s="6"/>
      <c r="P28" s="24"/>
    </row>
    <row r="29" spans="1:16" ht="15.6" customHeight="1" x14ac:dyDescent="0.3">
      <c r="A29" s="77" t="s">
        <v>174</v>
      </c>
      <c r="B29" s="11"/>
      <c r="C29" s="80">
        <v>0.45</v>
      </c>
      <c r="E29" s="79" t="s">
        <v>179</v>
      </c>
      <c r="N29" s="2" t="s">
        <v>61</v>
      </c>
      <c r="P29" s="26"/>
    </row>
    <row r="30" spans="1:16" x14ac:dyDescent="0.3">
      <c r="A30" s="77" t="s">
        <v>175</v>
      </c>
      <c r="B30" s="11"/>
      <c r="C30" s="80">
        <v>0.92</v>
      </c>
      <c r="N30" s="2" t="s">
        <v>170</v>
      </c>
      <c r="P30" s="26"/>
    </row>
    <row r="31" spans="1:16" ht="15.6" customHeight="1" x14ac:dyDescent="0.3">
      <c r="A31" s="78" t="s">
        <v>176</v>
      </c>
      <c r="B31" s="11"/>
      <c r="C31" s="80">
        <v>0.36</v>
      </c>
      <c r="N31" s="2" t="s">
        <v>171</v>
      </c>
      <c r="P31" s="26"/>
    </row>
    <row r="32" spans="1:16" x14ac:dyDescent="0.3">
      <c r="A32" s="78" t="s">
        <v>178</v>
      </c>
      <c r="B32" s="11"/>
      <c r="C32" s="80">
        <v>0.8</v>
      </c>
      <c r="P32" s="26"/>
    </row>
    <row r="33" spans="1:27" x14ac:dyDescent="0.3">
      <c r="A33" s="27"/>
      <c r="L33" s="81" t="s">
        <v>223</v>
      </c>
      <c r="P33" s="26"/>
    </row>
    <row r="34" spans="1:27" ht="15.6" x14ac:dyDescent="0.3">
      <c r="A34" s="41" t="s">
        <v>15</v>
      </c>
      <c r="B34" s="8" t="s">
        <v>19</v>
      </c>
      <c r="C34" s="10" t="s">
        <v>20</v>
      </c>
      <c r="D34" s="9">
        <v>8</v>
      </c>
      <c r="E34" s="10">
        <f>D34-1</f>
        <v>7</v>
      </c>
      <c r="F34" s="9">
        <f t="shared" ref="F34:L34" si="1">E34-1</f>
        <v>6</v>
      </c>
      <c r="G34" s="10">
        <f t="shared" si="1"/>
        <v>5</v>
      </c>
      <c r="H34" s="9">
        <f t="shared" si="1"/>
        <v>4</v>
      </c>
      <c r="I34" s="10">
        <f t="shared" si="1"/>
        <v>3</v>
      </c>
      <c r="J34" s="9">
        <f t="shared" si="1"/>
        <v>2</v>
      </c>
      <c r="K34" s="10">
        <f t="shared" si="1"/>
        <v>1</v>
      </c>
      <c r="L34" s="9">
        <f t="shared" si="1"/>
        <v>0</v>
      </c>
      <c r="M34" s="132" t="s">
        <v>26</v>
      </c>
      <c r="N34" s="132"/>
      <c r="O34" s="4" t="s">
        <v>27</v>
      </c>
      <c r="P34" s="24"/>
    </row>
    <row r="35" spans="1:27" ht="18" x14ac:dyDescent="0.3">
      <c r="A35" s="42" t="s">
        <v>163</v>
      </c>
      <c r="B35" s="1" t="s">
        <v>23</v>
      </c>
      <c r="C35" s="43">
        <v>8</v>
      </c>
      <c r="D35" s="44">
        <f>C35+1</f>
        <v>9</v>
      </c>
      <c r="E35" s="43">
        <f t="shared" ref="E35:L35" si="2">D35+1</f>
        <v>10</v>
      </c>
      <c r="F35" s="44">
        <f t="shared" si="2"/>
        <v>11</v>
      </c>
      <c r="G35" s="43">
        <f t="shared" si="2"/>
        <v>12</v>
      </c>
      <c r="H35" s="44">
        <f t="shared" si="2"/>
        <v>13</v>
      </c>
      <c r="I35" s="43">
        <f t="shared" si="2"/>
        <v>14</v>
      </c>
      <c r="J35" s="44">
        <f t="shared" si="2"/>
        <v>15</v>
      </c>
      <c r="K35" s="43">
        <f t="shared" si="2"/>
        <v>16</v>
      </c>
      <c r="L35" s="44">
        <f t="shared" si="2"/>
        <v>17</v>
      </c>
      <c r="M35" s="133" t="s">
        <v>91</v>
      </c>
      <c r="N35" s="133"/>
      <c r="P35" s="26"/>
    </row>
    <row r="36" spans="1:27" ht="18" x14ac:dyDescent="0.3">
      <c r="A36" s="42" t="s">
        <v>24</v>
      </c>
      <c r="B36" s="1" t="s">
        <v>23</v>
      </c>
      <c r="C36" s="43">
        <v>8</v>
      </c>
      <c r="D36" s="44">
        <f t="shared" ref="D36:L37" si="3">C36+1</f>
        <v>9</v>
      </c>
      <c r="E36" s="43">
        <f t="shared" si="3"/>
        <v>10</v>
      </c>
      <c r="F36" s="44">
        <f t="shared" si="3"/>
        <v>11</v>
      </c>
      <c r="G36" s="43">
        <f t="shared" si="3"/>
        <v>12</v>
      </c>
      <c r="H36" s="44">
        <f t="shared" si="3"/>
        <v>13</v>
      </c>
      <c r="I36" s="43">
        <f t="shared" si="3"/>
        <v>14</v>
      </c>
      <c r="J36" s="44">
        <f t="shared" si="3"/>
        <v>15</v>
      </c>
      <c r="K36" s="43">
        <f t="shared" si="3"/>
        <v>16</v>
      </c>
      <c r="L36" s="44">
        <f t="shared" si="3"/>
        <v>17</v>
      </c>
      <c r="M36" s="134" t="s">
        <v>93</v>
      </c>
      <c r="N36" s="134"/>
      <c r="O36" s="3" t="s">
        <v>130</v>
      </c>
      <c r="P36" s="26"/>
      <c r="AA36"/>
    </row>
    <row r="37" spans="1:27" ht="18.600000000000001" thickBot="1" x14ac:dyDescent="0.35">
      <c r="A37" s="45" t="s">
        <v>164</v>
      </c>
      <c r="B37" s="46" t="s">
        <v>165</v>
      </c>
      <c r="C37" s="47">
        <v>6</v>
      </c>
      <c r="D37" s="48">
        <f t="shared" si="3"/>
        <v>7</v>
      </c>
      <c r="E37" s="47">
        <f t="shared" si="3"/>
        <v>8</v>
      </c>
      <c r="F37" s="48">
        <f t="shared" si="3"/>
        <v>9</v>
      </c>
      <c r="G37" s="47">
        <f t="shared" si="3"/>
        <v>10</v>
      </c>
      <c r="H37" s="48">
        <f t="shared" si="3"/>
        <v>11</v>
      </c>
      <c r="I37" s="47">
        <f t="shared" si="3"/>
        <v>12</v>
      </c>
      <c r="J37" s="48">
        <f t="shared" si="3"/>
        <v>13</v>
      </c>
      <c r="K37" s="47">
        <f t="shared" si="3"/>
        <v>14</v>
      </c>
      <c r="L37" s="48">
        <f t="shared" si="3"/>
        <v>15</v>
      </c>
      <c r="M37" s="135" t="s">
        <v>28</v>
      </c>
      <c r="N37" s="135"/>
      <c r="O37" s="49" t="s">
        <v>131</v>
      </c>
      <c r="P37" s="50"/>
    </row>
  </sheetData>
  <mergeCells count="17"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N20:P20"/>
    <mergeCell ref="M34:N34"/>
    <mergeCell ref="M35:N35"/>
    <mergeCell ref="M36:N36"/>
    <mergeCell ref="M37:N37"/>
  </mergeCells>
  <pageMargins left="0.25" right="0.25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37"/>
  <sheetViews>
    <sheetView topLeftCell="A13" zoomScale="120" zoomScaleNormal="120" workbookViewId="0">
      <selection activeCell="E21" sqref="E21:E22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52" t="s">
        <v>0</v>
      </c>
      <c r="B1" s="53" t="s">
        <v>139</v>
      </c>
      <c r="C1" s="53"/>
      <c r="D1" s="54"/>
      <c r="E1" s="70"/>
      <c r="F1" s="55"/>
      <c r="G1" s="72" t="s">
        <v>158</v>
      </c>
      <c r="H1" s="53"/>
      <c r="I1" s="55"/>
      <c r="J1" s="56"/>
      <c r="K1" s="57" t="s">
        <v>34</v>
      </c>
      <c r="L1" s="54"/>
      <c r="M1" s="54"/>
      <c r="N1" s="58" t="s">
        <v>104</v>
      </c>
      <c r="O1" s="53"/>
      <c r="P1" s="59"/>
    </row>
    <row r="2" spans="1:16" ht="20.399999999999999" customHeight="1" x14ac:dyDescent="0.3">
      <c r="A2" s="60" t="s">
        <v>103</v>
      </c>
      <c r="B2" s="61" t="s">
        <v>84</v>
      </c>
      <c r="C2" s="61"/>
      <c r="D2" s="62"/>
      <c r="E2" s="63" t="s">
        <v>33</v>
      </c>
      <c r="F2" s="64"/>
      <c r="G2" s="64" t="s">
        <v>140</v>
      </c>
      <c r="H2" s="64"/>
      <c r="I2" s="71" t="s">
        <v>141</v>
      </c>
      <c r="J2" s="62"/>
      <c r="K2" s="65" t="s">
        <v>1</v>
      </c>
      <c r="L2" s="66"/>
      <c r="M2" s="66"/>
      <c r="N2" s="61" t="s">
        <v>56</v>
      </c>
      <c r="O2" s="61"/>
      <c r="P2" s="67"/>
    </row>
    <row r="3" spans="1:16" ht="9.6" customHeight="1" x14ac:dyDescent="0.3">
      <c r="A3" s="15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6"/>
    </row>
    <row r="4" spans="1:16" ht="18.600000000000001" customHeight="1" x14ac:dyDescent="0.3">
      <c r="A4" s="17" t="s">
        <v>8</v>
      </c>
      <c r="B4" s="18">
        <v>9</v>
      </c>
      <c r="C4" s="1"/>
      <c r="D4" s="19" t="s">
        <v>37</v>
      </c>
      <c r="E4" s="1"/>
      <c r="F4" s="20">
        <v>18</v>
      </c>
      <c r="G4" s="20">
        <v>5</v>
      </c>
      <c r="H4" s="1"/>
      <c r="I4" s="1"/>
      <c r="J4" s="1"/>
      <c r="K4" s="21" t="s">
        <v>102</v>
      </c>
      <c r="L4" s="1"/>
      <c r="M4" s="22">
        <v>0</v>
      </c>
      <c r="N4" s="1"/>
      <c r="O4" s="19" t="s">
        <v>9</v>
      </c>
      <c r="P4" s="69">
        <v>21</v>
      </c>
    </row>
    <row r="5" spans="1:16" ht="19.8" customHeight="1" x14ac:dyDescent="0.3">
      <c r="A5" s="23" t="s">
        <v>29</v>
      </c>
      <c r="B5" s="7"/>
      <c r="J5" s="2" t="s">
        <v>101</v>
      </c>
      <c r="M5" s="7" t="s">
        <v>10</v>
      </c>
      <c r="N5" s="6"/>
      <c r="O5" s="6"/>
      <c r="P5" s="24"/>
    </row>
    <row r="6" spans="1:16" ht="32.4" customHeight="1" x14ac:dyDescent="0.3">
      <c r="A6" s="51">
        <v>8</v>
      </c>
      <c r="B6" s="21" t="s">
        <v>2</v>
      </c>
      <c r="C6" s="136" t="s">
        <v>143</v>
      </c>
      <c r="D6" s="136"/>
      <c r="E6" s="136"/>
      <c r="F6" s="136"/>
      <c r="G6" s="136"/>
      <c r="H6" s="136"/>
      <c r="I6" s="136"/>
      <c r="J6" s="20">
        <v>-1</v>
      </c>
      <c r="K6" s="20"/>
      <c r="M6" s="137" t="s">
        <v>57</v>
      </c>
      <c r="N6" s="137"/>
      <c r="O6" s="137"/>
      <c r="P6" s="25">
        <v>13</v>
      </c>
    </row>
    <row r="7" spans="1:16" ht="32.4" customHeight="1" x14ac:dyDescent="0.3">
      <c r="A7" s="51">
        <v>10</v>
      </c>
      <c r="B7" s="21" t="s">
        <v>3</v>
      </c>
      <c r="C7" s="136" t="s">
        <v>96</v>
      </c>
      <c r="D7" s="136"/>
      <c r="E7" s="136"/>
      <c r="F7" s="136"/>
      <c r="G7" s="136"/>
      <c r="H7" s="136"/>
      <c r="I7" s="136"/>
      <c r="J7" s="20">
        <v>0</v>
      </c>
      <c r="K7" s="20"/>
      <c r="M7" s="137" t="s">
        <v>11</v>
      </c>
      <c r="N7" s="137"/>
      <c r="O7" s="137"/>
      <c r="P7" s="25">
        <v>14</v>
      </c>
    </row>
    <row r="8" spans="1:16" ht="32.4" customHeight="1" x14ac:dyDescent="0.3">
      <c r="A8" s="51">
        <v>13</v>
      </c>
      <c r="B8" s="21" t="s">
        <v>4</v>
      </c>
      <c r="C8" s="136" t="s">
        <v>144</v>
      </c>
      <c r="D8" s="136"/>
      <c r="E8" s="136"/>
      <c r="F8" s="136"/>
      <c r="G8" s="136"/>
      <c r="H8" s="136"/>
      <c r="I8" s="136"/>
      <c r="J8" s="20">
        <v>1</v>
      </c>
      <c r="K8" s="20"/>
      <c r="M8" s="137" t="s">
        <v>14</v>
      </c>
      <c r="N8" s="137"/>
      <c r="O8" s="137"/>
      <c r="P8" s="25">
        <v>13</v>
      </c>
    </row>
    <row r="9" spans="1:16" ht="32.4" customHeight="1" x14ac:dyDescent="0.3">
      <c r="A9" s="51">
        <v>16</v>
      </c>
      <c r="B9" s="21" t="s">
        <v>5</v>
      </c>
      <c r="C9" s="136" t="s">
        <v>145</v>
      </c>
      <c r="D9" s="136"/>
      <c r="E9" s="136"/>
      <c r="F9" s="136"/>
      <c r="G9" s="136"/>
      <c r="H9" s="136"/>
      <c r="I9" s="136"/>
      <c r="J9" s="20">
        <v>2</v>
      </c>
      <c r="K9" s="20"/>
      <c r="M9" s="137" t="s">
        <v>12</v>
      </c>
      <c r="N9" s="137"/>
      <c r="O9" s="137"/>
      <c r="P9" s="25">
        <v>16</v>
      </c>
    </row>
    <row r="10" spans="1:16" ht="32.4" customHeight="1" x14ac:dyDescent="0.3">
      <c r="A10" s="51">
        <v>9</v>
      </c>
      <c r="B10" s="21" t="s">
        <v>6</v>
      </c>
      <c r="C10" s="136" t="s">
        <v>96</v>
      </c>
      <c r="D10" s="136"/>
      <c r="E10" s="136"/>
      <c r="F10" s="136"/>
      <c r="G10" s="136"/>
      <c r="H10" s="136"/>
      <c r="I10" s="136"/>
      <c r="J10" s="20">
        <v>0</v>
      </c>
      <c r="K10" s="20"/>
      <c r="M10" s="137" t="s">
        <v>13</v>
      </c>
      <c r="N10" s="137"/>
      <c r="O10" s="137"/>
      <c r="P10" s="25">
        <v>15</v>
      </c>
    </row>
    <row r="11" spans="1:16" ht="32.4" customHeight="1" x14ac:dyDescent="0.3">
      <c r="A11" s="51">
        <v>8</v>
      </c>
      <c r="B11" s="21" t="s">
        <v>7</v>
      </c>
      <c r="C11" s="136" t="s">
        <v>146</v>
      </c>
      <c r="D11" s="136"/>
      <c r="E11" s="136"/>
      <c r="F11" s="136"/>
      <c r="G11" s="136"/>
      <c r="H11" s="136"/>
      <c r="I11" s="136"/>
      <c r="J11" s="20">
        <v>-1</v>
      </c>
      <c r="K11" s="20"/>
      <c r="P11" s="26"/>
    </row>
    <row r="12" spans="1:16" ht="8.4" customHeight="1" x14ac:dyDescent="0.3">
      <c r="A12" s="27"/>
      <c r="P12" s="26"/>
    </row>
    <row r="13" spans="1:16" s="3" customFormat="1" ht="15.6" customHeight="1" x14ac:dyDescent="0.3">
      <c r="A13" s="28" t="s">
        <v>16</v>
      </c>
      <c r="B13" s="4"/>
      <c r="C13" s="12"/>
      <c r="E13" s="4" t="s">
        <v>17</v>
      </c>
      <c r="F13" s="4"/>
      <c r="G13" s="4"/>
      <c r="H13" s="12"/>
      <c r="I13" s="29" t="s">
        <v>75</v>
      </c>
      <c r="J13" s="29" t="s">
        <v>76</v>
      </c>
      <c r="K13" s="29" t="s">
        <v>77</v>
      </c>
      <c r="N13" s="4" t="s">
        <v>63</v>
      </c>
      <c r="O13" s="5"/>
      <c r="P13" s="30"/>
    </row>
    <row r="14" spans="1:16" s="3" customFormat="1" ht="15.6" customHeight="1" x14ac:dyDescent="0.3">
      <c r="A14" s="138" t="s">
        <v>142</v>
      </c>
      <c r="B14" s="139"/>
      <c r="E14" s="12" t="s">
        <v>21</v>
      </c>
      <c r="F14" s="12"/>
      <c r="H14" s="31" t="s">
        <v>80</v>
      </c>
      <c r="I14" s="32">
        <v>40</v>
      </c>
      <c r="J14" s="1">
        <f>K14*1.5</f>
        <v>12</v>
      </c>
      <c r="K14" s="1">
        <f>I14/5</f>
        <v>8</v>
      </c>
      <c r="N14" s="3" t="s">
        <v>149</v>
      </c>
      <c r="P14" s="16"/>
    </row>
    <row r="15" spans="1:16" s="3" customFormat="1" ht="15.6" customHeight="1" x14ac:dyDescent="0.3">
      <c r="A15" s="138"/>
      <c r="B15" s="139"/>
      <c r="E15" s="33" t="s">
        <v>38</v>
      </c>
      <c r="F15" s="33"/>
      <c r="G15" s="34"/>
      <c r="H15" s="35" t="s">
        <v>81</v>
      </c>
      <c r="I15" s="36">
        <f>I14*3</f>
        <v>120</v>
      </c>
      <c r="J15" s="36">
        <f>K15*1.5</f>
        <v>36</v>
      </c>
      <c r="K15" s="36">
        <f t="shared" ref="K15:K18" si="0">I15/5</f>
        <v>24</v>
      </c>
      <c r="N15" s="3" t="s">
        <v>150</v>
      </c>
      <c r="P15" s="16"/>
    </row>
    <row r="16" spans="1:16" s="3" customFormat="1" ht="15.6" customHeight="1" x14ac:dyDescent="0.3">
      <c r="A16" s="138"/>
      <c r="B16" s="139"/>
      <c r="E16" s="12" t="s">
        <v>18</v>
      </c>
      <c r="F16" s="12"/>
      <c r="H16" s="31" t="s">
        <v>80</v>
      </c>
      <c r="I16" s="32">
        <f>I14*3</f>
        <v>120</v>
      </c>
      <c r="J16" s="1">
        <f>K16*1.5</f>
        <v>36</v>
      </c>
      <c r="K16" s="1">
        <f t="shared" si="0"/>
        <v>24</v>
      </c>
      <c r="N16" s="3" t="s">
        <v>67</v>
      </c>
      <c r="P16" s="16"/>
    </row>
    <row r="17" spans="1:16" s="3" customFormat="1" ht="15.6" customHeight="1" x14ac:dyDescent="0.3">
      <c r="A17" s="138"/>
      <c r="B17" s="139"/>
      <c r="E17" s="33" t="s">
        <v>35</v>
      </c>
      <c r="F17" s="33"/>
      <c r="G17" s="34"/>
      <c r="H17" s="35" t="s">
        <v>80</v>
      </c>
      <c r="I17" s="36">
        <f>I14/2</f>
        <v>20</v>
      </c>
      <c r="J17" s="36">
        <f>K17*1.5</f>
        <v>6</v>
      </c>
      <c r="K17" s="36">
        <f t="shared" si="0"/>
        <v>4</v>
      </c>
      <c r="N17" s="3" t="s">
        <v>151</v>
      </c>
      <c r="P17" s="16"/>
    </row>
    <row r="18" spans="1:16" s="3" customFormat="1" ht="15.6" customHeight="1" x14ac:dyDescent="0.3">
      <c r="A18" s="15"/>
      <c r="E18" s="12" t="s">
        <v>36</v>
      </c>
      <c r="F18" s="12"/>
      <c r="H18" s="31" t="s">
        <v>80</v>
      </c>
      <c r="I18" s="32">
        <f>I14/2</f>
        <v>20</v>
      </c>
      <c r="J18" s="1">
        <f>K18*1.5</f>
        <v>6</v>
      </c>
      <c r="K18" s="1">
        <f t="shared" si="0"/>
        <v>4</v>
      </c>
      <c r="P18" s="16"/>
    </row>
    <row r="19" spans="1:16" s="3" customFormat="1" ht="15.6" customHeight="1" x14ac:dyDescent="0.3">
      <c r="A19" s="28" t="s">
        <v>71</v>
      </c>
      <c r="B19" s="4"/>
      <c r="E19" s="33" t="s">
        <v>22</v>
      </c>
      <c r="F19" s="33"/>
      <c r="G19" s="34"/>
      <c r="H19" s="35" t="s">
        <v>82</v>
      </c>
      <c r="I19" s="37" t="s">
        <v>148</v>
      </c>
      <c r="J19" s="37" t="s">
        <v>147</v>
      </c>
      <c r="K19" s="37"/>
      <c r="P19" s="16"/>
    </row>
    <row r="20" spans="1:16" s="3" customFormat="1" ht="15.6" customHeight="1" x14ac:dyDescent="0.3">
      <c r="A20" s="15" t="s">
        <v>44</v>
      </c>
      <c r="B20" s="38">
        <v>0</v>
      </c>
      <c r="N20" s="130"/>
      <c r="O20" s="130"/>
      <c r="P20" s="131"/>
    </row>
    <row r="21" spans="1:16" s="3" customFormat="1" ht="15.6" customHeight="1" x14ac:dyDescent="0.3">
      <c r="A21" s="15" t="s">
        <v>41</v>
      </c>
      <c r="B21" s="38">
        <v>500</v>
      </c>
      <c r="E21" s="82" t="str">
        <f>'Cleric A'!E21</f>
        <v>THAC0 - Tiro = CA Colpita</v>
      </c>
      <c r="O21" s="39" t="s">
        <v>48</v>
      </c>
      <c r="P21" s="40">
        <v>4</v>
      </c>
    </row>
    <row r="22" spans="1:16" ht="15.6" customHeight="1" x14ac:dyDescent="0.3">
      <c r="A22" s="27" t="s">
        <v>45</v>
      </c>
      <c r="B22" s="38">
        <v>0</v>
      </c>
      <c r="E22" s="82" t="str">
        <f>'Cleric A'!E22</f>
        <v>THAC0 - CA avversario = Tiro necessario</v>
      </c>
      <c r="N22" s="3"/>
      <c r="O22" s="39" t="s">
        <v>41</v>
      </c>
      <c r="P22" s="40">
        <v>5</v>
      </c>
    </row>
    <row r="23" spans="1:16" ht="15.6" customHeight="1" x14ac:dyDescent="0.3">
      <c r="A23" s="27" t="s">
        <v>42</v>
      </c>
      <c r="B23" s="38">
        <v>0</v>
      </c>
      <c r="E23" s="2" t="s">
        <v>105</v>
      </c>
      <c r="M23" s="12"/>
      <c r="N23" s="13"/>
      <c r="P23" s="26"/>
    </row>
    <row r="24" spans="1:16" ht="15.6" customHeight="1" x14ac:dyDescent="0.3">
      <c r="A24" s="27"/>
      <c r="E24" s="2" t="s">
        <v>107</v>
      </c>
      <c r="M24" s="12"/>
      <c r="N24" s="12"/>
      <c r="P24" s="26"/>
    </row>
    <row r="25" spans="1:16" ht="15.6" customHeight="1" x14ac:dyDescent="0.3">
      <c r="A25" s="27"/>
      <c r="E25" s="2" t="s">
        <v>108</v>
      </c>
      <c r="P25" s="26"/>
    </row>
    <row r="26" spans="1:16" ht="15.6" customHeight="1" x14ac:dyDescent="0.3">
      <c r="A26" s="27"/>
      <c r="E26" s="2" t="s">
        <v>106</v>
      </c>
      <c r="P26" s="26"/>
    </row>
    <row r="27" spans="1:16" ht="15.6" customHeight="1" x14ac:dyDescent="0.3"/>
    <row r="28" spans="1:16" ht="15.6" customHeight="1" x14ac:dyDescent="0.3">
      <c r="A28" s="28" t="s">
        <v>43</v>
      </c>
      <c r="B28" s="4"/>
      <c r="C28" s="14" t="s">
        <v>109</v>
      </c>
      <c r="D28" s="6"/>
      <c r="E28" s="14" t="s">
        <v>110</v>
      </c>
      <c r="F28" s="6"/>
      <c r="G28" s="14" t="s">
        <v>111</v>
      </c>
      <c r="H28" s="6"/>
      <c r="I28" s="14"/>
      <c r="J28" s="6"/>
      <c r="K28" s="6"/>
      <c r="N28" s="4" t="s">
        <v>29</v>
      </c>
      <c r="O28" s="6"/>
      <c r="P28" s="24"/>
    </row>
    <row r="29" spans="1:16" ht="15.6" customHeight="1" x14ac:dyDescent="0.3">
      <c r="A29" s="68" t="s">
        <v>30</v>
      </c>
      <c r="B29" s="2" t="s">
        <v>156</v>
      </c>
      <c r="N29" s="2" t="s">
        <v>61</v>
      </c>
      <c r="P29" s="26"/>
    </row>
    <row r="30" spans="1:16" x14ac:dyDescent="0.3">
      <c r="A30" s="68" t="s">
        <v>31</v>
      </c>
      <c r="B30" s="2" t="s">
        <v>157</v>
      </c>
      <c r="N30" s="2" t="s">
        <v>32</v>
      </c>
      <c r="P30" s="26"/>
    </row>
    <row r="31" spans="1:16" ht="15.6" customHeight="1" x14ac:dyDescent="0.3">
      <c r="A31" s="68" t="s">
        <v>39</v>
      </c>
      <c r="B31" s="2" t="s">
        <v>155</v>
      </c>
      <c r="N31" s="2" t="s">
        <v>62</v>
      </c>
      <c r="P31" s="26"/>
    </row>
    <row r="32" spans="1:16" x14ac:dyDescent="0.3">
      <c r="A32" s="27"/>
      <c r="P32" s="26"/>
    </row>
    <row r="33" spans="1:27" x14ac:dyDescent="0.3">
      <c r="A33" s="27"/>
      <c r="L33" s="81" t="s">
        <v>223</v>
      </c>
      <c r="P33" s="26"/>
    </row>
    <row r="34" spans="1:27" ht="15.6" x14ac:dyDescent="0.3">
      <c r="A34" s="41" t="s">
        <v>15</v>
      </c>
      <c r="B34" s="8" t="s">
        <v>19</v>
      </c>
      <c r="C34" s="10" t="s">
        <v>20</v>
      </c>
      <c r="D34" s="9">
        <v>8</v>
      </c>
      <c r="E34" s="10">
        <f>D34-1</f>
        <v>7</v>
      </c>
      <c r="F34" s="9">
        <f t="shared" ref="F34:L34" si="1">E34-1</f>
        <v>6</v>
      </c>
      <c r="G34" s="10">
        <f t="shared" si="1"/>
        <v>5</v>
      </c>
      <c r="H34" s="9">
        <f t="shared" si="1"/>
        <v>4</v>
      </c>
      <c r="I34" s="10">
        <f t="shared" si="1"/>
        <v>3</v>
      </c>
      <c r="J34" s="9">
        <f t="shared" si="1"/>
        <v>2</v>
      </c>
      <c r="K34" s="10">
        <f t="shared" si="1"/>
        <v>1</v>
      </c>
      <c r="L34" s="9">
        <f t="shared" si="1"/>
        <v>0</v>
      </c>
      <c r="M34" s="132" t="s">
        <v>26</v>
      </c>
      <c r="N34" s="132"/>
      <c r="O34" s="4" t="s">
        <v>27</v>
      </c>
      <c r="P34" s="24"/>
    </row>
    <row r="35" spans="1:27" ht="18" x14ac:dyDescent="0.3">
      <c r="A35" s="42" t="s">
        <v>152</v>
      </c>
      <c r="B35" s="1" t="s">
        <v>23</v>
      </c>
      <c r="C35" s="43">
        <v>11</v>
      </c>
      <c r="D35" s="44">
        <f>C35+1</f>
        <v>12</v>
      </c>
      <c r="E35" s="43">
        <f t="shared" ref="E35:L35" si="2">D35+1</f>
        <v>13</v>
      </c>
      <c r="F35" s="44">
        <f t="shared" si="2"/>
        <v>14</v>
      </c>
      <c r="G35" s="43">
        <f t="shared" si="2"/>
        <v>15</v>
      </c>
      <c r="H35" s="44">
        <f t="shared" si="2"/>
        <v>16</v>
      </c>
      <c r="I35" s="43">
        <f t="shared" si="2"/>
        <v>17</v>
      </c>
      <c r="J35" s="44">
        <f t="shared" si="2"/>
        <v>18</v>
      </c>
      <c r="K35" s="43">
        <f t="shared" si="2"/>
        <v>19</v>
      </c>
      <c r="L35" s="44">
        <f t="shared" si="2"/>
        <v>20</v>
      </c>
      <c r="M35" s="133" t="s">
        <v>153</v>
      </c>
      <c r="N35" s="133"/>
      <c r="P35" s="26"/>
    </row>
    <row r="36" spans="1:27" ht="18" x14ac:dyDescent="0.3">
      <c r="A36" s="42" t="s">
        <v>24</v>
      </c>
      <c r="B36" s="1" t="s">
        <v>23</v>
      </c>
      <c r="C36" s="43">
        <v>11</v>
      </c>
      <c r="D36" s="44">
        <f t="shared" ref="D36:L37" si="3">C36+1</f>
        <v>12</v>
      </c>
      <c r="E36" s="43">
        <f t="shared" si="3"/>
        <v>13</v>
      </c>
      <c r="F36" s="44">
        <f t="shared" si="3"/>
        <v>14</v>
      </c>
      <c r="G36" s="43">
        <f t="shared" si="3"/>
        <v>15</v>
      </c>
      <c r="H36" s="44">
        <f t="shared" si="3"/>
        <v>16</v>
      </c>
      <c r="I36" s="43">
        <f t="shared" si="3"/>
        <v>17</v>
      </c>
      <c r="J36" s="44">
        <f t="shared" si="3"/>
        <v>18</v>
      </c>
      <c r="K36" s="43">
        <f t="shared" si="3"/>
        <v>19</v>
      </c>
      <c r="L36" s="44">
        <f t="shared" si="3"/>
        <v>20</v>
      </c>
      <c r="M36" s="134" t="s">
        <v>153</v>
      </c>
      <c r="N36" s="134"/>
      <c r="O36" s="3"/>
      <c r="P36" s="26"/>
      <c r="AA36"/>
    </row>
    <row r="37" spans="1:27" ht="18.600000000000001" thickBot="1" x14ac:dyDescent="0.35">
      <c r="A37" s="45" t="s">
        <v>24</v>
      </c>
      <c r="B37" s="46" t="s">
        <v>154</v>
      </c>
      <c r="C37" s="47">
        <v>10</v>
      </c>
      <c r="D37" s="48">
        <f t="shared" si="3"/>
        <v>11</v>
      </c>
      <c r="E37" s="47">
        <f t="shared" si="3"/>
        <v>12</v>
      </c>
      <c r="F37" s="48">
        <f t="shared" si="3"/>
        <v>13</v>
      </c>
      <c r="G37" s="47">
        <f t="shared" si="3"/>
        <v>14</v>
      </c>
      <c r="H37" s="48">
        <f t="shared" si="3"/>
        <v>15</v>
      </c>
      <c r="I37" s="47">
        <f t="shared" si="3"/>
        <v>16</v>
      </c>
      <c r="J37" s="48">
        <f t="shared" si="3"/>
        <v>17</v>
      </c>
      <c r="K37" s="47">
        <f t="shared" si="3"/>
        <v>18</v>
      </c>
      <c r="L37" s="48">
        <f t="shared" si="3"/>
        <v>19</v>
      </c>
      <c r="M37" s="135" t="s">
        <v>93</v>
      </c>
      <c r="N37" s="135"/>
      <c r="O37" s="49"/>
      <c r="P37" s="50"/>
    </row>
  </sheetData>
  <mergeCells count="17"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N20:P20"/>
    <mergeCell ref="M34:N34"/>
    <mergeCell ref="M35:N35"/>
    <mergeCell ref="M36:N36"/>
    <mergeCell ref="M37:N37"/>
  </mergeCells>
  <pageMargins left="0.25" right="0.25" top="0.75" bottom="0.75" header="0.3" footer="0.3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37"/>
  <sheetViews>
    <sheetView topLeftCell="A9" zoomScale="110" zoomScaleNormal="110" workbookViewId="0">
      <selection activeCell="B36" sqref="B36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52" t="s">
        <v>0</v>
      </c>
      <c r="B1" s="53" t="s">
        <v>116</v>
      </c>
      <c r="C1" s="53"/>
      <c r="D1" s="54"/>
      <c r="E1" s="70"/>
      <c r="F1" s="55"/>
      <c r="G1" s="72" t="s">
        <v>133</v>
      </c>
      <c r="H1" s="53"/>
      <c r="I1" s="55"/>
      <c r="J1" s="56"/>
      <c r="K1" s="57" t="s">
        <v>34</v>
      </c>
      <c r="L1" s="54"/>
      <c r="M1" s="54"/>
      <c r="N1" s="58" t="s">
        <v>104</v>
      </c>
      <c r="O1" s="53"/>
      <c r="P1" s="59"/>
    </row>
    <row r="2" spans="1:16" ht="20.399999999999999" customHeight="1" x14ac:dyDescent="0.3">
      <c r="A2" s="60" t="s">
        <v>103</v>
      </c>
      <c r="B2" s="61" t="s">
        <v>84</v>
      </c>
      <c r="C2" s="61"/>
      <c r="D2" s="62"/>
      <c r="E2" s="63" t="s">
        <v>33</v>
      </c>
      <c r="F2" s="64"/>
      <c r="G2" s="64" t="s">
        <v>117</v>
      </c>
      <c r="H2" s="64"/>
      <c r="I2" s="71" t="s">
        <v>141</v>
      </c>
      <c r="J2" s="62"/>
      <c r="K2" s="65" t="s">
        <v>1</v>
      </c>
      <c r="L2" s="66"/>
      <c r="M2" s="66"/>
      <c r="N2" s="61" t="s">
        <v>56</v>
      </c>
      <c r="O2" s="61"/>
      <c r="P2" s="67"/>
    </row>
    <row r="3" spans="1:16" ht="9.6" customHeight="1" x14ac:dyDescent="0.3">
      <c r="A3" s="15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6"/>
    </row>
    <row r="4" spans="1:16" ht="18.600000000000001" customHeight="1" x14ac:dyDescent="0.3">
      <c r="A4" s="17" t="s">
        <v>8</v>
      </c>
      <c r="B4" s="18">
        <v>0</v>
      </c>
      <c r="C4" s="1"/>
      <c r="D4" s="19" t="s">
        <v>37</v>
      </c>
      <c r="E4" s="1"/>
      <c r="F4" s="20">
        <v>24</v>
      </c>
      <c r="G4" s="73" t="s">
        <v>122</v>
      </c>
      <c r="H4" s="1"/>
      <c r="I4" s="1"/>
      <c r="J4" s="1"/>
      <c r="K4" s="21" t="s">
        <v>102</v>
      </c>
      <c r="L4" s="1"/>
      <c r="M4" s="22">
        <v>1</v>
      </c>
      <c r="N4" s="1"/>
      <c r="O4" s="19" t="s">
        <v>9</v>
      </c>
      <c r="P4" s="69">
        <v>35</v>
      </c>
    </row>
    <row r="5" spans="1:16" ht="19.8" customHeight="1" x14ac:dyDescent="0.3">
      <c r="A5" s="23" t="s">
        <v>29</v>
      </c>
      <c r="B5" s="7"/>
      <c r="J5" s="2" t="s">
        <v>101</v>
      </c>
      <c r="M5" s="7" t="s">
        <v>10</v>
      </c>
      <c r="N5" s="6"/>
      <c r="O5" s="6"/>
      <c r="P5" s="24"/>
    </row>
    <row r="6" spans="1:16" ht="32.4" customHeight="1" x14ac:dyDescent="0.3">
      <c r="A6" s="51">
        <v>17</v>
      </c>
      <c r="B6" s="21" t="s">
        <v>2</v>
      </c>
      <c r="C6" s="136" t="s">
        <v>127</v>
      </c>
      <c r="D6" s="136"/>
      <c r="E6" s="136"/>
      <c r="F6" s="136"/>
      <c r="G6" s="136"/>
      <c r="H6" s="136"/>
      <c r="I6" s="136"/>
      <c r="J6" s="20">
        <v>2</v>
      </c>
      <c r="K6" s="20"/>
      <c r="M6" s="137" t="s">
        <v>57</v>
      </c>
      <c r="N6" s="137"/>
      <c r="O6" s="137"/>
      <c r="P6" s="25">
        <v>10</v>
      </c>
    </row>
    <row r="7" spans="1:16" ht="32.4" customHeight="1" x14ac:dyDescent="0.3">
      <c r="A7" s="51">
        <v>14</v>
      </c>
      <c r="B7" s="21" t="s">
        <v>3</v>
      </c>
      <c r="C7" s="136" t="s">
        <v>128</v>
      </c>
      <c r="D7" s="136"/>
      <c r="E7" s="136"/>
      <c r="F7" s="136"/>
      <c r="G7" s="136"/>
      <c r="H7" s="136"/>
      <c r="I7" s="136"/>
      <c r="J7" s="20">
        <v>1</v>
      </c>
      <c r="K7" s="20"/>
      <c r="M7" s="137" t="s">
        <v>11</v>
      </c>
      <c r="N7" s="137"/>
      <c r="O7" s="137"/>
      <c r="P7" s="25">
        <v>13</v>
      </c>
    </row>
    <row r="8" spans="1:16" ht="32.4" customHeight="1" x14ac:dyDescent="0.3">
      <c r="A8" s="51">
        <v>11</v>
      </c>
      <c r="B8" s="21" t="s">
        <v>4</v>
      </c>
      <c r="C8" s="136" t="s">
        <v>96</v>
      </c>
      <c r="D8" s="136"/>
      <c r="E8" s="136"/>
      <c r="F8" s="136"/>
      <c r="G8" s="136"/>
      <c r="H8" s="136"/>
      <c r="I8" s="136"/>
      <c r="J8" s="20">
        <v>0</v>
      </c>
      <c r="K8" s="20"/>
      <c r="M8" s="137" t="s">
        <v>14</v>
      </c>
      <c r="N8" s="137"/>
      <c r="O8" s="137"/>
      <c r="P8" s="25">
        <v>14</v>
      </c>
    </row>
    <row r="9" spans="1:16" ht="32.4" customHeight="1" x14ac:dyDescent="0.3">
      <c r="A9" s="51">
        <v>7</v>
      </c>
      <c r="B9" s="21" t="s">
        <v>5</v>
      </c>
      <c r="C9" s="136" t="s">
        <v>97</v>
      </c>
      <c r="D9" s="136"/>
      <c r="E9" s="136"/>
      <c r="F9" s="136"/>
      <c r="G9" s="136"/>
      <c r="H9" s="136"/>
      <c r="I9" s="136"/>
      <c r="J9" s="20">
        <v>-1</v>
      </c>
      <c r="K9" s="20"/>
      <c r="M9" s="137" t="s">
        <v>12</v>
      </c>
      <c r="N9" s="137"/>
      <c r="O9" s="137"/>
      <c r="P9" s="25">
        <v>13</v>
      </c>
    </row>
    <row r="10" spans="1:16" ht="32.4" customHeight="1" x14ac:dyDescent="0.3">
      <c r="A10" s="51">
        <v>4</v>
      </c>
      <c r="B10" s="21" t="s">
        <v>6</v>
      </c>
      <c r="C10" s="136" t="s">
        <v>129</v>
      </c>
      <c r="D10" s="136"/>
      <c r="E10" s="136"/>
      <c r="F10" s="136"/>
      <c r="G10" s="136"/>
      <c r="H10" s="136"/>
      <c r="I10" s="136"/>
      <c r="J10" s="20">
        <v>-2</v>
      </c>
      <c r="K10" s="20"/>
      <c r="M10" s="137" t="s">
        <v>13</v>
      </c>
      <c r="N10" s="137"/>
      <c r="O10" s="137"/>
      <c r="P10" s="25">
        <v>16</v>
      </c>
    </row>
    <row r="11" spans="1:16" ht="32.4" customHeight="1" x14ac:dyDescent="0.3">
      <c r="A11" s="51">
        <v>10</v>
      </c>
      <c r="B11" s="21" t="s">
        <v>7</v>
      </c>
      <c r="C11" s="136" t="s">
        <v>99</v>
      </c>
      <c r="D11" s="136"/>
      <c r="E11" s="136"/>
      <c r="F11" s="136"/>
      <c r="G11" s="136"/>
      <c r="H11" s="136"/>
      <c r="I11" s="136"/>
      <c r="J11" s="20">
        <v>0</v>
      </c>
      <c r="K11" s="20"/>
      <c r="P11" s="26"/>
    </row>
    <row r="12" spans="1:16" ht="8.4" customHeight="1" x14ac:dyDescent="0.3">
      <c r="A12" s="27"/>
      <c r="P12" s="26"/>
    </row>
    <row r="13" spans="1:16" s="3" customFormat="1" ht="15.6" customHeight="1" x14ac:dyDescent="0.3">
      <c r="A13" s="28" t="s">
        <v>16</v>
      </c>
      <c r="B13" s="4"/>
      <c r="C13" s="12"/>
      <c r="E13" s="4" t="s">
        <v>17</v>
      </c>
      <c r="F13" s="4"/>
      <c r="G13" s="4"/>
      <c r="H13" s="12"/>
      <c r="I13" s="29" t="s">
        <v>75</v>
      </c>
      <c r="J13" s="29" t="s">
        <v>76</v>
      </c>
      <c r="K13" s="29" t="s">
        <v>77</v>
      </c>
      <c r="N13" s="4" t="s">
        <v>63</v>
      </c>
      <c r="O13" s="5"/>
      <c r="P13" s="30"/>
    </row>
    <row r="14" spans="1:16" s="3" customFormat="1" ht="15.6" customHeight="1" x14ac:dyDescent="0.3">
      <c r="A14" s="138" t="s">
        <v>58</v>
      </c>
      <c r="B14" s="139"/>
      <c r="E14" s="12" t="s">
        <v>21</v>
      </c>
      <c r="F14" s="12"/>
      <c r="H14" s="31" t="s">
        <v>80</v>
      </c>
      <c r="I14" s="32">
        <v>20</v>
      </c>
      <c r="J14" s="1">
        <f>K14*1.5</f>
        <v>6</v>
      </c>
      <c r="K14" s="1">
        <f>I14/5</f>
        <v>4</v>
      </c>
      <c r="N14" s="3" t="s">
        <v>64</v>
      </c>
      <c r="P14" s="16"/>
    </row>
    <row r="15" spans="1:16" s="3" customFormat="1" ht="15.6" customHeight="1" x14ac:dyDescent="0.3">
      <c r="A15" s="138"/>
      <c r="B15" s="139"/>
      <c r="E15" s="33" t="s">
        <v>38</v>
      </c>
      <c r="F15" s="33"/>
      <c r="G15" s="34"/>
      <c r="H15" s="35" t="s">
        <v>81</v>
      </c>
      <c r="I15" s="36">
        <v>60</v>
      </c>
      <c r="J15" s="36">
        <f>K15*1.5</f>
        <v>18</v>
      </c>
      <c r="K15" s="36">
        <f t="shared" ref="K15:K18" si="0">I15/5</f>
        <v>12</v>
      </c>
      <c r="N15" s="3" t="s">
        <v>124</v>
      </c>
      <c r="P15" s="16"/>
    </row>
    <row r="16" spans="1:16" s="3" customFormat="1" ht="15.6" customHeight="1" x14ac:dyDescent="0.3">
      <c r="A16" s="138"/>
      <c r="B16" s="139"/>
      <c r="E16" s="12" t="s">
        <v>18</v>
      </c>
      <c r="F16" s="12"/>
      <c r="H16" s="31" t="s">
        <v>80</v>
      </c>
      <c r="I16" s="32">
        <v>60</v>
      </c>
      <c r="J16" s="1">
        <f>K16*1.5</f>
        <v>18</v>
      </c>
      <c r="K16" s="1">
        <f t="shared" si="0"/>
        <v>12</v>
      </c>
      <c r="N16" s="3" t="s">
        <v>125</v>
      </c>
      <c r="P16" s="16"/>
    </row>
    <row r="17" spans="1:16" s="3" customFormat="1" ht="15.6" customHeight="1" x14ac:dyDescent="0.3">
      <c r="A17" s="138"/>
      <c r="B17" s="139"/>
      <c r="E17" s="33" t="s">
        <v>35</v>
      </c>
      <c r="F17" s="33"/>
      <c r="G17" s="34"/>
      <c r="H17" s="35" t="s">
        <v>80</v>
      </c>
      <c r="I17" s="36">
        <v>10</v>
      </c>
      <c r="J17" s="36">
        <f>K17*1.5</f>
        <v>3</v>
      </c>
      <c r="K17" s="36">
        <f t="shared" si="0"/>
        <v>2</v>
      </c>
      <c r="N17" s="3" t="s">
        <v>67</v>
      </c>
      <c r="P17" s="16"/>
    </row>
    <row r="18" spans="1:16" s="3" customFormat="1" ht="15.6" customHeight="1" x14ac:dyDescent="0.3">
      <c r="A18" s="15"/>
      <c r="E18" s="12" t="s">
        <v>36</v>
      </c>
      <c r="F18" s="12"/>
      <c r="H18" s="31" t="s">
        <v>80</v>
      </c>
      <c r="I18" s="32">
        <v>10</v>
      </c>
      <c r="J18" s="1">
        <f>K18*1.5</f>
        <v>3</v>
      </c>
      <c r="K18" s="1">
        <f t="shared" si="0"/>
        <v>2</v>
      </c>
      <c r="N18" s="3" t="s">
        <v>126</v>
      </c>
      <c r="P18" s="16"/>
    </row>
    <row r="19" spans="1:16" s="3" customFormat="1" ht="15.6" customHeight="1" x14ac:dyDescent="0.3">
      <c r="A19" s="28" t="s">
        <v>71</v>
      </c>
      <c r="B19" s="4"/>
      <c r="E19" s="33" t="s">
        <v>22</v>
      </c>
      <c r="F19" s="33"/>
      <c r="G19" s="34"/>
      <c r="H19" s="35" t="s">
        <v>82</v>
      </c>
      <c r="I19" s="37" t="s">
        <v>79</v>
      </c>
      <c r="J19" s="37" t="s">
        <v>78</v>
      </c>
      <c r="K19" s="37"/>
      <c r="N19" s="3" t="s">
        <v>69</v>
      </c>
      <c r="P19" s="16"/>
    </row>
    <row r="20" spans="1:16" s="3" customFormat="1" ht="15.6" customHeight="1" x14ac:dyDescent="0.3">
      <c r="A20" s="15" t="s">
        <v>44</v>
      </c>
      <c r="B20" s="38">
        <v>0</v>
      </c>
      <c r="N20" s="130" t="s">
        <v>132</v>
      </c>
      <c r="O20" s="130"/>
      <c r="P20" s="131"/>
    </row>
    <row r="21" spans="1:16" s="3" customFormat="1" ht="15.6" customHeight="1" x14ac:dyDescent="0.3">
      <c r="A21" s="15" t="s">
        <v>41</v>
      </c>
      <c r="B21" s="38">
        <v>500</v>
      </c>
      <c r="E21" s="82" t="str">
        <f>'Cleric A'!E21</f>
        <v>THAC0 - Tiro = CA Colpita</v>
      </c>
      <c r="O21" s="39" t="s">
        <v>48</v>
      </c>
      <c r="P21" s="40">
        <v>12</v>
      </c>
    </row>
    <row r="22" spans="1:16" ht="15.6" customHeight="1" x14ac:dyDescent="0.3">
      <c r="A22" s="27" t="s">
        <v>45</v>
      </c>
      <c r="B22" s="38">
        <v>0</v>
      </c>
      <c r="E22" s="82" t="str">
        <f>'Cleric A'!E22</f>
        <v>THAC0 - CA avversario = Tiro necessario</v>
      </c>
      <c r="F22" s="3"/>
      <c r="N22" s="3"/>
      <c r="O22" s="39" t="s">
        <v>41</v>
      </c>
      <c r="P22" s="40">
        <v>5</v>
      </c>
    </row>
    <row r="23" spans="1:16" ht="15.6" customHeight="1" x14ac:dyDescent="0.3">
      <c r="A23" s="27" t="s">
        <v>42</v>
      </c>
      <c r="B23" s="38">
        <v>0</v>
      </c>
      <c r="E23" s="2" t="s">
        <v>105</v>
      </c>
      <c r="M23" s="12"/>
      <c r="N23" s="13"/>
      <c r="P23" s="26"/>
    </row>
    <row r="24" spans="1:16" ht="15.6" customHeight="1" x14ac:dyDescent="0.3">
      <c r="A24" s="27"/>
      <c r="E24" s="2" t="s">
        <v>107</v>
      </c>
      <c r="M24" s="12"/>
      <c r="N24" s="12"/>
      <c r="P24" s="26"/>
    </row>
    <row r="25" spans="1:16" ht="15.6" customHeight="1" x14ac:dyDescent="0.3">
      <c r="A25" s="27"/>
      <c r="E25" s="2" t="s">
        <v>108</v>
      </c>
      <c r="P25" s="26"/>
    </row>
    <row r="26" spans="1:16" ht="15.6" customHeight="1" x14ac:dyDescent="0.3">
      <c r="E26" s="2" t="s">
        <v>106</v>
      </c>
      <c r="P26" s="26"/>
    </row>
    <row r="27" spans="1:16" ht="15.6" customHeight="1" x14ac:dyDescent="0.3">
      <c r="E27" s="2" t="s">
        <v>138</v>
      </c>
    </row>
    <row r="28" spans="1:16" ht="15.6" customHeight="1" x14ac:dyDescent="0.3">
      <c r="A28" s="76" t="s">
        <v>137</v>
      </c>
      <c r="B28" s="75"/>
      <c r="C28" s="75" t="s">
        <v>8</v>
      </c>
      <c r="E28" s="32"/>
      <c r="G28" s="32"/>
      <c r="I28" s="32"/>
      <c r="N28" s="4" t="s">
        <v>29</v>
      </c>
      <c r="O28" s="6"/>
      <c r="P28" s="24"/>
    </row>
    <row r="29" spans="1:16" ht="15.6" customHeight="1" x14ac:dyDescent="0.3">
      <c r="A29" s="77" t="s">
        <v>136</v>
      </c>
      <c r="B29" s="11"/>
      <c r="C29" s="74">
        <v>0</v>
      </c>
      <c r="N29" s="2" t="s">
        <v>61</v>
      </c>
      <c r="P29" s="26"/>
    </row>
    <row r="30" spans="1:16" x14ac:dyDescent="0.3">
      <c r="A30" s="77" t="s">
        <v>134</v>
      </c>
      <c r="B30" s="11"/>
      <c r="C30" s="11">
        <v>2</v>
      </c>
      <c r="N30" s="2" t="s">
        <v>32</v>
      </c>
      <c r="P30" s="26"/>
    </row>
    <row r="31" spans="1:16" ht="15.6" customHeight="1" x14ac:dyDescent="0.3">
      <c r="A31" s="78" t="s">
        <v>135</v>
      </c>
      <c r="B31" s="11"/>
      <c r="C31" s="11">
        <v>2</v>
      </c>
      <c r="N31" s="2" t="s">
        <v>62</v>
      </c>
      <c r="P31" s="26"/>
    </row>
    <row r="32" spans="1:16" x14ac:dyDescent="0.3">
      <c r="A32" s="78" t="s">
        <v>24</v>
      </c>
      <c r="B32" s="11"/>
      <c r="C32" s="11">
        <v>2</v>
      </c>
      <c r="P32" s="26"/>
    </row>
    <row r="33" spans="1:27" x14ac:dyDescent="0.3">
      <c r="A33" s="27"/>
      <c r="L33" s="81" t="s">
        <v>223</v>
      </c>
      <c r="P33" s="26"/>
    </row>
    <row r="34" spans="1:27" ht="15.6" x14ac:dyDescent="0.3">
      <c r="A34" s="41" t="s">
        <v>15</v>
      </c>
      <c r="B34" s="8" t="s">
        <v>19</v>
      </c>
      <c r="C34" s="10" t="s">
        <v>20</v>
      </c>
      <c r="D34" s="9">
        <v>8</v>
      </c>
      <c r="E34" s="10">
        <f>D34-1</f>
        <v>7</v>
      </c>
      <c r="F34" s="9">
        <f t="shared" ref="F34:L34" si="1">E34-1</f>
        <v>6</v>
      </c>
      <c r="G34" s="10">
        <f t="shared" si="1"/>
        <v>5</v>
      </c>
      <c r="H34" s="9">
        <f t="shared" si="1"/>
        <v>4</v>
      </c>
      <c r="I34" s="10">
        <f t="shared" si="1"/>
        <v>3</v>
      </c>
      <c r="J34" s="9">
        <f t="shared" si="1"/>
        <v>2</v>
      </c>
      <c r="K34" s="10">
        <f t="shared" si="1"/>
        <v>1</v>
      </c>
      <c r="L34" s="9">
        <f t="shared" si="1"/>
        <v>0</v>
      </c>
      <c r="M34" s="132" t="s">
        <v>26</v>
      </c>
      <c r="N34" s="132"/>
      <c r="O34" s="4" t="s">
        <v>27</v>
      </c>
      <c r="P34" s="24"/>
    </row>
    <row r="35" spans="1:27" ht="18" x14ac:dyDescent="0.3">
      <c r="A35" s="42" t="s">
        <v>118</v>
      </c>
      <c r="B35" s="1" t="s">
        <v>251</v>
      </c>
      <c r="C35" s="43">
        <v>5</v>
      </c>
      <c r="D35" s="44">
        <f>C35+1</f>
        <v>6</v>
      </c>
      <c r="E35" s="43">
        <f t="shared" ref="E35:L35" si="2">D35+1</f>
        <v>7</v>
      </c>
      <c r="F35" s="44">
        <f t="shared" si="2"/>
        <v>8</v>
      </c>
      <c r="G35" s="43">
        <f t="shared" si="2"/>
        <v>9</v>
      </c>
      <c r="H35" s="44">
        <f t="shared" si="2"/>
        <v>10</v>
      </c>
      <c r="I35" s="43">
        <f t="shared" si="2"/>
        <v>11</v>
      </c>
      <c r="J35" s="44">
        <f t="shared" si="2"/>
        <v>12</v>
      </c>
      <c r="K35" s="43">
        <f t="shared" si="2"/>
        <v>13</v>
      </c>
      <c r="L35" s="44">
        <f t="shared" si="2"/>
        <v>14</v>
      </c>
      <c r="M35" s="133" t="s">
        <v>119</v>
      </c>
      <c r="N35" s="133"/>
      <c r="O35" s="2" t="s">
        <v>123</v>
      </c>
      <c r="P35" s="26"/>
    </row>
    <row r="36" spans="1:27" ht="18" x14ac:dyDescent="0.3">
      <c r="A36" s="42" t="s">
        <v>24</v>
      </c>
      <c r="B36" s="1" t="s">
        <v>23</v>
      </c>
      <c r="C36" s="43">
        <v>6</v>
      </c>
      <c r="D36" s="44">
        <f t="shared" ref="D36:L37" si="3">C36+1</f>
        <v>7</v>
      </c>
      <c r="E36" s="43">
        <f t="shared" si="3"/>
        <v>8</v>
      </c>
      <c r="F36" s="44">
        <f t="shared" si="3"/>
        <v>9</v>
      </c>
      <c r="G36" s="43">
        <f t="shared" si="3"/>
        <v>10</v>
      </c>
      <c r="H36" s="44">
        <f t="shared" si="3"/>
        <v>11</v>
      </c>
      <c r="I36" s="43">
        <f t="shared" si="3"/>
        <v>12</v>
      </c>
      <c r="J36" s="44">
        <f t="shared" si="3"/>
        <v>13</v>
      </c>
      <c r="K36" s="43">
        <f t="shared" si="3"/>
        <v>14</v>
      </c>
      <c r="L36" s="44">
        <f t="shared" si="3"/>
        <v>15</v>
      </c>
      <c r="M36" s="134" t="s">
        <v>120</v>
      </c>
      <c r="N36" s="134"/>
      <c r="O36" s="3" t="s">
        <v>130</v>
      </c>
      <c r="P36" s="26"/>
      <c r="AA36"/>
    </row>
    <row r="37" spans="1:27" ht="18.600000000000001" thickBot="1" x14ac:dyDescent="0.35">
      <c r="A37" s="45" t="s">
        <v>25</v>
      </c>
      <c r="B37" s="46" t="s">
        <v>121</v>
      </c>
      <c r="C37" s="47">
        <v>7</v>
      </c>
      <c r="D37" s="48">
        <f t="shared" si="3"/>
        <v>8</v>
      </c>
      <c r="E37" s="47">
        <f t="shared" si="3"/>
        <v>9</v>
      </c>
      <c r="F37" s="48">
        <f t="shared" si="3"/>
        <v>10</v>
      </c>
      <c r="G37" s="47">
        <f t="shared" si="3"/>
        <v>11</v>
      </c>
      <c r="H37" s="48">
        <f t="shared" si="3"/>
        <v>12</v>
      </c>
      <c r="I37" s="47">
        <f t="shared" si="3"/>
        <v>13</v>
      </c>
      <c r="J37" s="48">
        <f t="shared" si="3"/>
        <v>14</v>
      </c>
      <c r="K37" s="47">
        <f t="shared" si="3"/>
        <v>15</v>
      </c>
      <c r="L37" s="48">
        <f t="shared" si="3"/>
        <v>16</v>
      </c>
      <c r="M37" s="135" t="s">
        <v>28</v>
      </c>
      <c r="N37" s="135"/>
      <c r="O37" s="49" t="s">
        <v>131</v>
      </c>
      <c r="P37" s="50"/>
    </row>
  </sheetData>
  <mergeCells count="17"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M34:N34"/>
    <mergeCell ref="M35:N35"/>
    <mergeCell ref="M36:N36"/>
    <mergeCell ref="M37:N37"/>
    <mergeCell ref="A14:B17"/>
    <mergeCell ref="N20:P20"/>
  </mergeCells>
  <pageMargins left="0.25" right="0.25" top="0.75" bottom="0.75" header="0.3" footer="0.3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37"/>
  <sheetViews>
    <sheetView tabSelected="1" topLeftCell="A12" zoomScale="120" zoomScaleNormal="120" workbookViewId="0">
      <selection activeCell="E41" sqref="E41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52" t="s">
        <v>0</v>
      </c>
      <c r="B1" s="53" t="s">
        <v>55</v>
      </c>
      <c r="C1" s="53"/>
      <c r="D1" s="54"/>
      <c r="E1" s="70"/>
      <c r="F1" s="55"/>
      <c r="G1" s="72" t="s">
        <v>115</v>
      </c>
      <c r="H1" s="53"/>
      <c r="I1" s="55"/>
      <c r="J1" s="56"/>
      <c r="K1" s="57" t="s">
        <v>34</v>
      </c>
      <c r="L1" s="54"/>
      <c r="M1" s="54"/>
      <c r="N1" s="58" t="s">
        <v>104</v>
      </c>
      <c r="O1" s="53"/>
      <c r="P1" s="59"/>
    </row>
    <row r="2" spans="1:16" ht="20.399999999999999" customHeight="1" x14ac:dyDescent="0.3">
      <c r="A2" s="60" t="s">
        <v>103</v>
      </c>
      <c r="B2" s="61" t="s">
        <v>84</v>
      </c>
      <c r="C2" s="61"/>
      <c r="D2" s="62"/>
      <c r="E2" s="63" t="s">
        <v>33</v>
      </c>
      <c r="F2" s="64"/>
      <c r="G2" s="64" t="s">
        <v>113</v>
      </c>
      <c r="H2" s="64"/>
      <c r="I2" s="71" t="s">
        <v>114</v>
      </c>
      <c r="J2" s="62"/>
      <c r="K2" s="65" t="s">
        <v>1</v>
      </c>
      <c r="L2" s="66"/>
      <c r="M2" s="66"/>
      <c r="N2" s="61" t="s">
        <v>56</v>
      </c>
      <c r="O2" s="61"/>
      <c r="P2" s="67"/>
    </row>
    <row r="3" spans="1:16" ht="9.6" customHeight="1" x14ac:dyDescent="0.3">
      <c r="A3" s="15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6"/>
    </row>
    <row r="4" spans="1:16" ht="18.600000000000001" customHeight="1" x14ac:dyDescent="0.3">
      <c r="A4" s="17" t="s">
        <v>8</v>
      </c>
      <c r="B4" s="18">
        <v>2</v>
      </c>
      <c r="C4" s="1"/>
      <c r="D4" s="19" t="s">
        <v>37</v>
      </c>
      <c r="E4" s="1"/>
      <c r="F4" s="20">
        <v>20</v>
      </c>
      <c r="G4" s="20" t="s">
        <v>72</v>
      </c>
      <c r="H4" s="1"/>
      <c r="I4" s="1"/>
      <c r="J4" s="1"/>
      <c r="K4" s="21" t="s">
        <v>102</v>
      </c>
      <c r="L4" s="1"/>
      <c r="M4" s="22">
        <v>-1</v>
      </c>
      <c r="N4" s="1"/>
      <c r="O4" s="19" t="s">
        <v>9</v>
      </c>
      <c r="P4" s="69">
        <v>31</v>
      </c>
    </row>
    <row r="5" spans="1:16" ht="19.8" customHeight="1" x14ac:dyDescent="0.3">
      <c r="A5" s="23" t="s">
        <v>29</v>
      </c>
      <c r="B5" s="7"/>
      <c r="J5" s="2" t="s">
        <v>101</v>
      </c>
      <c r="M5" s="7" t="s">
        <v>10</v>
      </c>
      <c r="N5" s="6"/>
      <c r="O5" s="6"/>
      <c r="P5" s="24"/>
    </row>
    <row r="6" spans="1:16" ht="32.4" customHeight="1" x14ac:dyDescent="0.3">
      <c r="A6" s="51">
        <v>12</v>
      </c>
      <c r="B6" s="21" t="s">
        <v>2</v>
      </c>
      <c r="C6" s="136" t="s">
        <v>94</v>
      </c>
      <c r="D6" s="136"/>
      <c r="E6" s="136"/>
      <c r="F6" s="136"/>
      <c r="G6" s="136"/>
      <c r="H6" s="136"/>
      <c r="I6" s="136"/>
      <c r="J6" s="20">
        <v>0</v>
      </c>
      <c r="K6" s="20"/>
      <c r="M6" s="137" t="s">
        <v>57</v>
      </c>
      <c r="N6" s="137"/>
      <c r="O6" s="137"/>
      <c r="P6" s="25">
        <v>9</v>
      </c>
    </row>
    <row r="7" spans="1:16" ht="32.4" customHeight="1" x14ac:dyDescent="0.3">
      <c r="A7" s="51">
        <v>6</v>
      </c>
      <c r="B7" s="21" t="s">
        <v>3</v>
      </c>
      <c r="C7" s="136" t="s">
        <v>95</v>
      </c>
      <c r="D7" s="136"/>
      <c r="E7" s="136"/>
      <c r="F7" s="136"/>
      <c r="G7" s="136"/>
      <c r="H7" s="136"/>
      <c r="I7" s="136"/>
      <c r="J7" s="20">
        <v>-1</v>
      </c>
      <c r="K7" s="20"/>
      <c r="M7" s="137" t="s">
        <v>11</v>
      </c>
      <c r="N7" s="137"/>
      <c r="O7" s="137"/>
      <c r="P7" s="25">
        <v>9</v>
      </c>
    </row>
    <row r="8" spans="1:16" ht="32.4" customHeight="1" x14ac:dyDescent="0.3">
      <c r="A8" s="51">
        <v>12</v>
      </c>
      <c r="B8" s="21" t="s">
        <v>4</v>
      </c>
      <c r="C8" s="136" t="s">
        <v>96</v>
      </c>
      <c r="D8" s="136"/>
      <c r="E8" s="136"/>
      <c r="F8" s="136"/>
      <c r="G8" s="136"/>
      <c r="H8" s="136"/>
      <c r="I8" s="136"/>
      <c r="J8" s="20">
        <v>0</v>
      </c>
      <c r="K8" s="20"/>
      <c r="M8" s="137" t="s">
        <v>14</v>
      </c>
      <c r="N8" s="137"/>
      <c r="O8" s="137"/>
      <c r="P8" s="25">
        <v>11</v>
      </c>
    </row>
    <row r="9" spans="1:16" ht="32.4" customHeight="1" x14ac:dyDescent="0.3">
      <c r="A9" s="51">
        <v>7</v>
      </c>
      <c r="B9" s="21" t="s">
        <v>5</v>
      </c>
      <c r="C9" s="136" t="s">
        <v>97</v>
      </c>
      <c r="D9" s="136"/>
      <c r="E9" s="136"/>
      <c r="F9" s="136"/>
      <c r="G9" s="136"/>
      <c r="H9" s="136"/>
      <c r="I9" s="136"/>
      <c r="J9" s="20">
        <v>-1</v>
      </c>
      <c r="K9" s="20"/>
      <c r="M9" s="137" t="s">
        <v>12</v>
      </c>
      <c r="N9" s="137"/>
      <c r="O9" s="137"/>
      <c r="P9" s="25">
        <v>14</v>
      </c>
    </row>
    <row r="10" spans="1:16" ht="32.4" customHeight="1" x14ac:dyDescent="0.3">
      <c r="A10" s="51">
        <v>13</v>
      </c>
      <c r="B10" s="21" t="s">
        <v>6</v>
      </c>
      <c r="C10" s="136" t="s">
        <v>98</v>
      </c>
      <c r="D10" s="136"/>
      <c r="E10" s="136"/>
      <c r="F10" s="136"/>
      <c r="G10" s="136"/>
      <c r="H10" s="136"/>
      <c r="I10" s="136"/>
      <c r="J10" s="20">
        <v>1</v>
      </c>
      <c r="K10" s="20"/>
      <c r="M10" s="137" t="s">
        <v>13</v>
      </c>
      <c r="N10" s="137"/>
      <c r="O10" s="137"/>
      <c r="P10" s="25">
        <v>11</v>
      </c>
    </row>
    <row r="11" spans="1:16" ht="32.4" customHeight="1" x14ac:dyDescent="0.3">
      <c r="A11" s="51">
        <v>9</v>
      </c>
      <c r="B11" s="21" t="s">
        <v>7</v>
      </c>
      <c r="C11" s="136" t="s">
        <v>99</v>
      </c>
      <c r="D11" s="136"/>
      <c r="E11" s="136"/>
      <c r="F11" s="136"/>
      <c r="G11" s="136"/>
      <c r="H11" s="136"/>
      <c r="I11" s="136"/>
      <c r="J11" s="20">
        <v>0</v>
      </c>
      <c r="K11" s="20"/>
      <c r="P11" s="26"/>
    </row>
    <row r="12" spans="1:16" ht="8.4" customHeight="1" x14ac:dyDescent="0.3">
      <c r="A12" s="27"/>
      <c r="P12" s="26"/>
    </row>
    <row r="13" spans="1:16" s="3" customFormat="1" ht="15.6" customHeight="1" x14ac:dyDescent="0.3">
      <c r="A13" s="28" t="s">
        <v>16</v>
      </c>
      <c r="B13" s="4"/>
      <c r="C13" s="12"/>
      <c r="E13" s="4" t="s">
        <v>17</v>
      </c>
      <c r="F13" s="4"/>
      <c r="G13" s="4"/>
      <c r="H13" s="12"/>
      <c r="I13" s="29" t="s">
        <v>75</v>
      </c>
      <c r="J13" s="29" t="s">
        <v>76</v>
      </c>
      <c r="K13" s="29" t="s">
        <v>77</v>
      </c>
      <c r="N13" s="4" t="s">
        <v>63</v>
      </c>
      <c r="O13" s="5"/>
      <c r="P13" s="30"/>
    </row>
    <row r="14" spans="1:16" s="3" customFormat="1" ht="15.6" customHeight="1" x14ac:dyDescent="0.3">
      <c r="A14" s="138" t="s">
        <v>58</v>
      </c>
      <c r="B14" s="139"/>
      <c r="E14" s="12" t="s">
        <v>21</v>
      </c>
      <c r="F14" s="12"/>
      <c r="H14" s="31" t="s">
        <v>80</v>
      </c>
      <c r="I14" s="32">
        <v>20</v>
      </c>
      <c r="J14" s="1">
        <f>K14*1.5</f>
        <v>6</v>
      </c>
      <c r="K14" s="1">
        <f>I14/5</f>
        <v>4</v>
      </c>
      <c r="N14" s="3" t="s">
        <v>64</v>
      </c>
      <c r="P14" s="16"/>
    </row>
    <row r="15" spans="1:16" s="3" customFormat="1" ht="15.6" customHeight="1" x14ac:dyDescent="0.3">
      <c r="A15" s="138"/>
      <c r="B15" s="139"/>
      <c r="E15" s="33" t="s">
        <v>38</v>
      </c>
      <c r="F15" s="33"/>
      <c r="G15" s="34"/>
      <c r="H15" s="35" t="s">
        <v>81</v>
      </c>
      <c r="I15" s="36">
        <v>60</v>
      </c>
      <c r="J15" s="36">
        <f>K15*1.5</f>
        <v>18</v>
      </c>
      <c r="K15" s="36">
        <f t="shared" ref="K15:K18" si="0">I15/5</f>
        <v>12</v>
      </c>
      <c r="N15" s="3" t="s">
        <v>65</v>
      </c>
      <c r="P15" s="16"/>
    </row>
    <row r="16" spans="1:16" s="3" customFormat="1" ht="15.6" customHeight="1" x14ac:dyDescent="0.3">
      <c r="A16" s="138"/>
      <c r="B16" s="139"/>
      <c r="E16" s="12" t="s">
        <v>18</v>
      </c>
      <c r="F16" s="12"/>
      <c r="H16" s="31" t="s">
        <v>80</v>
      </c>
      <c r="I16" s="32">
        <v>60</v>
      </c>
      <c r="J16" s="1">
        <f>K16*1.5</f>
        <v>18</v>
      </c>
      <c r="K16" s="1">
        <f t="shared" si="0"/>
        <v>12</v>
      </c>
      <c r="N16" s="3" t="s">
        <v>66</v>
      </c>
      <c r="P16" s="16"/>
    </row>
    <row r="17" spans="1:16" s="3" customFormat="1" ht="15.6" customHeight="1" x14ac:dyDescent="0.3">
      <c r="A17" s="138"/>
      <c r="B17" s="139"/>
      <c r="E17" s="33" t="s">
        <v>35</v>
      </c>
      <c r="F17" s="33"/>
      <c r="G17" s="34"/>
      <c r="H17" s="35" t="s">
        <v>80</v>
      </c>
      <c r="I17" s="36">
        <v>10</v>
      </c>
      <c r="J17" s="36">
        <f>K17*1.5</f>
        <v>3</v>
      </c>
      <c r="K17" s="36">
        <f t="shared" si="0"/>
        <v>2</v>
      </c>
      <c r="N17" s="3" t="s">
        <v>67</v>
      </c>
      <c r="P17" s="16"/>
    </row>
    <row r="18" spans="1:16" s="3" customFormat="1" ht="15.6" customHeight="1" x14ac:dyDescent="0.3">
      <c r="A18" s="15"/>
      <c r="E18" s="12" t="s">
        <v>36</v>
      </c>
      <c r="F18" s="12"/>
      <c r="H18" s="31" t="s">
        <v>80</v>
      </c>
      <c r="I18" s="32">
        <v>10</v>
      </c>
      <c r="J18" s="1">
        <f>K18*1.5</f>
        <v>3</v>
      </c>
      <c r="K18" s="1">
        <f t="shared" si="0"/>
        <v>2</v>
      </c>
      <c r="N18" s="3" t="s">
        <v>68</v>
      </c>
      <c r="P18" s="16"/>
    </row>
    <row r="19" spans="1:16" s="3" customFormat="1" ht="15.6" customHeight="1" x14ac:dyDescent="0.3">
      <c r="A19" s="28" t="s">
        <v>71</v>
      </c>
      <c r="B19" s="4"/>
      <c r="E19" s="33" t="s">
        <v>22</v>
      </c>
      <c r="F19" s="33"/>
      <c r="G19" s="34"/>
      <c r="H19" s="35" t="s">
        <v>82</v>
      </c>
      <c r="I19" s="37" t="s">
        <v>161</v>
      </c>
      <c r="J19" s="37" t="s">
        <v>78</v>
      </c>
      <c r="K19" s="37"/>
      <c r="N19" s="3" t="s">
        <v>100</v>
      </c>
      <c r="P19" s="16"/>
    </row>
    <row r="20" spans="1:16" s="3" customFormat="1" ht="15.6" customHeight="1" x14ac:dyDescent="0.3">
      <c r="A20" s="15" t="s">
        <v>44</v>
      </c>
      <c r="B20" s="38">
        <v>0</v>
      </c>
      <c r="N20" s="130" t="s">
        <v>69</v>
      </c>
      <c r="O20" s="130"/>
      <c r="P20" s="131"/>
    </row>
    <row r="21" spans="1:16" s="3" customFormat="1" ht="15.6" customHeight="1" x14ac:dyDescent="0.3">
      <c r="A21" s="15" t="s">
        <v>41</v>
      </c>
      <c r="B21" s="38">
        <v>500</v>
      </c>
      <c r="E21" s="82" t="s">
        <v>224</v>
      </c>
      <c r="P21" s="40"/>
    </row>
    <row r="22" spans="1:16" ht="15.6" customHeight="1" x14ac:dyDescent="0.3">
      <c r="A22" s="27" t="s">
        <v>45</v>
      </c>
      <c r="B22" s="38">
        <v>0</v>
      </c>
      <c r="E22" s="83" t="s">
        <v>40</v>
      </c>
      <c r="N22" s="3"/>
      <c r="O22" s="39" t="s">
        <v>48</v>
      </c>
      <c r="P22" s="40">
        <v>8</v>
      </c>
    </row>
    <row r="23" spans="1:16" ht="15.6" customHeight="1" x14ac:dyDescent="0.3">
      <c r="A23" s="27" t="s">
        <v>42</v>
      </c>
      <c r="B23" s="38">
        <v>0</v>
      </c>
      <c r="E23" s="2" t="s">
        <v>105</v>
      </c>
      <c r="M23" s="12"/>
      <c r="N23" s="13"/>
      <c r="O23" s="39" t="s">
        <v>41</v>
      </c>
      <c r="P23" s="40">
        <v>5</v>
      </c>
    </row>
    <row r="24" spans="1:16" ht="15.6" customHeight="1" x14ac:dyDescent="0.3">
      <c r="A24" s="27"/>
      <c r="E24" s="2" t="s">
        <v>107</v>
      </c>
      <c r="M24" s="12"/>
      <c r="N24" s="12"/>
      <c r="P24" s="26"/>
    </row>
    <row r="25" spans="1:16" ht="15.6" customHeight="1" x14ac:dyDescent="0.3">
      <c r="A25" s="27"/>
      <c r="E25" s="2" t="s">
        <v>108</v>
      </c>
      <c r="P25" s="26"/>
    </row>
    <row r="26" spans="1:16" ht="15.6" customHeight="1" x14ac:dyDescent="0.3">
      <c r="A26" s="27"/>
      <c r="E26" s="2" t="s">
        <v>106</v>
      </c>
      <c r="P26" s="26"/>
    </row>
    <row r="27" spans="1:16" ht="15.6" customHeight="1" x14ac:dyDescent="0.3">
      <c r="A27" s="27"/>
      <c r="P27" s="26"/>
    </row>
    <row r="28" spans="1:16" ht="15.6" customHeight="1" x14ac:dyDescent="0.3">
      <c r="A28" s="28" t="s">
        <v>43</v>
      </c>
      <c r="B28" s="4"/>
      <c r="C28" s="14" t="s">
        <v>109</v>
      </c>
      <c r="D28" s="6"/>
      <c r="E28" s="14" t="s">
        <v>110</v>
      </c>
      <c r="F28" s="6"/>
      <c r="G28" s="14" t="s">
        <v>111</v>
      </c>
      <c r="H28" s="6"/>
      <c r="I28" s="14" t="s">
        <v>112</v>
      </c>
      <c r="J28" s="6"/>
      <c r="K28" s="6"/>
      <c r="N28" s="4" t="s">
        <v>29</v>
      </c>
      <c r="O28" s="6"/>
      <c r="P28" s="24"/>
    </row>
    <row r="29" spans="1:16" ht="15.6" customHeight="1" x14ac:dyDescent="0.3">
      <c r="A29" s="68" t="s">
        <v>30</v>
      </c>
      <c r="B29" s="2" t="s">
        <v>85</v>
      </c>
      <c r="N29" s="2" t="s">
        <v>61</v>
      </c>
      <c r="P29" s="26"/>
    </row>
    <row r="30" spans="1:16" x14ac:dyDescent="0.3">
      <c r="A30" s="68" t="s">
        <v>31</v>
      </c>
      <c r="B30" s="2" t="s">
        <v>87</v>
      </c>
      <c r="N30" s="2" t="s">
        <v>32</v>
      </c>
      <c r="P30" s="26"/>
    </row>
    <row r="31" spans="1:16" ht="15.6" customHeight="1" x14ac:dyDescent="0.3">
      <c r="A31" s="68" t="s">
        <v>39</v>
      </c>
      <c r="B31" s="2" t="s">
        <v>86</v>
      </c>
      <c r="N31" s="2" t="s">
        <v>62</v>
      </c>
      <c r="P31" s="26"/>
    </row>
    <row r="32" spans="1:16" x14ac:dyDescent="0.3">
      <c r="A32" s="68" t="s">
        <v>73</v>
      </c>
      <c r="B32" s="2" t="s">
        <v>74</v>
      </c>
      <c r="N32" s="2" t="s">
        <v>83</v>
      </c>
      <c r="P32" s="26"/>
    </row>
    <row r="33" spans="1:27" x14ac:dyDescent="0.3">
      <c r="A33" s="27"/>
      <c r="L33" s="81" t="s">
        <v>223</v>
      </c>
      <c r="P33" s="26"/>
    </row>
    <row r="34" spans="1:27" ht="15.6" x14ac:dyDescent="0.3">
      <c r="A34" s="41" t="s">
        <v>15</v>
      </c>
      <c r="B34" s="8" t="s">
        <v>19</v>
      </c>
      <c r="C34" s="10" t="s">
        <v>20</v>
      </c>
      <c r="D34" s="9">
        <v>8</v>
      </c>
      <c r="E34" s="10">
        <f>D34-1</f>
        <v>7</v>
      </c>
      <c r="F34" s="9">
        <f t="shared" ref="F34:L34" si="1">E34-1</f>
        <v>6</v>
      </c>
      <c r="G34" s="10">
        <f t="shared" si="1"/>
        <v>5</v>
      </c>
      <c r="H34" s="9">
        <f t="shared" si="1"/>
        <v>4</v>
      </c>
      <c r="I34" s="10">
        <f t="shared" si="1"/>
        <v>3</v>
      </c>
      <c r="J34" s="9">
        <f t="shared" si="1"/>
        <v>2</v>
      </c>
      <c r="K34" s="10">
        <f t="shared" si="1"/>
        <v>1</v>
      </c>
      <c r="L34" s="9">
        <f t="shared" si="1"/>
        <v>0</v>
      </c>
      <c r="M34" s="132" t="s">
        <v>26</v>
      </c>
      <c r="N34" s="132"/>
      <c r="O34" s="4" t="s">
        <v>27</v>
      </c>
      <c r="P34" s="24"/>
    </row>
    <row r="35" spans="1:27" ht="18" x14ac:dyDescent="0.3">
      <c r="A35" s="42" t="s">
        <v>59</v>
      </c>
      <c r="B35" s="1" t="s">
        <v>23</v>
      </c>
      <c r="C35" s="43">
        <v>8</v>
      </c>
      <c r="D35" s="44">
        <f>C35+1</f>
        <v>9</v>
      </c>
      <c r="E35" s="43">
        <f t="shared" ref="E35:L35" si="2">D35+1</f>
        <v>10</v>
      </c>
      <c r="F35" s="44">
        <f t="shared" si="2"/>
        <v>11</v>
      </c>
      <c r="G35" s="43">
        <f t="shared" si="2"/>
        <v>12</v>
      </c>
      <c r="H35" s="44">
        <f t="shared" si="2"/>
        <v>13</v>
      </c>
      <c r="I35" s="43">
        <f t="shared" si="2"/>
        <v>14</v>
      </c>
      <c r="J35" s="44">
        <f t="shared" si="2"/>
        <v>15</v>
      </c>
      <c r="K35" s="43">
        <f t="shared" si="2"/>
        <v>16</v>
      </c>
      <c r="L35" s="44">
        <f t="shared" si="2"/>
        <v>17</v>
      </c>
      <c r="M35" s="133" t="s">
        <v>28</v>
      </c>
      <c r="N35" s="133"/>
      <c r="P35" s="26"/>
    </row>
    <row r="36" spans="1:27" ht="18" x14ac:dyDescent="0.3">
      <c r="A36" s="42" t="s">
        <v>60</v>
      </c>
      <c r="B36" s="1" t="s">
        <v>89</v>
      </c>
      <c r="C36" s="43">
        <v>8</v>
      </c>
      <c r="D36" s="44">
        <f t="shared" ref="D36:L36" si="3">C36+1</f>
        <v>9</v>
      </c>
      <c r="E36" s="43">
        <f t="shared" si="3"/>
        <v>10</v>
      </c>
      <c r="F36" s="44">
        <f t="shared" si="3"/>
        <v>11</v>
      </c>
      <c r="G36" s="43">
        <f t="shared" si="3"/>
        <v>12</v>
      </c>
      <c r="H36" s="44">
        <f t="shared" si="3"/>
        <v>13</v>
      </c>
      <c r="I36" s="43">
        <f t="shared" si="3"/>
        <v>14</v>
      </c>
      <c r="J36" s="44">
        <f t="shared" si="3"/>
        <v>15</v>
      </c>
      <c r="K36" s="43">
        <f t="shared" si="3"/>
        <v>16</v>
      </c>
      <c r="L36" s="44">
        <f t="shared" si="3"/>
        <v>17</v>
      </c>
      <c r="M36" s="134" t="s">
        <v>93</v>
      </c>
      <c r="N36" s="134"/>
      <c r="O36" s="3" t="s">
        <v>92</v>
      </c>
      <c r="P36" s="26"/>
      <c r="AA36"/>
    </row>
    <row r="37" spans="1:27" ht="18.600000000000001" thickBot="1" x14ac:dyDescent="0.35">
      <c r="A37" s="45" t="s">
        <v>88</v>
      </c>
      <c r="B37" s="46" t="s">
        <v>90</v>
      </c>
      <c r="C37" s="47">
        <v>9</v>
      </c>
      <c r="D37" s="48">
        <f t="shared" ref="D37:L37" si="4">C37+1</f>
        <v>10</v>
      </c>
      <c r="E37" s="47">
        <f t="shared" si="4"/>
        <v>11</v>
      </c>
      <c r="F37" s="48">
        <f t="shared" si="4"/>
        <v>12</v>
      </c>
      <c r="G37" s="47">
        <f t="shared" si="4"/>
        <v>13</v>
      </c>
      <c r="H37" s="48">
        <f t="shared" si="4"/>
        <v>14</v>
      </c>
      <c r="I37" s="47">
        <f t="shared" si="4"/>
        <v>15</v>
      </c>
      <c r="J37" s="48">
        <f t="shared" si="4"/>
        <v>16</v>
      </c>
      <c r="K37" s="47">
        <f t="shared" si="4"/>
        <v>17</v>
      </c>
      <c r="L37" s="48">
        <f t="shared" si="4"/>
        <v>18</v>
      </c>
      <c r="M37" s="135" t="s">
        <v>91</v>
      </c>
      <c r="N37" s="135"/>
      <c r="O37" s="49" t="s">
        <v>252</v>
      </c>
      <c r="P37" s="50"/>
    </row>
  </sheetData>
  <mergeCells count="17">
    <mergeCell ref="C11:I11"/>
    <mergeCell ref="A14:B17"/>
    <mergeCell ref="N20:P20"/>
    <mergeCell ref="M37:N37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  <mergeCell ref="M34:N34"/>
    <mergeCell ref="M35:N35"/>
    <mergeCell ref="M36:N36"/>
  </mergeCells>
  <phoneticPr fontId="15" type="noConversion"/>
  <pageMargins left="0.25" right="0.25" top="0.75" bottom="0.75" header="0.3" footer="0.3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68"/>
  <sheetViews>
    <sheetView topLeftCell="A23" zoomScale="120" zoomScaleNormal="120" workbookViewId="0">
      <selection activeCell="D51" sqref="D51"/>
    </sheetView>
  </sheetViews>
  <sheetFormatPr defaultRowHeight="14.4" x14ac:dyDescent="0.3"/>
  <cols>
    <col min="1" max="1" width="5.88671875" customWidth="1"/>
    <col min="2" max="2" width="5.88671875" style="11" customWidth="1"/>
    <col min="3" max="17" width="5.88671875" customWidth="1"/>
    <col min="18" max="21" width="5.5546875" customWidth="1"/>
  </cols>
  <sheetData>
    <row r="1" spans="1:21" ht="23.4" customHeight="1" x14ac:dyDescent="0.3">
      <c r="A1" s="90" t="s">
        <v>47</v>
      </c>
      <c r="B1" s="87"/>
      <c r="C1" s="87"/>
      <c r="D1" s="87"/>
      <c r="E1" s="87"/>
      <c r="F1" s="87"/>
      <c r="G1" s="87"/>
      <c r="H1" s="88" t="s">
        <v>46</v>
      </c>
      <c r="I1" s="88" t="s">
        <v>48</v>
      </c>
      <c r="J1" s="146" t="s">
        <v>225</v>
      </c>
      <c r="K1" s="146"/>
      <c r="L1" s="146"/>
      <c r="M1" s="146"/>
      <c r="N1" s="146"/>
      <c r="O1" s="146"/>
      <c r="P1" s="146"/>
      <c r="Q1" s="146"/>
      <c r="R1" s="89"/>
      <c r="S1" s="89"/>
      <c r="T1" s="89"/>
      <c r="U1" s="89"/>
    </row>
    <row r="2" spans="1:21" ht="17.399999999999999" customHeight="1" x14ac:dyDescent="0.3">
      <c r="A2" s="105" t="s">
        <v>248</v>
      </c>
      <c r="B2" s="2"/>
      <c r="C2" s="2"/>
      <c r="D2" s="2"/>
      <c r="E2" s="1"/>
      <c r="F2" s="2"/>
      <c r="G2" s="2"/>
      <c r="H2" s="113" t="s">
        <v>247</v>
      </c>
      <c r="I2" s="114"/>
      <c r="J2" s="108"/>
      <c r="K2" s="2"/>
      <c r="L2" s="2"/>
      <c r="M2" s="2"/>
      <c r="N2" s="2"/>
      <c r="O2" s="2"/>
      <c r="P2" s="2"/>
      <c r="Q2" s="2"/>
    </row>
    <row r="3" spans="1:21" ht="17.399999999999999" customHeight="1" x14ac:dyDescent="0.3">
      <c r="A3" s="106">
        <v>1</v>
      </c>
      <c r="B3" s="109"/>
      <c r="C3" s="109"/>
      <c r="D3" s="109"/>
      <c r="E3" s="109"/>
      <c r="F3" s="109"/>
      <c r="G3" s="109"/>
      <c r="H3" s="115"/>
      <c r="I3" s="115"/>
      <c r="J3" s="110"/>
      <c r="K3" s="109"/>
      <c r="L3" s="109"/>
      <c r="M3" s="109"/>
      <c r="N3" s="109"/>
      <c r="O3" s="109"/>
      <c r="P3" s="109"/>
      <c r="Q3" s="109"/>
    </row>
    <row r="4" spans="1:21" ht="17.399999999999999" customHeight="1" x14ac:dyDescent="0.3">
      <c r="A4" s="29">
        <f>A3+1</f>
        <v>2</v>
      </c>
      <c r="B4" s="2"/>
      <c r="C4" s="2"/>
      <c r="D4" s="2"/>
      <c r="E4" s="1"/>
      <c r="F4" s="2"/>
      <c r="G4" s="2"/>
      <c r="H4" s="114"/>
      <c r="I4" s="114"/>
      <c r="J4" s="108"/>
      <c r="K4" s="2"/>
      <c r="L4" s="2"/>
      <c r="M4" s="2"/>
      <c r="N4" s="2"/>
      <c r="O4" s="2"/>
      <c r="P4" s="2"/>
      <c r="Q4" s="2"/>
    </row>
    <row r="5" spans="1:21" ht="17.399999999999999" customHeight="1" x14ac:dyDescent="0.3">
      <c r="A5" s="106">
        <f t="shared" ref="A5:A21" si="0">A4+1</f>
        <v>3</v>
      </c>
      <c r="B5" s="109"/>
      <c r="C5" s="109"/>
      <c r="D5" s="109"/>
      <c r="E5" s="109"/>
      <c r="F5" s="109"/>
      <c r="G5" s="109"/>
      <c r="H5" s="115"/>
      <c r="I5" s="115"/>
      <c r="J5" s="110"/>
      <c r="K5" s="109"/>
      <c r="L5" s="109"/>
      <c r="M5" s="109"/>
      <c r="N5" s="109"/>
      <c r="O5" s="109"/>
      <c r="P5" s="109"/>
      <c r="Q5" s="109"/>
    </row>
    <row r="6" spans="1:21" ht="17.399999999999999" customHeight="1" x14ac:dyDescent="0.3">
      <c r="A6" s="29">
        <f t="shared" si="0"/>
        <v>4</v>
      </c>
      <c r="B6" s="2"/>
      <c r="C6" s="2"/>
      <c r="D6" s="2"/>
      <c r="E6" s="1"/>
      <c r="F6" s="2"/>
      <c r="G6" s="2"/>
      <c r="H6" s="114"/>
      <c r="I6" s="114"/>
      <c r="J6" s="108"/>
      <c r="K6" s="2"/>
      <c r="L6" s="2"/>
      <c r="M6" s="2"/>
      <c r="N6" s="2"/>
      <c r="O6" s="2"/>
      <c r="P6" s="2"/>
      <c r="Q6" s="2"/>
    </row>
    <row r="7" spans="1:21" ht="17.399999999999999" customHeight="1" x14ac:dyDescent="0.3">
      <c r="A7" s="106">
        <f t="shared" si="0"/>
        <v>5</v>
      </c>
      <c r="B7" s="109"/>
      <c r="C7" s="109"/>
      <c r="D7" s="109"/>
      <c r="E7" s="109"/>
      <c r="F7" s="109"/>
      <c r="G7" s="109"/>
      <c r="H7" s="115"/>
      <c r="I7" s="115"/>
      <c r="J7" s="110"/>
      <c r="K7" s="109"/>
      <c r="L7" s="109"/>
      <c r="M7" s="109"/>
      <c r="N7" s="109"/>
      <c r="O7" s="109"/>
      <c r="P7" s="109"/>
      <c r="Q7" s="109"/>
    </row>
    <row r="8" spans="1:21" ht="17.399999999999999" customHeight="1" x14ac:dyDescent="0.3">
      <c r="A8" s="29">
        <f t="shared" si="0"/>
        <v>6</v>
      </c>
      <c r="B8" s="2"/>
      <c r="C8" s="2"/>
      <c r="D8" s="2"/>
      <c r="E8" s="1"/>
      <c r="F8" s="2"/>
      <c r="G8" s="2"/>
      <c r="H8" s="114"/>
      <c r="I8" s="114"/>
      <c r="J8" s="108"/>
      <c r="K8" s="2"/>
      <c r="L8" s="2"/>
      <c r="M8" s="2"/>
      <c r="N8" s="2"/>
      <c r="O8" s="2"/>
      <c r="P8" s="2"/>
      <c r="Q8" s="2"/>
    </row>
    <row r="9" spans="1:21" ht="17.399999999999999" customHeight="1" x14ac:dyDescent="0.3">
      <c r="A9" s="106">
        <f t="shared" si="0"/>
        <v>7</v>
      </c>
      <c r="B9" s="109"/>
      <c r="C9" s="109"/>
      <c r="D9" s="109"/>
      <c r="E9" s="109"/>
      <c r="F9" s="109"/>
      <c r="G9" s="109"/>
      <c r="H9" s="115"/>
      <c r="I9" s="115"/>
      <c r="J9" s="110"/>
      <c r="K9" s="109"/>
      <c r="L9" s="109"/>
      <c r="M9" s="109"/>
      <c r="N9" s="109"/>
      <c r="O9" s="109"/>
      <c r="P9" s="109"/>
      <c r="Q9" s="109"/>
    </row>
    <row r="10" spans="1:21" ht="17.399999999999999" customHeight="1" x14ac:dyDescent="0.3">
      <c r="A10" s="29">
        <f t="shared" si="0"/>
        <v>8</v>
      </c>
      <c r="B10" s="2"/>
      <c r="C10" s="2"/>
      <c r="D10" s="2"/>
      <c r="E10" s="1"/>
      <c r="F10" s="2"/>
      <c r="G10" s="2"/>
      <c r="H10" s="114"/>
      <c r="I10" s="114"/>
      <c r="J10" s="108"/>
      <c r="K10" s="2"/>
      <c r="L10" s="2"/>
      <c r="M10" s="2"/>
      <c r="N10" s="2"/>
      <c r="O10" s="2"/>
      <c r="P10" s="2"/>
      <c r="Q10" s="2"/>
    </row>
    <row r="11" spans="1:21" ht="17.399999999999999" customHeight="1" x14ac:dyDescent="0.3">
      <c r="A11" s="106">
        <f t="shared" si="0"/>
        <v>9</v>
      </c>
      <c r="B11" s="109"/>
      <c r="C11" s="109"/>
      <c r="D11" s="109"/>
      <c r="E11" s="109"/>
      <c r="F11" s="109"/>
      <c r="G11" s="109"/>
      <c r="H11" s="115"/>
      <c r="I11" s="115"/>
      <c r="J11" s="110"/>
      <c r="K11" s="109"/>
      <c r="L11" s="109"/>
      <c r="M11" s="109"/>
      <c r="N11" s="109"/>
      <c r="O11" s="109"/>
      <c r="P11" s="109"/>
      <c r="Q11" s="109"/>
    </row>
    <row r="12" spans="1:21" ht="17.399999999999999" customHeight="1" x14ac:dyDescent="0.3">
      <c r="A12" s="29">
        <f t="shared" si="0"/>
        <v>10</v>
      </c>
      <c r="B12" s="2"/>
      <c r="C12" s="2"/>
      <c r="D12" s="2"/>
      <c r="E12" s="1"/>
      <c r="F12" s="2"/>
      <c r="G12" s="2"/>
      <c r="H12" s="114"/>
      <c r="I12" s="114"/>
      <c r="J12" s="108"/>
      <c r="K12" s="2"/>
      <c r="L12" s="2"/>
      <c r="M12" s="2"/>
      <c r="N12" s="2"/>
      <c r="O12" s="2"/>
      <c r="P12" s="2"/>
      <c r="Q12" s="2"/>
    </row>
    <row r="13" spans="1:21" ht="17.399999999999999" customHeight="1" x14ac:dyDescent="0.3">
      <c r="A13" s="106">
        <f t="shared" si="0"/>
        <v>11</v>
      </c>
      <c r="B13" s="109"/>
      <c r="C13" s="109"/>
      <c r="D13" s="109"/>
      <c r="E13" s="109"/>
      <c r="F13" s="109"/>
      <c r="G13" s="109"/>
      <c r="H13" s="115"/>
      <c r="I13" s="115"/>
      <c r="J13" s="110"/>
      <c r="K13" s="109"/>
      <c r="L13" s="109"/>
      <c r="M13" s="109"/>
      <c r="N13" s="109"/>
      <c r="O13" s="109"/>
      <c r="P13" s="109"/>
      <c r="Q13" s="109"/>
    </row>
    <row r="14" spans="1:21" ht="17.399999999999999" customHeight="1" x14ac:dyDescent="0.3">
      <c r="A14" s="29">
        <f t="shared" si="0"/>
        <v>12</v>
      </c>
      <c r="B14" s="2"/>
      <c r="C14" s="2"/>
      <c r="D14" s="2"/>
      <c r="E14" s="1"/>
      <c r="F14" s="2"/>
      <c r="G14" s="2"/>
      <c r="H14" s="114"/>
      <c r="I14" s="114"/>
      <c r="J14" s="108"/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06">
        <f t="shared" si="0"/>
        <v>13</v>
      </c>
      <c r="B15" s="109"/>
      <c r="C15" s="109"/>
      <c r="D15" s="109"/>
      <c r="E15" s="109"/>
      <c r="F15" s="109"/>
      <c r="G15" s="109"/>
      <c r="H15" s="115"/>
      <c r="I15" s="115"/>
      <c r="J15" s="110"/>
      <c r="K15" s="109"/>
      <c r="L15" s="109"/>
      <c r="M15" s="109"/>
      <c r="N15" s="109"/>
      <c r="O15" s="109"/>
      <c r="P15" s="109"/>
      <c r="Q15" s="109"/>
    </row>
    <row r="16" spans="1:21" ht="17.399999999999999" customHeight="1" x14ac:dyDescent="0.3">
      <c r="A16" s="29">
        <f t="shared" si="0"/>
        <v>14</v>
      </c>
      <c r="B16" s="2"/>
      <c r="C16" s="2"/>
      <c r="D16" s="2"/>
      <c r="E16" s="1"/>
      <c r="F16" s="2"/>
      <c r="G16" s="2"/>
      <c r="H16" s="114"/>
      <c r="I16" s="114"/>
      <c r="J16" s="108"/>
      <c r="K16" s="2"/>
      <c r="L16" s="2"/>
      <c r="M16" s="2"/>
      <c r="N16" s="2"/>
      <c r="O16" s="2"/>
      <c r="P16" s="2"/>
      <c r="Q16" s="2"/>
    </row>
    <row r="17" spans="1:21" ht="17.399999999999999" customHeight="1" x14ac:dyDescent="0.3">
      <c r="A17" s="106">
        <f t="shared" si="0"/>
        <v>15</v>
      </c>
      <c r="B17" s="109"/>
      <c r="C17" s="109"/>
      <c r="D17" s="109"/>
      <c r="E17" s="109"/>
      <c r="F17" s="109"/>
      <c r="G17" s="109"/>
      <c r="H17" s="115"/>
      <c r="I17" s="115"/>
      <c r="J17" s="110"/>
      <c r="K17" s="109"/>
      <c r="L17" s="109"/>
      <c r="M17" s="109"/>
      <c r="N17" s="109"/>
      <c r="O17" s="109"/>
      <c r="P17" s="109"/>
      <c r="Q17" s="109"/>
    </row>
    <row r="18" spans="1:21" ht="17.399999999999999" customHeight="1" x14ac:dyDescent="0.3">
      <c r="A18" s="29">
        <f t="shared" si="0"/>
        <v>16</v>
      </c>
      <c r="B18" s="2"/>
      <c r="C18" s="2"/>
      <c r="D18" s="2"/>
      <c r="E18" s="1"/>
      <c r="F18" s="2"/>
      <c r="G18" s="2"/>
      <c r="H18" s="114"/>
      <c r="I18" s="114"/>
      <c r="J18" s="108"/>
      <c r="K18" s="2"/>
      <c r="L18" s="2"/>
      <c r="M18" s="2"/>
      <c r="N18" s="2"/>
      <c r="O18" s="2"/>
      <c r="P18" s="2"/>
      <c r="Q18" s="2"/>
    </row>
    <row r="19" spans="1:21" ht="17.399999999999999" customHeight="1" x14ac:dyDescent="0.3">
      <c r="A19" s="106">
        <f t="shared" si="0"/>
        <v>17</v>
      </c>
      <c r="B19" s="109"/>
      <c r="C19" s="109"/>
      <c r="D19" s="109"/>
      <c r="E19" s="109"/>
      <c r="F19" s="109"/>
      <c r="G19" s="109"/>
      <c r="H19" s="115"/>
      <c r="I19" s="115"/>
      <c r="J19" s="110"/>
      <c r="K19" s="109"/>
      <c r="L19" s="109"/>
      <c r="M19" s="109"/>
      <c r="N19" s="109"/>
      <c r="O19" s="109"/>
      <c r="P19" s="109"/>
      <c r="Q19" s="109"/>
    </row>
    <row r="20" spans="1:21" ht="17.399999999999999" customHeight="1" x14ac:dyDescent="0.3">
      <c r="A20" s="29">
        <f t="shared" si="0"/>
        <v>18</v>
      </c>
      <c r="B20" s="2"/>
      <c r="C20" s="2"/>
      <c r="D20" s="2"/>
      <c r="E20" s="1"/>
      <c r="F20" s="2"/>
      <c r="G20" s="2"/>
      <c r="H20" s="114"/>
      <c r="I20" s="114"/>
      <c r="J20" s="108"/>
      <c r="K20" s="2"/>
      <c r="L20" s="2"/>
      <c r="M20" s="2"/>
      <c r="N20" s="2"/>
      <c r="O20" s="2"/>
      <c r="P20" s="2"/>
      <c r="Q20" s="2"/>
    </row>
    <row r="21" spans="1:21" ht="17.399999999999999" customHeight="1" x14ac:dyDescent="0.3">
      <c r="A21" s="107">
        <f t="shared" si="0"/>
        <v>19</v>
      </c>
      <c r="B21" s="111"/>
      <c r="C21" s="111"/>
      <c r="D21" s="111"/>
      <c r="E21" s="111"/>
      <c r="F21" s="111"/>
      <c r="G21" s="111"/>
      <c r="H21" s="116"/>
      <c r="I21" s="116"/>
      <c r="J21" s="112"/>
      <c r="K21" s="111"/>
      <c r="L21" s="111"/>
      <c r="M21" s="111"/>
      <c r="N21" s="111"/>
      <c r="O21" s="111"/>
      <c r="P21" s="111"/>
      <c r="Q21" s="111"/>
    </row>
    <row r="22" spans="1:21" ht="17.399999999999999" customHeight="1" x14ac:dyDescent="0.3">
      <c r="A22" s="86"/>
      <c r="B22"/>
      <c r="Q22" s="129" t="s">
        <v>249</v>
      </c>
    </row>
    <row r="23" spans="1:21" ht="17.399999999999999" customHeight="1" x14ac:dyDescent="0.3">
      <c r="A23" s="147" t="s">
        <v>223</v>
      </c>
      <c r="B23" s="147"/>
      <c r="C23" s="120" t="s">
        <v>8</v>
      </c>
      <c r="D23" s="120" t="s">
        <v>8</v>
      </c>
      <c r="E23" s="120" t="s">
        <v>8</v>
      </c>
      <c r="F23" s="120" t="s">
        <v>8</v>
      </c>
      <c r="G23" s="120" t="s">
        <v>8</v>
      </c>
      <c r="H23" s="120" t="s">
        <v>8</v>
      </c>
      <c r="I23" s="120" t="s">
        <v>8</v>
      </c>
      <c r="J23" s="120" t="s">
        <v>8</v>
      </c>
      <c r="K23" s="120" t="s">
        <v>8</v>
      </c>
      <c r="L23" s="120" t="s">
        <v>8</v>
      </c>
      <c r="M23" s="120" t="s">
        <v>8</v>
      </c>
      <c r="N23" s="120" t="s">
        <v>8</v>
      </c>
      <c r="O23" s="120" t="s">
        <v>8</v>
      </c>
      <c r="P23" s="120" t="s">
        <v>8</v>
      </c>
      <c r="Q23" s="120" t="s">
        <v>8</v>
      </c>
    </row>
    <row r="24" spans="1:21" ht="17.399999999999999" customHeight="1" x14ac:dyDescent="0.3">
      <c r="C24" s="93">
        <v>-3</v>
      </c>
      <c r="D24" s="93">
        <f t="shared" ref="D24:Q24" si="1">C24+1</f>
        <v>-2</v>
      </c>
      <c r="E24" s="93">
        <f t="shared" si="1"/>
        <v>-1</v>
      </c>
      <c r="F24" s="93">
        <f t="shared" si="1"/>
        <v>0</v>
      </c>
      <c r="G24" s="93">
        <f t="shared" si="1"/>
        <v>1</v>
      </c>
      <c r="H24" s="93">
        <f t="shared" si="1"/>
        <v>2</v>
      </c>
      <c r="I24" s="93">
        <f t="shared" si="1"/>
        <v>3</v>
      </c>
      <c r="J24" s="93">
        <f t="shared" si="1"/>
        <v>4</v>
      </c>
      <c r="K24" s="93">
        <f t="shared" si="1"/>
        <v>5</v>
      </c>
      <c r="L24" s="93">
        <f t="shared" si="1"/>
        <v>6</v>
      </c>
      <c r="M24" s="93">
        <f t="shared" si="1"/>
        <v>7</v>
      </c>
      <c r="N24" s="93">
        <f t="shared" si="1"/>
        <v>8</v>
      </c>
      <c r="O24" s="93">
        <f t="shared" si="1"/>
        <v>9</v>
      </c>
      <c r="P24" s="93">
        <f t="shared" si="1"/>
        <v>10</v>
      </c>
      <c r="Q24" s="93">
        <f t="shared" si="1"/>
        <v>11</v>
      </c>
      <c r="R24" s="1"/>
      <c r="S24" s="1"/>
      <c r="T24" s="1"/>
      <c r="U24" s="1"/>
    </row>
    <row r="25" spans="1:21" ht="14.4" customHeight="1" x14ac:dyDescent="0.3">
      <c r="A25" s="142">
        <v>19</v>
      </c>
      <c r="B25" s="143"/>
      <c r="C25" s="92">
        <f>$A25-C$24</f>
        <v>22</v>
      </c>
      <c r="D25" s="92">
        <f t="shared" ref="D25:Q25" si="2">$A25-D$24</f>
        <v>21</v>
      </c>
      <c r="E25" s="92">
        <f t="shared" si="2"/>
        <v>20</v>
      </c>
      <c r="F25" s="92">
        <f t="shared" si="2"/>
        <v>19</v>
      </c>
      <c r="G25" s="92">
        <f t="shared" si="2"/>
        <v>18</v>
      </c>
      <c r="H25" s="92">
        <f t="shared" si="2"/>
        <v>17</v>
      </c>
      <c r="I25" s="92">
        <f t="shared" si="2"/>
        <v>16</v>
      </c>
      <c r="J25" s="92">
        <f t="shared" si="2"/>
        <v>15</v>
      </c>
      <c r="K25" s="92">
        <f t="shared" si="2"/>
        <v>14</v>
      </c>
      <c r="L25" s="92">
        <f t="shared" si="2"/>
        <v>13</v>
      </c>
      <c r="M25" s="92">
        <f t="shared" si="2"/>
        <v>12</v>
      </c>
      <c r="N25" s="92">
        <f t="shared" si="2"/>
        <v>11</v>
      </c>
      <c r="O25" s="92">
        <f t="shared" si="2"/>
        <v>10</v>
      </c>
      <c r="P25" s="92">
        <f t="shared" si="2"/>
        <v>9</v>
      </c>
      <c r="Q25" s="92">
        <f t="shared" si="2"/>
        <v>8</v>
      </c>
    </row>
    <row r="26" spans="1:21" ht="14.4" customHeight="1" x14ac:dyDescent="0.3">
      <c r="A26" s="144">
        <v>18</v>
      </c>
      <c r="B26" s="145"/>
      <c r="C26" s="91">
        <f t="shared" ref="C26:Q33" si="3">$A26-C$24</f>
        <v>21</v>
      </c>
      <c r="D26" s="91">
        <f t="shared" si="3"/>
        <v>20</v>
      </c>
      <c r="E26" s="91">
        <f t="shared" si="3"/>
        <v>19</v>
      </c>
      <c r="F26" s="91">
        <f t="shared" si="3"/>
        <v>18</v>
      </c>
      <c r="G26" s="91">
        <f t="shared" si="3"/>
        <v>17</v>
      </c>
      <c r="H26" s="91">
        <f t="shared" si="3"/>
        <v>16</v>
      </c>
      <c r="I26" s="91">
        <f t="shared" si="3"/>
        <v>15</v>
      </c>
      <c r="J26" s="91">
        <f t="shared" si="3"/>
        <v>14</v>
      </c>
      <c r="K26" s="91">
        <f t="shared" si="3"/>
        <v>13</v>
      </c>
      <c r="L26" s="91">
        <f t="shared" si="3"/>
        <v>12</v>
      </c>
      <c r="M26" s="91">
        <f t="shared" si="3"/>
        <v>11</v>
      </c>
      <c r="N26" s="91">
        <f t="shared" si="3"/>
        <v>10</v>
      </c>
      <c r="O26" s="91">
        <f t="shared" si="3"/>
        <v>9</v>
      </c>
      <c r="P26" s="91">
        <f t="shared" si="3"/>
        <v>8</v>
      </c>
      <c r="Q26" s="91">
        <f t="shared" si="3"/>
        <v>7</v>
      </c>
    </row>
    <row r="27" spans="1:21" ht="14.4" customHeight="1" x14ac:dyDescent="0.3">
      <c r="A27" s="142">
        <v>17</v>
      </c>
      <c r="B27" s="143"/>
      <c r="C27" s="92">
        <f t="shared" si="3"/>
        <v>20</v>
      </c>
      <c r="D27" s="92">
        <f t="shared" si="3"/>
        <v>19</v>
      </c>
      <c r="E27" s="92">
        <f t="shared" si="3"/>
        <v>18</v>
      </c>
      <c r="F27" s="92">
        <f t="shared" si="3"/>
        <v>17</v>
      </c>
      <c r="G27" s="92">
        <f t="shared" si="3"/>
        <v>16</v>
      </c>
      <c r="H27" s="92">
        <f t="shared" si="3"/>
        <v>15</v>
      </c>
      <c r="I27" s="92">
        <f t="shared" si="3"/>
        <v>14</v>
      </c>
      <c r="J27" s="92">
        <f t="shared" si="3"/>
        <v>13</v>
      </c>
      <c r="K27" s="92">
        <f t="shared" si="3"/>
        <v>12</v>
      </c>
      <c r="L27" s="92">
        <f t="shared" si="3"/>
        <v>11</v>
      </c>
      <c r="M27" s="92">
        <f t="shared" si="3"/>
        <v>10</v>
      </c>
      <c r="N27" s="92">
        <f t="shared" si="3"/>
        <v>9</v>
      </c>
      <c r="O27" s="92">
        <f t="shared" si="3"/>
        <v>8</v>
      </c>
      <c r="P27" s="92">
        <f t="shared" si="3"/>
        <v>7</v>
      </c>
      <c r="Q27" s="92">
        <f t="shared" si="3"/>
        <v>6</v>
      </c>
    </row>
    <row r="28" spans="1:21" ht="14.4" customHeight="1" x14ac:dyDescent="0.3">
      <c r="A28" s="144">
        <v>16</v>
      </c>
      <c r="B28" s="145"/>
      <c r="C28" s="91">
        <f t="shared" si="3"/>
        <v>19</v>
      </c>
      <c r="D28" s="91">
        <f t="shared" si="3"/>
        <v>18</v>
      </c>
      <c r="E28" s="91">
        <f t="shared" si="3"/>
        <v>17</v>
      </c>
      <c r="F28" s="91">
        <f t="shared" si="3"/>
        <v>16</v>
      </c>
      <c r="G28" s="91">
        <f t="shared" si="3"/>
        <v>15</v>
      </c>
      <c r="H28" s="91">
        <f t="shared" si="3"/>
        <v>14</v>
      </c>
      <c r="I28" s="91">
        <f t="shared" si="3"/>
        <v>13</v>
      </c>
      <c r="J28" s="91">
        <f t="shared" si="3"/>
        <v>12</v>
      </c>
      <c r="K28" s="91">
        <f t="shared" si="3"/>
        <v>11</v>
      </c>
      <c r="L28" s="91">
        <f t="shared" si="3"/>
        <v>10</v>
      </c>
      <c r="M28" s="91">
        <f t="shared" si="3"/>
        <v>9</v>
      </c>
      <c r="N28" s="91">
        <f t="shared" si="3"/>
        <v>8</v>
      </c>
      <c r="O28" s="91">
        <f t="shared" si="3"/>
        <v>7</v>
      </c>
      <c r="P28" s="91">
        <f t="shared" si="3"/>
        <v>6</v>
      </c>
      <c r="Q28" s="91">
        <f t="shared" si="3"/>
        <v>5</v>
      </c>
    </row>
    <row r="29" spans="1:21" ht="14.4" customHeight="1" x14ac:dyDescent="0.3">
      <c r="A29" s="142">
        <v>15</v>
      </c>
      <c r="B29" s="143"/>
      <c r="C29" s="92">
        <f t="shared" si="3"/>
        <v>18</v>
      </c>
      <c r="D29" s="92">
        <f t="shared" si="3"/>
        <v>17</v>
      </c>
      <c r="E29" s="92">
        <f t="shared" si="3"/>
        <v>16</v>
      </c>
      <c r="F29" s="92">
        <f t="shared" si="3"/>
        <v>15</v>
      </c>
      <c r="G29" s="92">
        <f t="shared" si="3"/>
        <v>14</v>
      </c>
      <c r="H29" s="92">
        <f t="shared" si="3"/>
        <v>13</v>
      </c>
      <c r="I29" s="92">
        <f t="shared" si="3"/>
        <v>12</v>
      </c>
      <c r="J29" s="92">
        <f t="shared" si="3"/>
        <v>11</v>
      </c>
      <c r="K29" s="92">
        <f t="shared" si="3"/>
        <v>10</v>
      </c>
      <c r="L29" s="92">
        <f t="shared" si="3"/>
        <v>9</v>
      </c>
      <c r="M29" s="92">
        <f t="shared" si="3"/>
        <v>8</v>
      </c>
      <c r="N29" s="92">
        <f t="shared" si="3"/>
        <v>7</v>
      </c>
      <c r="O29" s="92">
        <f t="shared" si="3"/>
        <v>6</v>
      </c>
      <c r="P29" s="92">
        <f t="shared" si="3"/>
        <v>5</v>
      </c>
      <c r="Q29" s="92">
        <f t="shared" si="3"/>
        <v>4</v>
      </c>
    </row>
    <row r="30" spans="1:21" ht="14.4" customHeight="1" x14ac:dyDescent="0.3">
      <c r="A30" s="144">
        <v>14</v>
      </c>
      <c r="B30" s="145"/>
      <c r="C30" s="91">
        <f t="shared" si="3"/>
        <v>17</v>
      </c>
      <c r="D30" s="91">
        <f t="shared" si="3"/>
        <v>16</v>
      </c>
      <c r="E30" s="91">
        <f t="shared" si="3"/>
        <v>15</v>
      </c>
      <c r="F30" s="91">
        <f t="shared" si="3"/>
        <v>14</v>
      </c>
      <c r="G30" s="91">
        <f t="shared" si="3"/>
        <v>13</v>
      </c>
      <c r="H30" s="91">
        <f t="shared" si="3"/>
        <v>12</v>
      </c>
      <c r="I30" s="91">
        <f t="shared" si="3"/>
        <v>11</v>
      </c>
      <c r="J30" s="91">
        <f t="shared" si="3"/>
        <v>10</v>
      </c>
      <c r="K30" s="91">
        <f t="shared" si="3"/>
        <v>9</v>
      </c>
      <c r="L30" s="91">
        <f t="shared" si="3"/>
        <v>8</v>
      </c>
      <c r="M30" s="91">
        <f t="shared" si="3"/>
        <v>7</v>
      </c>
      <c r="N30" s="91">
        <f t="shared" si="3"/>
        <v>6</v>
      </c>
      <c r="O30" s="91">
        <f t="shared" si="3"/>
        <v>5</v>
      </c>
      <c r="P30" s="91">
        <f t="shared" si="3"/>
        <v>4</v>
      </c>
      <c r="Q30" s="91">
        <f t="shared" si="3"/>
        <v>3</v>
      </c>
    </row>
    <row r="31" spans="1:21" ht="14.4" customHeight="1" x14ac:dyDescent="0.3">
      <c r="A31" s="142">
        <v>13</v>
      </c>
      <c r="B31" s="143"/>
      <c r="C31" s="92">
        <f t="shared" si="3"/>
        <v>16</v>
      </c>
      <c r="D31" s="92">
        <f t="shared" si="3"/>
        <v>15</v>
      </c>
      <c r="E31" s="92">
        <f t="shared" si="3"/>
        <v>14</v>
      </c>
      <c r="F31" s="92">
        <f t="shared" si="3"/>
        <v>13</v>
      </c>
      <c r="G31" s="92">
        <f t="shared" si="3"/>
        <v>12</v>
      </c>
      <c r="H31" s="92">
        <f t="shared" si="3"/>
        <v>11</v>
      </c>
      <c r="I31" s="92">
        <f t="shared" si="3"/>
        <v>10</v>
      </c>
      <c r="J31" s="92">
        <f t="shared" si="3"/>
        <v>9</v>
      </c>
      <c r="K31" s="92">
        <f t="shared" si="3"/>
        <v>8</v>
      </c>
      <c r="L31" s="92">
        <f t="shared" si="3"/>
        <v>7</v>
      </c>
      <c r="M31" s="92">
        <f t="shared" si="3"/>
        <v>6</v>
      </c>
      <c r="N31" s="92">
        <f t="shared" si="3"/>
        <v>5</v>
      </c>
      <c r="O31" s="92">
        <f t="shared" si="3"/>
        <v>4</v>
      </c>
      <c r="P31" s="92">
        <f t="shared" si="3"/>
        <v>3</v>
      </c>
      <c r="Q31" s="92">
        <f t="shared" si="3"/>
        <v>2</v>
      </c>
    </row>
    <row r="32" spans="1:21" ht="14.4" customHeight="1" x14ac:dyDescent="0.3">
      <c r="A32" s="144">
        <v>12</v>
      </c>
      <c r="B32" s="145"/>
      <c r="C32" s="91">
        <f t="shared" si="3"/>
        <v>15</v>
      </c>
      <c r="D32" s="91">
        <f t="shared" si="3"/>
        <v>14</v>
      </c>
      <c r="E32" s="91">
        <f t="shared" si="3"/>
        <v>13</v>
      </c>
      <c r="F32" s="91">
        <f t="shared" si="3"/>
        <v>12</v>
      </c>
      <c r="G32" s="91">
        <f t="shared" si="3"/>
        <v>11</v>
      </c>
      <c r="H32" s="91">
        <f t="shared" si="3"/>
        <v>10</v>
      </c>
      <c r="I32" s="91">
        <f t="shared" si="3"/>
        <v>9</v>
      </c>
      <c r="J32" s="91">
        <f t="shared" si="3"/>
        <v>8</v>
      </c>
      <c r="K32" s="91">
        <f t="shared" si="3"/>
        <v>7</v>
      </c>
      <c r="L32" s="91">
        <f t="shared" si="3"/>
        <v>6</v>
      </c>
      <c r="M32" s="91">
        <f t="shared" si="3"/>
        <v>5</v>
      </c>
      <c r="N32" s="91">
        <f t="shared" si="3"/>
        <v>4</v>
      </c>
      <c r="O32" s="91">
        <f t="shared" si="3"/>
        <v>3</v>
      </c>
      <c r="P32" s="91">
        <f t="shared" si="3"/>
        <v>2</v>
      </c>
      <c r="Q32" s="91">
        <f t="shared" si="3"/>
        <v>1</v>
      </c>
    </row>
    <row r="33" spans="1:17" ht="14.4" customHeight="1" x14ac:dyDescent="0.3">
      <c r="A33" s="140">
        <v>11</v>
      </c>
      <c r="B33" s="141"/>
      <c r="C33" s="94">
        <f t="shared" si="3"/>
        <v>14</v>
      </c>
      <c r="D33" s="94">
        <f t="shared" si="3"/>
        <v>13</v>
      </c>
      <c r="E33" s="94">
        <f t="shared" si="3"/>
        <v>12</v>
      </c>
      <c r="F33" s="94">
        <f t="shared" si="3"/>
        <v>11</v>
      </c>
      <c r="G33" s="94">
        <f t="shared" si="3"/>
        <v>10</v>
      </c>
      <c r="H33" s="94">
        <f t="shared" si="3"/>
        <v>9</v>
      </c>
      <c r="I33" s="94">
        <f t="shared" si="3"/>
        <v>8</v>
      </c>
      <c r="J33" s="94">
        <f t="shared" si="3"/>
        <v>7</v>
      </c>
      <c r="K33" s="94">
        <f t="shared" si="3"/>
        <v>6</v>
      </c>
      <c r="L33" s="94">
        <f t="shared" si="3"/>
        <v>5</v>
      </c>
      <c r="M33" s="94">
        <f t="shared" si="3"/>
        <v>4</v>
      </c>
      <c r="N33" s="94">
        <f t="shared" si="3"/>
        <v>3</v>
      </c>
      <c r="O33" s="94">
        <f t="shared" si="3"/>
        <v>2</v>
      </c>
      <c r="P33" s="94">
        <f t="shared" si="3"/>
        <v>1</v>
      </c>
      <c r="Q33" s="94">
        <f t="shared" si="3"/>
        <v>0</v>
      </c>
    </row>
    <row r="34" spans="1:17" ht="14.4" customHeight="1" x14ac:dyDescent="0.3"/>
    <row r="35" spans="1:17" ht="12.6" customHeight="1" x14ac:dyDescent="0.3">
      <c r="A35" s="121" t="s">
        <v>48</v>
      </c>
      <c r="B35" s="122" t="s">
        <v>50</v>
      </c>
      <c r="C35" s="121"/>
      <c r="D35" s="121"/>
      <c r="E35" s="121"/>
      <c r="F35" s="121"/>
      <c r="G35" s="121"/>
      <c r="H35" s="121"/>
      <c r="I35" s="121"/>
      <c r="J35" s="121"/>
      <c r="K35" s="123" t="s">
        <v>234</v>
      </c>
      <c r="L35" s="124"/>
      <c r="M35" s="125" t="s">
        <v>8</v>
      </c>
      <c r="N35" s="125" t="s">
        <v>48</v>
      </c>
      <c r="O35" s="125" t="s">
        <v>235</v>
      </c>
      <c r="P35" s="125" t="s">
        <v>236</v>
      </c>
      <c r="Q35" s="125" t="s">
        <v>237</v>
      </c>
    </row>
    <row r="36" spans="1:17" ht="12.6" customHeight="1" x14ac:dyDescent="0.3">
      <c r="A36" s="31">
        <v>0</v>
      </c>
      <c r="B36" s="77" t="s">
        <v>54</v>
      </c>
      <c r="K36" s="117" t="s">
        <v>226</v>
      </c>
      <c r="L36" s="2"/>
      <c r="M36" s="95">
        <v>9</v>
      </c>
      <c r="N36" s="95">
        <v>0</v>
      </c>
      <c r="O36" s="95" t="s">
        <v>238</v>
      </c>
      <c r="P36" s="95" t="s">
        <v>239</v>
      </c>
      <c r="Q36" s="95" t="s">
        <v>240</v>
      </c>
    </row>
    <row r="37" spans="1:17" ht="12.6" customHeight="1" x14ac:dyDescent="0.3">
      <c r="A37" s="97">
        <v>1</v>
      </c>
      <c r="B37" s="98" t="s">
        <v>52</v>
      </c>
      <c r="C37" s="99"/>
      <c r="D37" s="99"/>
      <c r="E37" s="99"/>
      <c r="F37" s="99"/>
      <c r="G37" s="99"/>
      <c r="H37" s="99"/>
      <c r="I37" s="99"/>
      <c r="J37" s="99"/>
      <c r="K37" s="118" t="s">
        <v>227</v>
      </c>
      <c r="L37" s="96"/>
      <c r="M37" s="102">
        <v>7</v>
      </c>
      <c r="N37" s="102">
        <v>2</v>
      </c>
      <c r="O37" s="102" t="s">
        <v>238</v>
      </c>
      <c r="P37" s="102" t="s">
        <v>239</v>
      </c>
      <c r="Q37" s="102" t="s">
        <v>240</v>
      </c>
    </row>
    <row r="38" spans="1:17" ht="12.6" customHeight="1" x14ac:dyDescent="0.3">
      <c r="A38" s="31">
        <v>2</v>
      </c>
      <c r="B38" s="77" t="s">
        <v>53</v>
      </c>
      <c r="K38" s="117" t="s">
        <v>228</v>
      </c>
      <c r="L38" s="2"/>
      <c r="M38" s="95">
        <v>6</v>
      </c>
      <c r="N38" s="95">
        <v>2</v>
      </c>
      <c r="O38" s="95" t="s">
        <v>238</v>
      </c>
      <c r="P38" s="95" t="s">
        <v>239</v>
      </c>
      <c r="Q38" s="95" t="s">
        <v>240</v>
      </c>
    </row>
    <row r="39" spans="1:17" ht="12.6" customHeight="1" x14ac:dyDescent="0.3">
      <c r="A39" s="97">
        <v>3</v>
      </c>
      <c r="B39" s="98" t="s">
        <v>51</v>
      </c>
      <c r="C39" s="99"/>
      <c r="D39" s="99"/>
      <c r="E39" s="99"/>
      <c r="F39" s="99"/>
      <c r="G39" s="99"/>
      <c r="H39" s="99"/>
      <c r="I39" s="99"/>
      <c r="J39" s="99"/>
      <c r="K39" s="118" t="s">
        <v>229</v>
      </c>
      <c r="L39" s="96"/>
      <c r="M39" s="102">
        <v>5</v>
      </c>
      <c r="N39" s="102">
        <v>2</v>
      </c>
      <c r="O39" s="102" t="s">
        <v>240</v>
      </c>
      <c r="P39" s="102" t="s">
        <v>239</v>
      </c>
      <c r="Q39" s="102" t="s">
        <v>239</v>
      </c>
    </row>
    <row r="40" spans="1:17" ht="12.6" customHeight="1" x14ac:dyDescent="0.3">
      <c r="A40" s="9" t="s">
        <v>49</v>
      </c>
      <c r="B40" s="100" t="s">
        <v>70</v>
      </c>
      <c r="C40" s="84"/>
      <c r="D40" s="84"/>
      <c r="E40" s="84"/>
      <c r="F40" s="84"/>
      <c r="G40" s="84"/>
      <c r="H40" s="84"/>
      <c r="I40" s="84"/>
      <c r="J40" s="84"/>
      <c r="K40" s="117" t="s">
        <v>231</v>
      </c>
      <c r="L40" s="2"/>
      <c r="M40" s="95">
        <v>6</v>
      </c>
      <c r="N40" s="95">
        <v>3</v>
      </c>
      <c r="O40" s="95" t="s">
        <v>239</v>
      </c>
      <c r="P40" s="95" t="s">
        <v>239</v>
      </c>
      <c r="Q40" s="95" t="s">
        <v>49</v>
      </c>
    </row>
    <row r="41" spans="1:17" ht="12.6" customHeight="1" x14ac:dyDescent="0.3">
      <c r="A41" s="31"/>
      <c r="B41" s="77"/>
      <c r="K41" s="118" t="s">
        <v>232</v>
      </c>
      <c r="L41" s="96"/>
      <c r="M41" s="102">
        <v>4</v>
      </c>
      <c r="N41" s="102">
        <v>3</v>
      </c>
      <c r="O41" s="102" t="s">
        <v>239</v>
      </c>
      <c r="P41" s="102" t="s">
        <v>239</v>
      </c>
      <c r="Q41" s="102" t="s">
        <v>49</v>
      </c>
    </row>
    <row r="42" spans="1:17" ht="12.6" customHeight="1" x14ac:dyDescent="0.3">
      <c r="A42" s="126" t="s">
        <v>241</v>
      </c>
      <c r="B42" s="127"/>
      <c r="C42" s="127"/>
      <c r="D42" s="127"/>
      <c r="E42" s="127"/>
      <c r="F42" s="127" t="s">
        <v>106</v>
      </c>
      <c r="G42" s="127"/>
      <c r="H42" s="127"/>
      <c r="I42" s="127"/>
      <c r="J42" s="3"/>
      <c r="K42" s="117" t="s">
        <v>233</v>
      </c>
      <c r="L42" s="2"/>
      <c r="M42" s="95">
        <v>3</v>
      </c>
      <c r="N42" s="95">
        <v>3</v>
      </c>
      <c r="O42" s="95" t="s">
        <v>239</v>
      </c>
      <c r="P42" s="95" t="s">
        <v>239</v>
      </c>
      <c r="Q42" s="95" t="s">
        <v>49</v>
      </c>
    </row>
    <row r="43" spans="1:17" ht="12.6" customHeight="1" x14ac:dyDescent="0.3">
      <c r="A43" s="126" t="s">
        <v>242</v>
      </c>
      <c r="B43" s="127"/>
      <c r="C43" s="127"/>
      <c r="D43" s="127"/>
      <c r="E43" s="127"/>
      <c r="F43" s="128" t="s">
        <v>243</v>
      </c>
      <c r="G43" s="127"/>
      <c r="H43" s="127"/>
      <c r="I43" s="127"/>
      <c r="J43" s="3"/>
      <c r="K43" s="119" t="s">
        <v>230</v>
      </c>
      <c r="L43" s="101"/>
      <c r="M43" s="103">
        <v>-1</v>
      </c>
      <c r="N43" s="103">
        <v>2</v>
      </c>
      <c r="O43" s="103"/>
      <c r="P43" s="103"/>
      <c r="Q43" s="103"/>
    </row>
    <row r="44" spans="1:17" ht="12.6" customHeight="1" x14ac:dyDescent="0.3">
      <c r="A44" s="126" t="s">
        <v>244</v>
      </c>
      <c r="B44" s="127"/>
      <c r="C44" s="127"/>
      <c r="D44" s="127"/>
      <c r="E44" s="127"/>
      <c r="F44" s="127"/>
      <c r="G44" s="127"/>
      <c r="H44" s="127"/>
      <c r="I44" s="127"/>
      <c r="J44" s="3"/>
    </row>
    <row r="45" spans="1:17" ht="12.6" customHeight="1" x14ac:dyDescent="0.3">
      <c r="A45" s="126" t="s">
        <v>245</v>
      </c>
      <c r="B45" s="127"/>
      <c r="C45" s="127"/>
      <c r="D45" s="127"/>
      <c r="E45" s="127"/>
      <c r="F45" s="127"/>
      <c r="G45" s="127"/>
      <c r="H45" s="127"/>
      <c r="I45" s="127"/>
      <c r="J45" s="3"/>
      <c r="L45" s="3"/>
      <c r="M45" s="3"/>
    </row>
    <row r="46" spans="1:17" ht="12.6" customHeight="1" x14ac:dyDescent="0.3">
      <c r="A46" s="85" t="s">
        <v>246</v>
      </c>
      <c r="B46" s="127"/>
      <c r="C46" s="127"/>
      <c r="D46" s="127"/>
      <c r="E46" s="127"/>
      <c r="F46" s="127"/>
      <c r="G46" s="127"/>
      <c r="H46" s="127"/>
      <c r="I46" s="127"/>
      <c r="J46" s="3"/>
      <c r="Q46" s="104" t="s">
        <v>224</v>
      </c>
    </row>
    <row r="47" spans="1:17" ht="12.6" customHeight="1" x14ac:dyDescent="0.3">
      <c r="A47" s="126" t="s">
        <v>250</v>
      </c>
    </row>
    <row r="48" spans="1:17" ht="12.6" customHeight="1" x14ac:dyDescent="0.3"/>
    <row r="49" ht="12.6" customHeight="1" x14ac:dyDescent="0.3"/>
    <row r="50" ht="17.399999999999999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</sheetData>
  <mergeCells count="11">
    <mergeCell ref="J1:Q1"/>
    <mergeCell ref="A23:B23"/>
    <mergeCell ref="A25:B25"/>
    <mergeCell ref="A26:B26"/>
    <mergeCell ref="A33:B33"/>
    <mergeCell ref="A27:B27"/>
    <mergeCell ref="A28:B28"/>
    <mergeCell ref="A29:B29"/>
    <mergeCell ref="A30:B30"/>
    <mergeCell ref="A31:B31"/>
    <mergeCell ref="A32:B32"/>
  </mergeCells>
  <phoneticPr fontId="15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2025-12-17T09:12:41Z</cp:lastPrinted>
  <dcterms:created xsi:type="dcterms:W3CDTF">2025-12-03T19:05:58Z</dcterms:created>
  <dcterms:modified xsi:type="dcterms:W3CDTF">2025-12-17T09:28:57Z</dcterms:modified>
</cp:coreProperties>
</file>