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blic\_Clienti\Maruga\Giochi\Vampiri\Vault\Vampiri\Strumenti\"/>
    </mc:Choice>
  </mc:AlternateContent>
  <xr:revisionPtr revIDLastSave="0" documentId="13_ncr:1_{4053C3A5-6F83-4F6E-83D1-CC42731F3B19}" xr6:coauthVersionLast="47" xr6:coauthVersionMax="47" xr10:uidLastSave="{00000000-0000-0000-0000-000000000000}"/>
  <bookViews>
    <workbookView xWindow="23868" yWindow="660" windowWidth="28440" windowHeight="15240" firstSheet="4" activeTab="12" xr2:uid="{FC328CB3-F1C2-4520-956D-C4D288DB9EEB}"/>
  </bookViews>
  <sheets>
    <sheet name="Halfling" sheetId="8" r:id="rId1"/>
    <sheet name="Retro A" sheetId="19" r:id="rId2"/>
    <sheet name="Elf" sheetId="7" r:id="rId3"/>
    <sheet name="Retro E" sheetId="16" r:id="rId4"/>
    <sheet name="Dwarf" sheetId="6" r:id="rId5"/>
    <sheet name="Retro N" sheetId="17" r:id="rId6"/>
    <sheet name="Thief" sheetId="5" r:id="rId7"/>
    <sheet name="Retro L" sheetId="18" r:id="rId8"/>
    <sheet name="Mage" sheetId="4" r:id="rId9"/>
    <sheet name="Retro M" sheetId="15" r:id="rId10"/>
    <sheet name="Fighter" sheetId="3" r:id="rId11"/>
    <sheet name="Retro F" sheetId="14" r:id="rId12"/>
    <sheet name="Cleric" sheetId="1" r:id="rId13"/>
    <sheet name="Retro C" sheetId="13" r:id="rId14"/>
    <sheet name="Retro Master" sheetId="2" r:id="rId15"/>
    <sheet name="Arcade" sheetId="9" r:id="rId16"/>
    <sheet name="Empori" sheetId="1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7" l="1"/>
  <c r="E44" i="7" s="1"/>
  <c r="F44" i="7" s="1"/>
  <c r="G44" i="7" s="1"/>
  <c r="H44" i="7" s="1"/>
  <c r="I44" i="7" s="1"/>
  <c r="J44" i="7" s="1"/>
  <c r="K44" i="7" s="1"/>
  <c r="L44" i="7" s="1"/>
  <c r="D43" i="7"/>
  <c r="E43" i="7" s="1"/>
  <c r="F43" i="7" s="1"/>
  <c r="G43" i="7" s="1"/>
  <c r="H43" i="7" s="1"/>
  <c r="I43" i="7" s="1"/>
  <c r="J43" i="7" s="1"/>
  <c r="K43" i="7" s="1"/>
  <c r="L43" i="7" s="1"/>
  <c r="D42" i="7"/>
  <c r="E42" i="7" s="1"/>
  <c r="F42" i="7" s="1"/>
  <c r="G42" i="7" s="1"/>
  <c r="H42" i="7" s="1"/>
  <c r="I42" i="7" s="1"/>
  <c r="J42" i="7" s="1"/>
  <c r="K42" i="7" s="1"/>
  <c r="L42" i="7" s="1"/>
  <c r="E41" i="7"/>
  <c r="F41" i="7" s="1"/>
  <c r="G41" i="7" s="1"/>
  <c r="H41" i="7" s="1"/>
  <c r="I41" i="7" s="1"/>
  <c r="J41" i="7" s="1"/>
  <c r="K41" i="7" s="1"/>
  <c r="L41" i="7" s="1"/>
  <c r="D44" i="8"/>
  <c r="E44" i="8" s="1"/>
  <c r="F44" i="8" s="1"/>
  <c r="G44" i="8" s="1"/>
  <c r="H44" i="8" s="1"/>
  <c r="I44" i="8" s="1"/>
  <c r="J44" i="8" s="1"/>
  <c r="K44" i="8" s="1"/>
  <c r="L44" i="8" s="1"/>
  <c r="D43" i="8"/>
  <c r="E43" i="8" s="1"/>
  <c r="F43" i="8" s="1"/>
  <c r="G43" i="8" s="1"/>
  <c r="H43" i="8" s="1"/>
  <c r="I43" i="8" s="1"/>
  <c r="J43" i="8" s="1"/>
  <c r="K43" i="8" s="1"/>
  <c r="L43" i="8" s="1"/>
  <c r="O1" i="13"/>
  <c r="G1" i="13"/>
  <c r="C1" i="13"/>
  <c r="C1" i="14"/>
  <c r="G1" i="14"/>
  <c r="O1" i="14"/>
  <c r="O1" i="15"/>
  <c r="G1" i="15"/>
  <c r="C1" i="15"/>
  <c r="O1" i="18"/>
  <c r="G1" i="18"/>
  <c r="C1" i="18"/>
  <c r="O1" i="17"/>
  <c r="G1" i="17"/>
  <c r="C1" i="17"/>
  <c r="O1" i="16"/>
  <c r="G1" i="16"/>
  <c r="C1" i="16"/>
  <c r="O1" i="19"/>
  <c r="G1" i="19"/>
  <c r="C1" i="19"/>
  <c r="D34" i="19"/>
  <c r="C34" i="19"/>
  <c r="D33" i="19"/>
  <c r="C33" i="19"/>
  <c r="D32" i="19"/>
  <c r="C32" i="19"/>
  <c r="D31" i="19"/>
  <c r="C31" i="19"/>
  <c r="D30" i="19"/>
  <c r="C30" i="19"/>
  <c r="D29" i="19"/>
  <c r="C29" i="19"/>
  <c r="C28" i="19"/>
  <c r="D27" i="19"/>
  <c r="C27" i="19"/>
  <c r="D26" i="19"/>
  <c r="C26" i="19"/>
  <c r="D25" i="19"/>
  <c r="E25" i="19" s="1"/>
  <c r="A6" i="19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5" i="19"/>
  <c r="A4" i="19"/>
  <c r="E34" i="18"/>
  <c r="D34" i="18"/>
  <c r="C34" i="18"/>
  <c r="E33" i="18"/>
  <c r="D33" i="18"/>
  <c r="C33" i="18"/>
  <c r="E32" i="18"/>
  <c r="D32" i="18"/>
  <c r="C32" i="18"/>
  <c r="E31" i="18"/>
  <c r="D31" i="18"/>
  <c r="C31" i="18"/>
  <c r="E30" i="18"/>
  <c r="D30" i="18"/>
  <c r="C30" i="18"/>
  <c r="D29" i="18"/>
  <c r="C29" i="18"/>
  <c r="C28" i="18"/>
  <c r="E27" i="18"/>
  <c r="D27" i="18"/>
  <c r="C27" i="18"/>
  <c r="D26" i="18"/>
  <c r="C26" i="18"/>
  <c r="E25" i="18"/>
  <c r="F25" i="18" s="1"/>
  <c r="D25" i="18"/>
  <c r="D28" i="18" s="1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5" i="18"/>
  <c r="A4" i="18"/>
  <c r="C34" i="17"/>
  <c r="C33" i="17"/>
  <c r="C32" i="17"/>
  <c r="C31" i="17"/>
  <c r="C30" i="17"/>
  <c r="C29" i="17"/>
  <c r="D28" i="17"/>
  <c r="C28" i="17"/>
  <c r="D27" i="17"/>
  <c r="C27" i="17"/>
  <c r="D26" i="17"/>
  <c r="C26" i="17"/>
  <c r="D25" i="17"/>
  <c r="D29" i="17" s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4" i="17"/>
  <c r="E34" i="16"/>
  <c r="D34" i="16"/>
  <c r="C34" i="16"/>
  <c r="E33" i="16"/>
  <c r="D33" i="16"/>
  <c r="C33" i="16"/>
  <c r="E32" i="16"/>
  <c r="D32" i="16"/>
  <c r="C32" i="16"/>
  <c r="E31" i="16"/>
  <c r="D31" i="16"/>
  <c r="C31" i="16"/>
  <c r="E30" i="16"/>
  <c r="D30" i="16"/>
  <c r="C30" i="16"/>
  <c r="D29" i="16"/>
  <c r="C29" i="16"/>
  <c r="C28" i="16"/>
  <c r="E27" i="16"/>
  <c r="D27" i="16"/>
  <c r="C27" i="16"/>
  <c r="D26" i="16"/>
  <c r="C26" i="16"/>
  <c r="E25" i="16"/>
  <c r="F25" i="16" s="1"/>
  <c r="D25" i="16"/>
  <c r="D28" i="16" s="1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5" i="16"/>
  <c r="A4" i="16"/>
  <c r="D34" i="15"/>
  <c r="C34" i="15"/>
  <c r="D33" i="15"/>
  <c r="C33" i="15"/>
  <c r="D32" i="15"/>
  <c r="C32" i="15"/>
  <c r="D31" i="15"/>
  <c r="C31" i="15"/>
  <c r="D30" i="15"/>
  <c r="C30" i="15"/>
  <c r="D29" i="15"/>
  <c r="C29" i="15"/>
  <c r="D28" i="15"/>
  <c r="C28" i="15"/>
  <c r="D27" i="15"/>
  <c r="C27" i="15"/>
  <c r="C26" i="15"/>
  <c r="D25" i="15"/>
  <c r="E25" i="15" s="1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D34" i="14"/>
  <c r="C34" i="14"/>
  <c r="D33" i="14"/>
  <c r="C33" i="14"/>
  <c r="D32" i="14"/>
  <c r="C32" i="14"/>
  <c r="D31" i="14"/>
  <c r="C31" i="14"/>
  <c r="D30" i="14"/>
  <c r="C30" i="14"/>
  <c r="D29" i="14"/>
  <c r="C29" i="14"/>
  <c r="D28" i="14"/>
  <c r="C28" i="14"/>
  <c r="D27" i="14"/>
  <c r="C27" i="14"/>
  <c r="C26" i="14"/>
  <c r="D25" i="14"/>
  <c r="E25" i="14" s="1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E34" i="13"/>
  <c r="D34" i="13"/>
  <c r="C34" i="13"/>
  <c r="E33" i="13"/>
  <c r="D33" i="13"/>
  <c r="C33" i="13"/>
  <c r="E32" i="13"/>
  <c r="D32" i="13"/>
  <c r="C32" i="13"/>
  <c r="E31" i="13"/>
  <c r="D31" i="13"/>
  <c r="C31" i="13"/>
  <c r="E30" i="13"/>
  <c r="D30" i="13"/>
  <c r="C30" i="13"/>
  <c r="D29" i="13"/>
  <c r="C29" i="13"/>
  <c r="D28" i="13"/>
  <c r="C28" i="13"/>
  <c r="C27" i="13"/>
  <c r="C26" i="13"/>
  <c r="E25" i="13"/>
  <c r="F25" i="13" s="1"/>
  <c r="D25" i="13"/>
  <c r="D26" i="13" s="1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C27" i="2"/>
  <c r="C28" i="2"/>
  <c r="C29" i="2"/>
  <c r="C30" i="2"/>
  <c r="C31" i="2"/>
  <c r="C32" i="2"/>
  <c r="C33" i="2"/>
  <c r="C34" i="2"/>
  <c r="C26" i="2"/>
  <c r="D25" i="2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Q32" i="2" s="1"/>
  <c r="D42" i="8"/>
  <c r="E42" i="8" s="1"/>
  <c r="F42" i="8" s="1"/>
  <c r="G42" i="8" s="1"/>
  <c r="H42" i="8" s="1"/>
  <c r="I42" i="8" s="1"/>
  <c r="J42" i="8" s="1"/>
  <c r="K42" i="8" s="1"/>
  <c r="L42" i="8" s="1"/>
  <c r="E41" i="8"/>
  <c r="F41" i="8" s="1"/>
  <c r="G41" i="8" s="1"/>
  <c r="H41" i="8" s="1"/>
  <c r="I41" i="8" s="1"/>
  <c r="J41" i="8" s="1"/>
  <c r="K41" i="8" s="1"/>
  <c r="L41" i="8" s="1"/>
  <c r="H18" i="8"/>
  <c r="J18" i="8" s="1"/>
  <c r="I18" i="8" s="1"/>
  <c r="H17" i="8"/>
  <c r="J17" i="8" s="1"/>
  <c r="I17" i="8" s="1"/>
  <c r="H16" i="8"/>
  <c r="J16" i="8" s="1"/>
  <c r="I16" i="8" s="1"/>
  <c r="H15" i="8"/>
  <c r="J15" i="8" s="1"/>
  <c r="I15" i="8" s="1"/>
  <c r="J14" i="8"/>
  <c r="I14" i="8" s="1"/>
  <c r="H18" i="7"/>
  <c r="J18" i="7" s="1"/>
  <c r="I18" i="7" s="1"/>
  <c r="H17" i="7"/>
  <c r="J17" i="7" s="1"/>
  <c r="I17" i="7" s="1"/>
  <c r="H16" i="7"/>
  <c r="J16" i="7" s="1"/>
  <c r="I16" i="7" s="1"/>
  <c r="H15" i="7"/>
  <c r="J15" i="7" s="1"/>
  <c r="I15" i="7" s="1"/>
  <c r="J14" i="7"/>
  <c r="I14" i="7" s="1"/>
  <c r="D44" i="6"/>
  <c r="E44" i="6" s="1"/>
  <c r="F44" i="6" s="1"/>
  <c r="G44" i="6" s="1"/>
  <c r="H44" i="6" s="1"/>
  <c r="I44" i="6" s="1"/>
  <c r="J44" i="6" s="1"/>
  <c r="K44" i="6" s="1"/>
  <c r="L44" i="6" s="1"/>
  <c r="D43" i="6"/>
  <c r="E43" i="6" s="1"/>
  <c r="F43" i="6" s="1"/>
  <c r="G43" i="6" s="1"/>
  <c r="H43" i="6" s="1"/>
  <c r="I43" i="6" s="1"/>
  <c r="J43" i="6" s="1"/>
  <c r="K43" i="6" s="1"/>
  <c r="L43" i="6" s="1"/>
  <c r="D42" i="6"/>
  <c r="E42" i="6" s="1"/>
  <c r="F42" i="6" s="1"/>
  <c r="G42" i="6" s="1"/>
  <c r="H42" i="6" s="1"/>
  <c r="I42" i="6" s="1"/>
  <c r="J42" i="6" s="1"/>
  <c r="K42" i="6" s="1"/>
  <c r="L42" i="6" s="1"/>
  <c r="E41" i="6"/>
  <c r="F41" i="6" s="1"/>
  <c r="G41" i="6" s="1"/>
  <c r="H41" i="6" s="1"/>
  <c r="I41" i="6" s="1"/>
  <c r="J41" i="6" s="1"/>
  <c r="K41" i="6" s="1"/>
  <c r="L41" i="6" s="1"/>
  <c r="J18" i="6"/>
  <c r="K18" i="6" s="1"/>
  <c r="I18" i="6"/>
  <c r="J17" i="6"/>
  <c r="I17" i="6" s="1"/>
  <c r="J16" i="6"/>
  <c r="K16" i="6" s="1"/>
  <c r="I16" i="6"/>
  <c r="J15" i="6"/>
  <c r="I15" i="6" s="1"/>
  <c r="J14" i="6"/>
  <c r="I14" i="6" s="1"/>
  <c r="H18" i="5"/>
  <c r="J18" i="5" s="1"/>
  <c r="I18" i="5" s="1"/>
  <c r="H17" i="5"/>
  <c r="J17" i="5" s="1"/>
  <c r="I17" i="5" s="1"/>
  <c r="H16" i="5"/>
  <c r="J16" i="5" s="1"/>
  <c r="I16" i="5" s="1"/>
  <c r="H15" i="5"/>
  <c r="J15" i="5" s="1"/>
  <c r="I15" i="5" s="1"/>
  <c r="D44" i="5"/>
  <c r="E44" i="5" s="1"/>
  <c r="F44" i="5" s="1"/>
  <c r="G44" i="5" s="1"/>
  <c r="H44" i="5" s="1"/>
  <c r="I44" i="5" s="1"/>
  <c r="J44" i="5" s="1"/>
  <c r="K44" i="5" s="1"/>
  <c r="L44" i="5" s="1"/>
  <c r="D43" i="5"/>
  <c r="E43" i="5" s="1"/>
  <c r="F43" i="5" s="1"/>
  <c r="G43" i="5" s="1"/>
  <c r="H43" i="5" s="1"/>
  <c r="I43" i="5" s="1"/>
  <c r="J43" i="5" s="1"/>
  <c r="K43" i="5" s="1"/>
  <c r="L43" i="5" s="1"/>
  <c r="D42" i="5"/>
  <c r="E42" i="5" s="1"/>
  <c r="F42" i="5" s="1"/>
  <c r="G42" i="5" s="1"/>
  <c r="H42" i="5" s="1"/>
  <c r="I42" i="5" s="1"/>
  <c r="J42" i="5" s="1"/>
  <c r="K42" i="5" s="1"/>
  <c r="L42" i="5" s="1"/>
  <c r="E41" i="5"/>
  <c r="F41" i="5" s="1"/>
  <c r="G41" i="5" s="1"/>
  <c r="H41" i="5" s="1"/>
  <c r="I41" i="5" s="1"/>
  <c r="J41" i="5" s="1"/>
  <c r="K41" i="5" s="1"/>
  <c r="L41" i="5" s="1"/>
  <c r="J14" i="5"/>
  <c r="I14" i="5" s="1"/>
  <c r="H18" i="4"/>
  <c r="J18" i="4" s="1"/>
  <c r="I18" i="4" s="1"/>
  <c r="H17" i="4"/>
  <c r="J17" i="4" s="1"/>
  <c r="I17" i="4" s="1"/>
  <c r="H16" i="4"/>
  <c r="J16" i="4" s="1"/>
  <c r="I16" i="4" s="1"/>
  <c r="H15" i="4"/>
  <c r="J15" i="4" s="1"/>
  <c r="I15" i="4" s="1"/>
  <c r="D44" i="4"/>
  <c r="E44" i="4" s="1"/>
  <c r="F44" i="4" s="1"/>
  <c r="G44" i="4" s="1"/>
  <c r="H44" i="4" s="1"/>
  <c r="I44" i="4" s="1"/>
  <c r="J44" i="4" s="1"/>
  <c r="K44" i="4" s="1"/>
  <c r="L44" i="4" s="1"/>
  <c r="D43" i="4"/>
  <c r="E43" i="4" s="1"/>
  <c r="F43" i="4" s="1"/>
  <c r="G43" i="4" s="1"/>
  <c r="H43" i="4" s="1"/>
  <c r="I43" i="4" s="1"/>
  <c r="J43" i="4" s="1"/>
  <c r="K43" i="4" s="1"/>
  <c r="L43" i="4" s="1"/>
  <c r="D42" i="4"/>
  <c r="E42" i="4" s="1"/>
  <c r="F42" i="4" s="1"/>
  <c r="G42" i="4" s="1"/>
  <c r="H42" i="4" s="1"/>
  <c r="I42" i="4" s="1"/>
  <c r="J42" i="4" s="1"/>
  <c r="K42" i="4" s="1"/>
  <c r="L42" i="4" s="1"/>
  <c r="E41" i="4"/>
  <c r="F41" i="4" s="1"/>
  <c r="G41" i="4" s="1"/>
  <c r="H41" i="4" s="1"/>
  <c r="I41" i="4" s="1"/>
  <c r="J41" i="4" s="1"/>
  <c r="K41" i="4" s="1"/>
  <c r="L41" i="4" s="1"/>
  <c r="J14" i="4"/>
  <c r="I14" i="4" s="1"/>
  <c r="D44" i="3"/>
  <c r="E44" i="3" s="1"/>
  <c r="F44" i="3" s="1"/>
  <c r="G44" i="3" s="1"/>
  <c r="H44" i="3" s="1"/>
  <c r="I44" i="3" s="1"/>
  <c r="J44" i="3" s="1"/>
  <c r="K44" i="3" s="1"/>
  <c r="L44" i="3" s="1"/>
  <c r="D43" i="3"/>
  <c r="E43" i="3" s="1"/>
  <c r="F43" i="3" s="1"/>
  <c r="G43" i="3" s="1"/>
  <c r="H43" i="3" s="1"/>
  <c r="I43" i="3" s="1"/>
  <c r="J43" i="3" s="1"/>
  <c r="K43" i="3" s="1"/>
  <c r="L43" i="3" s="1"/>
  <c r="D42" i="3"/>
  <c r="E42" i="3" s="1"/>
  <c r="F42" i="3" s="1"/>
  <c r="G42" i="3" s="1"/>
  <c r="H42" i="3" s="1"/>
  <c r="I42" i="3" s="1"/>
  <c r="J42" i="3" s="1"/>
  <c r="K42" i="3" s="1"/>
  <c r="L42" i="3" s="1"/>
  <c r="E41" i="3"/>
  <c r="F41" i="3" s="1"/>
  <c r="G41" i="3" s="1"/>
  <c r="H41" i="3" s="1"/>
  <c r="I41" i="3" s="1"/>
  <c r="J41" i="3" s="1"/>
  <c r="K41" i="3" s="1"/>
  <c r="L41" i="3" s="1"/>
  <c r="J18" i="3"/>
  <c r="I18" i="3" s="1"/>
  <c r="J17" i="3"/>
  <c r="I17" i="3" s="1"/>
  <c r="J16" i="3"/>
  <c r="I16" i="3" s="1"/>
  <c r="J15" i="3"/>
  <c r="I15" i="3" s="1"/>
  <c r="J14" i="3"/>
  <c r="I14" i="3" s="1"/>
  <c r="J15" i="1"/>
  <c r="I15" i="1" s="1"/>
  <c r="J16" i="1"/>
  <c r="I16" i="1" s="1"/>
  <c r="J17" i="1"/>
  <c r="I17" i="1" s="1"/>
  <c r="J18" i="1"/>
  <c r="I18" i="1" s="1"/>
  <c r="J14" i="1"/>
  <c r="I14" i="1" s="1"/>
  <c r="D43" i="1"/>
  <c r="E43" i="1" s="1"/>
  <c r="F43" i="1" s="1"/>
  <c r="G43" i="1" s="1"/>
  <c r="H43" i="1" s="1"/>
  <c r="I43" i="1" s="1"/>
  <c r="J43" i="1" s="1"/>
  <c r="K43" i="1" s="1"/>
  <c r="L43" i="1" s="1"/>
  <c r="D44" i="1"/>
  <c r="E44" i="1" s="1"/>
  <c r="F44" i="1" s="1"/>
  <c r="G44" i="1" s="1"/>
  <c r="H44" i="1" s="1"/>
  <c r="I44" i="1" s="1"/>
  <c r="J44" i="1" s="1"/>
  <c r="K44" i="1" s="1"/>
  <c r="L44" i="1" s="1"/>
  <c r="D42" i="1"/>
  <c r="E42" i="1" s="1"/>
  <c r="F42" i="1" s="1"/>
  <c r="G42" i="1" s="1"/>
  <c r="H42" i="1" s="1"/>
  <c r="I42" i="1" s="1"/>
  <c r="J42" i="1" s="1"/>
  <c r="K42" i="1" s="1"/>
  <c r="L42" i="1" s="1"/>
  <c r="E41" i="1"/>
  <c r="F41" i="1" s="1"/>
  <c r="G41" i="1" s="1"/>
  <c r="H41" i="1" s="1"/>
  <c r="I41" i="1" s="1"/>
  <c r="J41" i="1" s="1"/>
  <c r="K41" i="1" s="1"/>
  <c r="L41" i="1" s="1"/>
  <c r="K16" i="3" l="1"/>
  <c r="K17" i="3"/>
  <c r="K18" i="3"/>
  <c r="K16" i="4"/>
  <c r="K17" i="4"/>
  <c r="K18" i="4"/>
  <c r="K17" i="6"/>
  <c r="K16" i="7"/>
  <c r="K17" i="7"/>
  <c r="K18" i="7"/>
  <c r="K16" i="8"/>
  <c r="K17" i="8"/>
  <c r="K18" i="8"/>
  <c r="K18" i="5"/>
  <c r="K16" i="5"/>
  <c r="K17" i="5"/>
  <c r="E27" i="19"/>
  <c r="E32" i="19"/>
  <c r="E33" i="19"/>
  <c r="F25" i="19"/>
  <c r="E34" i="19"/>
  <c r="E26" i="19"/>
  <c r="E28" i="19"/>
  <c r="E29" i="19"/>
  <c r="E30" i="19"/>
  <c r="E31" i="19"/>
  <c r="D28" i="19"/>
  <c r="G25" i="18"/>
  <c r="F33" i="18"/>
  <c r="F26" i="18"/>
  <c r="F27" i="18"/>
  <c r="F28" i="18"/>
  <c r="F29" i="18"/>
  <c r="F30" i="18"/>
  <c r="F31" i="18"/>
  <c r="F32" i="18"/>
  <c r="F34" i="18"/>
  <c r="G25" i="16"/>
  <c r="F32" i="16"/>
  <c r="F26" i="16"/>
  <c r="F27" i="16"/>
  <c r="F33" i="16"/>
  <c r="F28" i="16"/>
  <c r="F29" i="16"/>
  <c r="F30" i="16"/>
  <c r="F31" i="16"/>
  <c r="F34" i="16"/>
  <c r="E25" i="17"/>
  <c r="E29" i="16"/>
  <c r="E29" i="18"/>
  <c r="E28" i="16"/>
  <c r="E28" i="18"/>
  <c r="D34" i="17"/>
  <c r="E26" i="16"/>
  <c r="D33" i="17"/>
  <c r="E26" i="18"/>
  <c r="D32" i="17"/>
  <c r="D31" i="17"/>
  <c r="D30" i="17"/>
  <c r="F25" i="15"/>
  <c r="E29" i="15"/>
  <c r="E28" i="15"/>
  <c r="E26" i="15"/>
  <c r="E27" i="15"/>
  <c r="E30" i="15"/>
  <c r="E31" i="15"/>
  <c r="E32" i="15"/>
  <c r="E34" i="15"/>
  <c r="E33" i="15"/>
  <c r="D26" i="15"/>
  <c r="F25" i="14"/>
  <c r="E28" i="14"/>
  <c r="E34" i="14"/>
  <c r="E26" i="14"/>
  <c r="E32" i="14"/>
  <c r="E27" i="14"/>
  <c r="E29" i="14"/>
  <c r="E30" i="14"/>
  <c r="E33" i="14"/>
  <c r="E31" i="14"/>
  <c r="D26" i="14"/>
  <c r="G25" i="13"/>
  <c r="F26" i="13"/>
  <c r="F27" i="13"/>
  <c r="F31" i="13"/>
  <c r="F28" i="13"/>
  <c r="F29" i="13"/>
  <c r="F33" i="13"/>
  <c r="F30" i="13"/>
  <c r="F32" i="13"/>
  <c r="F34" i="13"/>
  <c r="E29" i="13"/>
  <c r="D27" i="13"/>
  <c r="E28" i="13"/>
  <c r="E27" i="13"/>
  <c r="E26" i="13"/>
  <c r="K16" i="1"/>
  <c r="K18" i="1"/>
  <c r="K17" i="1"/>
  <c r="F29" i="2"/>
  <c r="E29" i="2"/>
  <c r="O34" i="2"/>
  <c r="N34" i="2"/>
  <c r="M34" i="2"/>
  <c r="I32" i="2"/>
  <c r="M31" i="2"/>
  <c r="L31" i="2"/>
  <c r="K31" i="2"/>
  <c r="H29" i="2"/>
  <c r="G29" i="2"/>
  <c r="Q33" i="2"/>
  <c r="P33" i="2"/>
  <c r="J31" i="2"/>
  <c r="D29" i="2"/>
  <c r="O33" i="2"/>
  <c r="G28" i="2"/>
  <c r="I31" i="2"/>
  <c r="N33" i="2"/>
  <c r="H31" i="2"/>
  <c r="F28" i="2"/>
  <c r="E28" i="2"/>
  <c r="G31" i="2"/>
  <c r="L33" i="2"/>
  <c r="K30" i="2"/>
  <c r="D28" i="2"/>
  <c r="K33" i="2"/>
  <c r="J30" i="2"/>
  <c r="Q27" i="2"/>
  <c r="O32" i="2"/>
  <c r="I30" i="2"/>
  <c r="P27" i="2"/>
  <c r="M33" i="2"/>
  <c r="N32" i="2"/>
  <c r="H30" i="2"/>
  <c r="E27" i="2"/>
  <c r="M32" i="2"/>
  <c r="G30" i="2"/>
  <c r="D27" i="2"/>
  <c r="L32" i="2"/>
  <c r="F30" i="2"/>
  <c r="Q26" i="2"/>
  <c r="Q34" i="2"/>
  <c r="K32" i="2"/>
  <c r="E30" i="2"/>
  <c r="P26" i="2"/>
  <c r="P34" i="2"/>
  <c r="J32" i="2"/>
  <c r="I29" i="2"/>
  <c r="N26" i="2"/>
  <c r="O26" i="2"/>
  <c r="Q28" i="2"/>
  <c r="O27" i="2"/>
  <c r="M26" i="2"/>
  <c r="L34" i="2"/>
  <c r="J33" i="2"/>
  <c r="H32" i="2"/>
  <c r="F31" i="2"/>
  <c r="D30" i="2"/>
  <c r="P28" i="2"/>
  <c r="N27" i="2"/>
  <c r="L26" i="2"/>
  <c r="K34" i="2"/>
  <c r="I33" i="2"/>
  <c r="G32" i="2"/>
  <c r="E31" i="2"/>
  <c r="Q29" i="2"/>
  <c r="O28" i="2"/>
  <c r="M27" i="2"/>
  <c r="K26" i="2"/>
  <c r="J34" i="2"/>
  <c r="H33" i="2"/>
  <c r="F32" i="2"/>
  <c r="D31" i="2"/>
  <c r="P29" i="2"/>
  <c r="N28" i="2"/>
  <c r="L27" i="2"/>
  <c r="J26" i="2"/>
  <c r="I34" i="2"/>
  <c r="G33" i="2"/>
  <c r="E32" i="2"/>
  <c r="Q30" i="2"/>
  <c r="O29" i="2"/>
  <c r="M28" i="2"/>
  <c r="K27" i="2"/>
  <c r="I26" i="2"/>
  <c r="H34" i="2"/>
  <c r="F33" i="2"/>
  <c r="D32" i="2"/>
  <c r="P30" i="2"/>
  <c r="N29" i="2"/>
  <c r="L28" i="2"/>
  <c r="J27" i="2"/>
  <c r="H26" i="2"/>
  <c r="G34" i="2"/>
  <c r="E33" i="2"/>
  <c r="Q31" i="2"/>
  <c r="O30" i="2"/>
  <c r="M29" i="2"/>
  <c r="K28" i="2"/>
  <c r="I27" i="2"/>
  <c r="G26" i="2"/>
  <c r="F34" i="2"/>
  <c r="D33" i="2"/>
  <c r="P31" i="2"/>
  <c r="N30" i="2"/>
  <c r="L29" i="2"/>
  <c r="J28" i="2"/>
  <c r="H27" i="2"/>
  <c r="F26" i="2"/>
  <c r="E34" i="2"/>
  <c r="O31" i="2"/>
  <c r="M30" i="2"/>
  <c r="K29" i="2"/>
  <c r="I28" i="2"/>
  <c r="G27" i="2"/>
  <c r="E26" i="2"/>
  <c r="D34" i="2"/>
  <c r="P32" i="2"/>
  <c r="N31" i="2"/>
  <c r="L30" i="2"/>
  <c r="J29" i="2"/>
  <c r="H28" i="2"/>
  <c r="F27" i="2"/>
  <c r="D26" i="2"/>
  <c r="G25" i="19" l="1"/>
  <c r="F26" i="19"/>
  <c r="F27" i="19"/>
  <c r="F28" i="19"/>
  <c r="F29" i="19"/>
  <c r="F30" i="19"/>
  <c r="F32" i="19"/>
  <c r="F34" i="19"/>
  <c r="F31" i="19"/>
  <c r="F33" i="19"/>
  <c r="H25" i="16"/>
  <c r="G33" i="16"/>
  <c r="G26" i="16"/>
  <c r="G29" i="16"/>
  <c r="G27" i="16"/>
  <c r="G28" i="16"/>
  <c r="G30" i="16"/>
  <c r="G34" i="16"/>
  <c r="G31" i="16"/>
  <c r="G32" i="16"/>
  <c r="E30" i="17"/>
  <c r="E31" i="17"/>
  <c r="E32" i="17"/>
  <c r="E27" i="17"/>
  <c r="E33" i="17"/>
  <c r="E34" i="17"/>
  <c r="F25" i="17"/>
  <c r="E26" i="17"/>
  <c r="E29" i="17"/>
  <c r="E28" i="17"/>
  <c r="H25" i="18"/>
  <c r="G26" i="18"/>
  <c r="G27" i="18"/>
  <c r="G28" i="18"/>
  <c r="G34" i="18"/>
  <c r="G29" i="18"/>
  <c r="G30" i="18"/>
  <c r="G31" i="18"/>
  <c r="G33" i="18"/>
  <c r="G32" i="18"/>
  <c r="G25" i="15"/>
  <c r="F31" i="15"/>
  <c r="F26" i="15"/>
  <c r="F30" i="15"/>
  <c r="F32" i="15"/>
  <c r="F27" i="15"/>
  <c r="F28" i="15"/>
  <c r="F29" i="15"/>
  <c r="F33" i="15"/>
  <c r="F34" i="15"/>
  <c r="F33" i="14"/>
  <c r="G25" i="14"/>
  <c r="F29" i="14"/>
  <c r="F26" i="14"/>
  <c r="F27" i="14"/>
  <c r="F28" i="14"/>
  <c r="F30" i="14"/>
  <c r="F31" i="14"/>
  <c r="F32" i="14"/>
  <c r="F34" i="14"/>
  <c r="H25" i="13"/>
  <c r="G26" i="13"/>
  <c r="G27" i="13"/>
  <c r="G28" i="13"/>
  <c r="G29" i="13"/>
  <c r="G30" i="13"/>
  <c r="G32" i="13"/>
  <c r="G31" i="13"/>
  <c r="G33" i="13"/>
  <c r="G34" i="13"/>
  <c r="G26" i="19" l="1"/>
  <c r="G27" i="19"/>
  <c r="G29" i="19"/>
  <c r="G28" i="19"/>
  <c r="G30" i="19"/>
  <c r="H25" i="19"/>
  <c r="G31" i="19"/>
  <c r="G33" i="19"/>
  <c r="G34" i="19"/>
  <c r="G32" i="19"/>
  <c r="H26" i="18"/>
  <c r="H27" i="18"/>
  <c r="H28" i="18"/>
  <c r="H29" i="18"/>
  <c r="H30" i="18"/>
  <c r="H31" i="18"/>
  <c r="H34" i="18"/>
  <c r="H32" i="18"/>
  <c r="H33" i="18"/>
  <c r="I25" i="18"/>
  <c r="F31" i="17"/>
  <c r="F32" i="17"/>
  <c r="F28" i="17"/>
  <c r="F33" i="17"/>
  <c r="F34" i="17"/>
  <c r="G25" i="17"/>
  <c r="F26" i="17"/>
  <c r="F27" i="17"/>
  <c r="F30" i="17"/>
  <c r="F29" i="17"/>
  <c r="H26" i="16"/>
  <c r="H27" i="16"/>
  <c r="H28" i="16"/>
  <c r="H29" i="16"/>
  <c r="H30" i="16"/>
  <c r="H34" i="16"/>
  <c r="H31" i="16"/>
  <c r="H32" i="16"/>
  <c r="H33" i="16"/>
  <c r="I25" i="16"/>
  <c r="H25" i="15"/>
  <c r="G31" i="15"/>
  <c r="G33" i="15"/>
  <c r="G26" i="15"/>
  <c r="G27" i="15"/>
  <c r="G28" i="15"/>
  <c r="G30" i="15"/>
  <c r="G29" i="15"/>
  <c r="G32" i="15"/>
  <c r="G34" i="15"/>
  <c r="H25" i="14"/>
  <c r="G26" i="14"/>
  <c r="G34" i="14"/>
  <c r="G27" i="14"/>
  <c r="G30" i="14"/>
  <c r="G28" i="14"/>
  <c r="G29" i="14"/>
  <c r="G31" i="14"/>
  <c r="G32" i="14"/>
  <c r="G33" i="14"/>
  <c r="H33" i="13"/>
  <c r="H26" i="13"/>
  <c r="H27" i="13"/>
  <c r="H28" i="13"/>
  <c r="H29" i="13"/>
  <c r="H30" i="13"/>
  <c r="I25" i="13"/>
  <c r="H31" i="13"/>
  <c r="H32" i="13"/>
  <c r="H34" i="13"/>
  <c r="H26" i="19" l="1"/>
  <c r="H30" i="19"/>
  <c r="H27" i="19"/>
  <c r="H28" i="19"/>
  <c r="H29" i="19"/>
  <c r="H31" i="19"/>
  <c r="I25" i="19"/>
  <c r="H32" i="19"/>
  <c r="H33" i="19"/>
  <c r="H34" i="19"/>
  <c r="G32" i="17"/>
  <c r="G33" i="17"/>
  <c r="G34" i="17"/>
  <c r="G30" i="17"/>
  <c r="G26" i="17"/>
  <c r="G29" i="17"/>
  <c r="H25" i="17"/>
  <c r="G27" i="17"/>
  <c r="G28" i="17"/>
  <c r="G31" i="17"/>
  <c r="I26" i="16"/>
  <c r="I27" i="16"/>
  <c r="I31" i="16"/>
  <c r="I28" i="16"/>
  <c r="I29" i="16"/>
  <c r="I30" i="16"/>
  <c r="J25" i="16"/>
  <c r="I32" i="16"/>
  <c r="I33" i="16"/>
  <c r="I34" i="16"/>
  <c r="I26" i="18"/>
  <c r="I27" i="18"/>
  <c r="J25" i="18"/>
  <c r="I28" i="18"/>
  <c r="I29" i="18"/>
  <c r="I30" i="18"/>
  <c r="I31" i="18"/>
  <c r="I32" i="18"/>
  <c r="I33" i="18"/>
  <c r="I34" i="18"/>
  <c r="H27" i="15"/>
  <c r="H26" i="15"/>
  <c r="H28" i="15"/>
  <c r="H29" i="15"/>
  <c r="H31" i="15"/>
  <c r="H30" i="15"/>
  <c r="H32" i="15"/>
  <c r="H33" i="15"/>
  <c r="H34" i="15"/>
  <c r="I25" i="15"/>
  <c r="H26" i="14"/>
  <c r="H27" i="14"/>
  <c r="H28" i="14"/>
  <c r="H29" i="14"/>
  <c r="H31" i="14"/>
  <c r="H30" i="14"/>
  <c r="I25" i="14"/>
  <c r="H32" i="14"/>
  <c r="H33" i="14"/>
  <c r="H34" i="14"/>
  <c r="I26" i="13"/>
  <c r="I27" i="13"/>
  <c r="I28" i="13"/>
  <c r="I29" i="13"/>
  <c r="I34" i="13"/>
  <c r="I30" i="13"/>
  <c r="I31" i="13"/>
  <c r="I32" i="13"/>
  <c r="I33" i="13"/>
  <c r="J25" i="13"/>
  <c r="I27" i="19" l="1"/>
  <c r="I31" i="19"/>
  <c r="I28" i="19"/>
  <c r="I26" i="19"/>
  <c r="I29" i="19"/>
  <c r="I30" i="19"/>
  <c r="I32" i="19"/>
  <c r="I33" i="19"/>
  <c r="I34" i="19"/>
  <c r="J25" i="19"/>
  <c r="J27" i="18"/>
  <c r="J28" i="18"/>
  <c r="J29" i="18"/>
  <c r="J30" i="18"/>
  <c r="J31" i="18"/>
  <c r="J32" i="18"/>
  <c r="J33" i="18"/>
  <c r="J34" i="18"/>
  <c r="K25" i="18"/>
  <c r="J26" i="18"/>
  <c r="H33" i="17"/>
  <c r="H31" i="17"/>
  <c r="H34" i="17"/>
  <c r="H26" i="17"/>
  <c r="H30" i="17"/>
  <c r="H27" i="17"/>
  <c r="I25" i="17"/>
  <c r="H28" i="17"/>
  <c r="H29" i="17"/>
  <c r="H32" i="17"/>
  <c r="J27" i="16"/>
  <c r="J32" i="16"/>
  <c r="J28" i="16"/>
  <c r="J29" i="16"/>
  <c r="J30" i="16"/>
  <c r="J31" i="16"/>
  <c r="J33" i="16"/>
  <c r="J34" i="16"/>
  <c r="J26" i="16"/>
  <c r="K25" i="16"/>
  <c r="I26" i="15"/>
  <c r="I27" i="15"/>
  <c r="I28" i="15"/>
  <c r="I29" i="15"/>
  <c r="I32" i="15"/>
  <c r="I30" i="15"/>
  <c r="I33" i="15"/>
  <c r="I31" i="15"/>
  <c r="I34" i="15"/>
  <c r="J25" i="15"/>
  <c r="I26" i="14"/>
  <c r="I27" i="14"/>
  <c r="I28" i="14"/>
  <c r="I29" i="14"/>
  <c r="I30" i="14"/>
  <c r="I31" i="14"/>
  <c r="J25" i="14"/>
  <c r="I32" i="14"/>
  <c r="I33" i="14"/>
  <c r="I34" i="14"/>
  <c r="J27" i="13"/>
  <c r="J28" i="13"/>
  <c r="J29" i="13"/>
  <c r="J30" i="13"/>
  <c r="J31" i="13"/>
  <c r="J32" i="13"/>
  <c r="J33" i="13"/>
  <c r="J34" i="13"/>
  <c r="K25" i="13"/>
  <c r="J26" i="13"/>
  <c r="J28" i="19" l="1"/>
  <c r="J29" i="19"/>
  <c r="J30" i="19"/>
  <c r="J32" i="19"/>
  <c r="J31" i="19"/>
  <c r="J27" i="19"/>
  <c r="J33" i="19"/>
  <c r="J34" i="19"/>
  <c r="K25" i="19"/>
  <c r="J26" i="19"/>
  <c r="K28" i="16"/>
  <c r="K29" i="16"/>
  <c r="K30" i="16"/>
  <c r="K31" i="16"/>
  <c r="K33" i="16"/>
  <c r="K32" i="16"/>
  <c r="K34" i="16"/>
  <c r="L25" i="16"/>
  <c r="K27" i="16"/>
  <c r="K26" i="16"/>
  <c r="K28" i="18"/>
  <c r="K29" i="18"/>
  <c r="K30" i="18"/>
  <c r="K31" i="18"/>
  <c r="K32" i="18"/>
  <c r="K33" i="18"/>
  <c r="K34" i="18"/>
  <c r="K26" i="18"/>
  <c r="L25" i="18"/>
  <c r="K27" i="18"/>
  <c r="I34" i="17"/>
  <c r="I31" i="17"/>
  <c r="I27" i="17"/>
  <c r="I28" i="17"/>
  <c r="J25" i="17"/>
  <c r="I26" i="17"/>
  <c r="I32" i="17"/>
  <c r="I29" i="17"/>
  <c r="I30" i="17"/>
  <c r="I33" i="17"/>
  <c r="J27" i="15"/>
  <c r="J29" i="15"/>
  <c r="J28" i="15"/>
  <c r="J30" i="15"/>
  <c r="J34" i="15"/>
  <c r="J31" i="15"/>
  <c r="J32" i="15"/>
  <c r="J33" i="15"/>
  <c r="J26" i="15"/>
  <c r="K25" i="15"/>
  <c r="J27" i="14"/>
  <c r="J28" i="14"/>
  <c r="J29" i="14"/>
  <c r="K25" i="14"/>
  <c r="J30" i="14"/>
  <c r="J31" i="14"/>
  <c r="J32" i="14"/>
  <c r="J33" i="14"/>
  <c r="J34" i="14"/>
  <c r="J26" i="14"/>
  <c r="K28" i="13"/>
  <c r="K29" i="13"/>
  <c r="K30" i="13"/>
  <c r="L25" i="13"/>
  <c r="K31" i="13"/>
  <c r="K32" i="13"/>
  <c r="K33" i="13"/>
  <c r="K26" i="13"/>
  <c r="K34" i="13"/>
  <c r="K27" i="13"/>
  <c r="K29" i="19" l="1"/>
  <c r="K30" i="19"/>
  <c r="K31" i="19"/>
  <c r="K32" i="19"/>
  <c r="K33" i="19"/>
  <c r="K27" i="19"/>
  <c r="K34" i="19"/>
  <c r="L25" i="19"/>
  <c r="K28" i="19"/>
  <c r="K26" i="19"/>
  <c r="L29" i="16"/>
  <c r="L30" i="16"/>
  <c r="L31" i="16"/>
  <c r="L32" i="16"/>
  <c r="L33" i="16"/>
  <c r="L34" i="16"/>
  <c r="L27" i="16"/>
  <c r="M25" i="16"/>
  <c r="L28" i="16"/>
  <c r="L26" i="16"/>
  <c r="J28" i="17"/>
  <c r="J29" i="17"/>
  <c r="K25" i="17"/>
  <c r="J26" i="17"/>
  <c r="J33" i="17"/>
  <c r="J27" i="17"/>
  <c r="J30" i="17"/>
  <c r="J31" i="17"/>
  <c r="J32" i="17"/>
  <c r="J34" i="17"/>
  <c r="L29" i="18"/>
  <c r="L26" i="18"/>
  <c r="L27" i="18"/>
  <c r="L30" i="18"/>
  <c r="L31" i="18"/>
  <c r="L32" i="18"/>
  <c r="L33" i="18"/>
  <c r="L34" i="18"/>
  <c r="M25" i="18"/>
  <c r="L28" i="18"/>
  <c r="K28" i="15"/>
  <c r="K29" i="15"/>
  <c r="K30" i="15"/>
  <c r="K31" i="15"/>
  <c r="K32" i="15"/>
  <c r="K34" i="15"/>
  <c r="K26" i="15"/>
  <c r="K33" i="15"/>
  <c r="L25" i="15"/>
  <c r="K27" i="15"/>
  <c r="K28" i="14"/>
  <c r="K29" i="14"/>
  <c r="K30" i="14"/>
  <c r="K31" i="14"/>
  <c r="K32" i="14"/>
  <c r="K33" i="14"/>
  <c r="K34" i="14"/>
  <c r="L25" i="14"/>
  <c r="K26" i="14"/>
  <c r="K27" i="14"/>
  <c r="L29" i="13"/>
  <c r="L30" i="13"/>
  <c r="L31" i="13"/>
  <c r="L32" i="13"/>
  <c r="L33" i="13"/>
  <c r="L34" i="13"/>
  <c r="L27" i="13"/>
  <c r="M25" i="13"/>
  <c r="L26" i="13"/>
  <c r="L28" i="13"/>
  <c r="L30" i="19" l="1"/>
  <c r="L31" i="19"/>
  <c r="L34" i="19"/>
  <c r="L28" i="19"/>
  <c r="L32" i="19"/>
  <c r="L33" i="19"/>
  <c r="M25" i="19"/>
  <c r="L29" i="19"/>
  <c r="L26" i="19"/>
  <c r="L27" i="19"/>
  <c r="K30" i="17"/>
  <c r="L25" i="17"/>
  <c r="K29" i="17"/>
  <c r="K26" i="17"/>
  <c r="K33" i="17"/>
  <c r="K27" i="17"/>
  <c r="K28" i="17"/>
  <c r="K31" i="17"/>
  <c r="K32" i="17"/>
  <c r="K34" i="17"/>
  <c r="M30" i="18"/>
  <c r="M31" i="18"/>
  <c r="M32" i="18"/>
  <c r="M33" i="18"/>
  <c r="M34" i="18"/>
  <c r="N25" i="18"/>
  <c r="M28" i="18"/>
  <c r="M26" i="18"/>
  <c r="M27" i="18"/>
  <c r="M29" i="18"/>
  <c r="M30" i="16"/>
  <c r="M31" i="16"/>
  <c r="M32" i="16"/>
  <c r="M33" i="16"/>
  <c r="N25" i="16"/>
  <c r="M34" i="16"/>
  <c r="M27" i="16"/>
  <c r="M26" i="16"/>
  <c r="M29" i="16"/>
  <c r="M28" i="16"/>
  <c r="L29" i="15"/>
  <c r="L31" i="15"/>
  <c r="L28" i="15"/>
  <c r="L30" i="15"/>
  <c r="L32" i="15"/>
  <c r="L33" i="15"/>
  <c r="L34" i="15"/>
  <c r="L27" i="15"/>
  <c r="M25" i="15"/>
  <c r="L26" i="15"/>
  <c r="L29" i="14"/>
  <c r="L30" i="14"/>
  <c r="L26" i="14"/>
  <c r="L31" i="14"/>
  <c r="L32" i="14"/>
  <c r="L33" i="14"/>
  <c r="M25" i="14"/>
  <c r="L27" i="14"/>
  <c r="L34" i="14"/>
  <c r="L28" i="14"/>
  <c r="M30" i="13"/>
  <c r="M31" i="13"/>
  <c r="M32" i="13"/>
  <c r="N25" i="13"/>
  <c r="M33" i="13"/>
  <c r="M34" i="13"/>
  <c r="M27" i="13"/>
  <c r="M28" i="13"/>
  <c r="M29" i="13"/>
  <c r="M26" i="13"/>
  <c r="M31" i="19" l="1"/>
  <c r="M29" i="19"/>
  <c r="M32" i="19"/>
  <c r="M33" i="19"/>
  <c r="M30" i="19"/>
  <c r="M34" i="19"/>
  <c r="M26" i="19"/>
  <c r="N25" i="19"/>
  <c r="M27" i="19"/>
  <c r="M28" i="19"/>
  <c r="N31" i="16"/>
  <c r="N32" i="16"/>
  <c r="N33" i="16"/>
  <c r="N34" i="16"/>
  <c r="O25" i="16"/>
  <c r="N28" i="16"/>
  <c r="N29" i="16"/>
  <c r="N26" i="16"/>
  <c r="N27" i="16"/>
  <c r="N30" i="16"/>
  <c r="N31" i="18"/>
  <c r="N32" i="18"/>
  <c r="N33" i="18"/>
  <c r="N34" i="18"/>
  <c r="N28" i="18"/>
  <c r="O25" i="18"/>
  <c r="N29" i="18"/>
  <c r="N26" i="18"/>
  <c r="N27" i="18"/>
  <c r="N30" i="18"/>
  <c r="L31" i="17"/>
  <c r="M25" i="17"/>
  <c r="L30" i="17"/>
  <c r="L26" i="17"/>
  <c r="L27" i="17"/>
  <c r="L28" i="17"/>
  <c r="L29" i="17"/>
  <c r="L32" i="17"/>
  <c r="L33" i="17"/>
  <c r="L34" i="17"/>
  <c r="M30" i="15"/>
  <c r="M31" i="15"/>
  <c r="M32" i="15"/>
  <c r="M26" i="15"/>
  <c r="M28" i="15"/>
  <c r="M33" i="15"/>
  <c r="M34" i="15"/>
  <c r="N25" i="15"/>
  <c r="M27" i="15"/>
  <c r="M29" i="15"/>
  <c r="M30" i="14"/>
  <c r="M27" i="14"/>
  <c r="M31" i="14"/>
  <c r="M32" i="14"/>
  <c r="M33" i="14"/>
  <c r="M34" i="14"/>
  <c r="N25" i="14"/>
  <c r="M26" i="14"/>
  <c r="M28" i="14"/>
  <c r="M29" i="14"/>
  <c r="N31" i="13"/>
  <c r="N32" i="13"/>
  <c r="N33" i="13"/>
  <c r="N34" i="13"/>
  <c r="N29" i="13"/>
  <c r="N28" i="13"/>
  <c r="N30" i="13"/>
  <c r="O25" i="13"/>
  <c r="N26" i="13"/>
  <c r="N27" i="13"/>
  <c r="N32" i="19" l="1"/>
  <c r="N26" i="19"/>
  <c r="N33" i="19"/>
  <c r="N31" i="19"/>
  <c r="N34" i="19"/>
  <c r="N27" i="19"/>
  <c r="O25" i="19"/>
  <c r="N28" i="19"/>
  <c r="N29" i="19"/>
  <c r="N30" i="19"/>
  <c r="O32" i="18"/>
  <c r="O33" i="18"/>
  <c r="O29" i="18"/>
  <c r="O34" i="18"/>
  <c r="O26" i="18"/>
  <c r="O30" i="18"/>
  <c r="P25" i="18"/>
  <c r="O27" i="18"/>
  <c r="O28" i="18"/>
  <c r="O31" i="18"/>
  <c r="N25" i="17"/>
  <c r="M26" i="17"/>
  <c r="M27" i="17"/>
  <c r="M28" i="17"/>
  <c r="M31" i="17"/>
  <c r="M32" i="17"/>
  <c r="M29" i="17"/>
  <c r="M30" i="17"/>
  <c r="M33" i="17"/>
  <c r="M34" i="17"/>
  <c r="O32" i="16"/>
  <c r="O33" i="16"/>
  <c r="O34" i="16"/>
  <c r="O30" i="16"/>
  <c r="O26" i="16"/>
  <c r="P25" i="16"/>
  <c r="O29" i="16"/>
  <c r="O27" i="16"/>
  <c r="O28" i="16"/>
  <c r="O31" i="16"/>
  <c r="N31" i="15"/>
  <c r="N28" i="15"/>
  <c r="N29" i="15"/>
  <c r="N32" i="15"/>
  <c r="N33" i="15"/>
  <c r="N34" i="15"/>
  <c r="O25" i="15"/>
  <c r="N27" i="15"/>
  <c r="N30" i="15"/>
  <c r="N26" i="15"/>
  <c r="N31" i="14"/>
  <c r="N32" i="14"/>
  <c r="N33" i="14"/>
  <c r="N26" i="14"/>
  <c r="N34" i="14"/>
  <c r="N28" i="14"/>
  <c r="N29" i="14"/>
  <c r="O25" i="14"/>
  <c r="N27" i="14"/>
  <c r="N30" i="14"/>
  <c r="O32" i="13"/>
  <c r="O33" i="13"/>
  <c r="O34" i="13"/>
  <c r="O29" i="13"/>
  <c r="O26" i="13"/>
  <c r="O31" i="13"/>
  <c r="P25" i="13"/>
  <c r="O28" i="13"/>
  <c r="O27" i="13"/>
  <c r="O30" i="13"/>
  <c r="O33" i="19" l="1"/>
  <c r="O34" i="19"/>
  <c r="O26" i="19"/>
  <c r="O27" i="19"/>
  <c r="O32" i="19"/>
  <c r="O31" i="19"/>
  <c r="P25" i="19"/>
  <c r="O28" i="19"/>
  <c r="O29" i="19"/>
  <c r="O30" i="19"/>
  <c r="P33" i="18"/>
  <c r="P34" i="18"/>
  <c r="P31" i="18"/>
  <c r="P27" i="18"/>
  <c r="Q25" i="18"/>
  <c r="P26" i="18"/>
  <c r="P30" i="18"/>
  <c r="P28" i="18"/>
  <c r="P29" i="18"/>
  <c r="P32" i="18"/>
  <c r="N33" i="17"/>
  <c r="O25" i="17"/>
  <c r="N26" i="17"/>
  <c r="N27" i="17"/>
  <c r="N28" i="17"/>
  <c r="N32" i="17"/>
  <c r="N29" i="17"/>
  <c r="N30" i="17"/>
  <c r="N31" i="17"/>
  <c r="N34" i="17"/>
  <c r="P33" i="16"/>
  <c r="P31" i="16"/>
  <c r="P34" i="16"/>
  <c r="P26" i="16"/>
  <c r="Q25" i="16"/>
  <c r="P27" i="16"/>
  <c r="P28" i="16"/>
  <c r="P29" i="16"/>
  <c r="P32" i="16"/>
  <c r="P30" i="16"/>
  <c r="O32" i="15"/>
  <c r="O34" i="15"/>
  <c r="P25" i="15"/>
  <c r="O33" i="15"/>
  <c r="O31" i="15"/>
  <c r="O29" i="15"/>
  <c r="O26" i="15"/>
  <c r="O28" i="15"/>
  <c r="O30" i="15"/>
  <c r="O27" i="15"/>
  <c r="O32" i="14"/>
  <c r="O33" i="14"/>
  <c r="O30" i="14"/>
  <c r="O34" i="14"/>
  <c r="O27" i="14"/>
  <c r="O28" i="14"/>
  <c r="O26" i="14"/>
  <c r="O29" i="14"/>
  <c r="P25" i="14"/>
  <c r="O31" i="14"/>
  <c r="P33" i="13"/>
  <c r="P34" i="13"/>
  <c r="P27" i="13"/>
  <c r="P29" i="13"/>
  <c r="P30" i="13"/>
  <c r="Q25" i="13"/>
  <c r="P26" i="13"/>
  <c r="P31" i="13"/>
  <c r="P32" i="13"/>
  <c r="P28" i="13"/>
  <c r="P34" i="19" l="1"/>
  <c r="P29" i="19"/>
  <c r="P33" i="19"/>
  <c r="P28" i="19"/>
  <c r="Q25" i="19"/>
  <c r="P26" i="19"/>
  <c r="P27" i="19"/>
  <c r="P32" i="19"/>
  <c r="P30" i="19"/>
  <c r="P31" i="19"/>
  <c r="P25" i="17"/>
  <c r="O26" i="17"/>
  <c r="O27" i="17"/>
  <c r="O28" i="17"/>
  <c r="O34" i="17"/>
  <c r="O29" i="17"/>
  <c r="O30" i="17"/>
  <c r="O31" i="17"/>
  <c r="O33" i="17"/>
  <c r="O32" i="17"/>
  <c r="Q34" i="16"/>
  <c r="Q32" i="16"/>
  <c r="Q27" i="16"/>
  <c r="Q28" i="16"/>
  <c r="Q26" i="16"/>
  <c r="Q29" i="16"/>
  <c r="Q30" i="16"/>
  <c r="Q31" i="16"/>
  <c r="Q33" i="16"/>
  <c r="Q34" i="18"/>
  <c r="Q27" i="18"/>
  <c r="Q28" i="18"/>
  <c r="Q31" i="18"/>
  <c r="Q32" i="18"/>
  <c r="Q26" i="18"/>
  <c r="Q29" i="18"/>
  <c r="Q30" i="18"/>
  <c r="Q33" i="18"/>
  <c r="P33" i="15"/>
  <c r="P26" i="15"/>
  <c r="P34" i="15"/>
  <c r="Q25" i="15"/>
  <c r="P32" i="15"/>
  <c r="P29" i="15"/>
  <c r="P30" i="15"/>
  <c r="P27" i="15"/>
  <c r="P28" i="15"/>
  <c r="P31" i="15"/>
  <c r="P33" i="14"/>
  <c r="P28" i="14"/>
  <c r="P34" i="14"/>
  <c r="P31" i="14"/>
  <c r="Q25" i="14"/>
  <c r="P27" i="14"/>
  <c r="P29" i="14"/>
  <c r="P30" i="14"/>
  <c r="P26" i="14"/>
  <c r="P32" i="14"/>
  <c r="Q34" i="13"/>
  <c r="Q28" i="13"/>
  <c r="Q33" i="13"/>
  <c r="Q26" i="13"/>
  <c r="Q30" i="13"/>
  <c r="Q27" i="13"/>
  <c r="Q32" i="13"/>
  <c r="Q29" i="13"/>
  <c r="Q31" i="13"/>
  <c r="Q29" i="19" l="1"/>
  <c r="Q27" i="19"/>
  <c r="Q28" i="19"/>
  <c r="Q30" i="19"/>
  <c r="Q26" i="19"/>
  <c r="Q31" i="19"/>
  <c r="Q32" i="19"/>
  <c r="Q33" i="19"/>
  <c r="Q34" i="19"/>
  <c r="P26" i="17"/>
  <c r="P27" i="17"/>
  <c r="P28" i="17"/>
  <c r="P29" i="17"/>
  <c r="P34" i="17"/>
  <c r="P30" i="17"/>
  <c r="P31" i="17"/>
  <c r="P32" i="17"/>
  <c r="P33" i="17"/>
  <c r="Q25" i="17"/>
  <c r="Q34" i="15"/>
  <c r="Q26" i="15"/>
  <c r="Q30" i="15"/>
  <c r="Q27" i="15"/>
  <c r="Q32" i="15"/>
  <c r="Q28" i="15"/>
  <c r="Q31" i="15"/>
  <c r="Q33" i="15"/>
  <c r="Q29" i="15"/>
  <c r="Q34" i="14"/>
  <c r="Q32" i="14"/>
  <c r="Q30" i="14"/>
  <c r="Q26" i="14"/>
  <c r="Q31" i="14"/>
  <c r="Q28" i="14"/>
  <c r="Q29" i="14"/>
  <c r="Q27" i="14"/>
  <c r="Q33" i="14"/>
  <c r="Q26" i="17" l="1"/>
  <c r="Q27" i="17"/>
  <c r="Q28" i="17"/>
  <c r="Q29" i="17"/>
  <c r="Q30" i="17"/>
  <c r="Q31" i="17"/>
  <c r="Q32" i="17"/>
  <c r="Q33" i="17"/>
  <c r="Q34" i="17"/>
</calcChain>
</file>

<file path=xl/sharedStrings.xml><?xml version="1.0" encoding="utf-8"?>
<sst xmlns="http://schemas.openxmlformats.org/spreadsheetml/2006/main" count="2576" uniqueCount="688">
  <si>
    <t>Giocatore</t>
  </si>
  <si>
    <t>Allineamento</t>
  </si>
  <si>
    <t>FOR</t>
  </si>
  <si>
    <t>DES</t>
  </si>
  <si>
    <t>COS</t>
  </si>
  <si>
    <t>INT</t>
  </si>
  <si>
    <t>SAG</t>
  </si>
  <si>
    <t>CAR</t>
  </si>
  <si>
    <t>CA</t>
  </si>
  <si>
    <t>PF</t>
  </si>
  <si>
    <t>Tiri salvezza</t>
  </si>
  <si>
    <t>Bacchetta</t>
  </si>
  <si>
    <t>Soffio Drago</t>
  </si>
  <si>
    <t>Incantesimi Bastone Magico</t>
  </si>
  <si>
    <t>Pietrificazione Paralisi</t>
  </si>
  <si>
    <t>Arma</t>
  </si>
  <si>
    <t>Lingue Parlate</t>
  </si>
  <si>
    <t>Movimento</t>
  </si>
  <si>
    <t>Correre</t>
  </si>
  <si>
    <t>Range</t>
  </si>
  <si>
    <t>AC 9</t>
  </si>
  <si>
    <t>Combattimento</t>
  </si>
  <si>
    <t>Giornaliero</t>
  </si>
  <si>
    <t>melee</t>
  </si>
  <si>
    <t>Pugnale</t>
  </si>
  <si>
    <t>Arco Lungo</t>
  </si>
  <si>
    <t>Danno</t>
  </si>
  <si>
    <t>Note</t>
  </si>
  <si>
    <t>1d6</t>
  </si>
  <si>
    <t>Abilità</t>
  </si>
  <si>
    <t>1 Livello</t>
  </si>
  <si>
    <t>2 Livello</t>
  </si>
  <si>
    <t>1/6 Ascoltare rumori</t>
  </si>
  <si>
    <t>Classe</t>
  </si>
  <si>
    <t>Esperienza</t>
  </si>
  <si>
    <t>Arrampicarsi</t>
  </si>
  <si>
    <t>Nuotare</t>
  </si>
  <si>
    <t>Esplorazione</t>
  </si>
  <si>
    <t>3 Livello</t>
  </si>
  <si>
    <t>mo</t>
  </si>
  <si>
    <t>mr</t>
  </si>
  <si>
    <t>Incantesimi Scelti</t>
  </si>
  <si>
    <t>pp</t>
  </si>
  <si>
    <t>ma</t>
  </si>
  <si>
    <t>Qt.</t>
  </si>
  <si>
    <t>Oggetto</t>
  </si>
  <si>
    <t>Slot</t>
  </si>
  <si>
    <t>-</t>
  </si>
  <si>
    <t>Esempio</t>
  </si>
  <si>
    <t>Sutan Ambermoor</t>
  </si>
  <si>
    <t>Neutrale</t>
  </si>
  <si>
    <t>Mazza</t>
  </si>
  <si>
    <t>Fionda</t>
  </si>
  <si>
    <t>1/6 trovare porte segrete</t>
  </si>
  <si>
    <t>1/6 ascoltare attr. Porte</t>
  </si>
  <si>
    <t>Slot/Equipaggiamento</t>
  </si>
  <si>
    <t>3/Armatura a piastre</t>
  </si>
  <si>
    <t>1/Mazza</t>
  </si>
  <si>
    <t>1/Fionda</t>
  </si>
  <si>
    <t>0/Vestiti, Cintura, Stivali</t>
  </si>
  <si>
    <t>0/Simbolo sacro</t>
  </si>
  <si>
    <t>2/Scudo +1</t>
  </si>
  <si>
    <t>+6</t>
  </si>
  <si>
    <t>4 Livello</t>
  </si>
  <si>
    <t>Cura Ferite Gravi  2d6+2</t>
  </si>
  <si>
    <t>Piedi</t>
  </si>
  <si>
    <t>Metri</t>
  </si>
  <si>
    <t>Quad.</t>
  </si>
  <si>
    <t>19km</t>
  </si>
  <si>
    <t>12 mi</t>
  </si>
  <si>
    <t>1R</t>
  </si>
  <si>
    <t>1T</t>
  </si>
  <si>
    <t>1G</t>
  </si>
  <si>
    <t>Scacciare 2d6</t>
  </si>
  <si>
    <t>Umano</t>
  </si>
  <si>
    <t>Cura Ferite Leggere 1d6+1, Protezione dal Male -1TxC 12T</t>
  </si>
  <si>
    <t>Arma Potenziata +1d6 1T</t>
  </si>
  <si>
    <t>Benedizione +1TxC 6R, Trovare Trap./Segr. 2T 30'</t>
  </si>
  <si>
    <t>Acqua Santa</t>
  </si>
  <si>
    <t>40/80/160'</t>
  </si>
  <si>
    <t>10/30/50'</t>
  </si>
  <si>
    <t>1d8</t>
  </si>
  <si>
    <t>20 Pietre</t>
  </si>
  <si>
    <t>1d4</t>
  </si>
  <si>
    <t>Apre porte bloccate con 1-2 su 1d6</t>
  </si>
  <si>
    <t>Penalità a attacchi a distanza -1, CA +1, iniziativa -1</t>
  </si>
  <si>
    <t>Nessun modificatore</t>
  </si>
  <si>
    <t>Sa scrivere parole semplici</t>
  </si>
  <si>
    <t>+1 ai TS contro magia</t>
  </si>
  <si>
    <t>Reazioni PNG +0, massimo 4 seguaci, morale seguaci 7</t>
  </si>
  <si>
    <t>1/Fiale Acqua santa (2)</t>
  </si>
  <si>
    <t>Mod.</t>
  </si>
  <si>
    <t>Iniziativa</t>
  </si>
  <si>
    <t>Razza</t>
  </si>
  <si>
    <t>30.000</t>
  </si>
  <si>
    <t>1R = 10 Sec. | 1T = 10 Min.</t>
  </si>
  <si>
    <t>1°/2</t>
  </si>
  <si>
    <t>2°/2</t>
  </si>
  <si>
    <t>3°/1</t>
  </si>
  <si>
    <t>4°/1</t>
  </si>
  <si>
    <t xml:space="preserve">Chierico </t>
  </si>
  <si>
    <t>6°</t>
  </si>
  <si>
    <t>Corazzato Lento Curatore</t>
  </si>
  <si>
    <t>Guerriero</t>
  </si>
  <si>
    <t>Ascia da B.</t>
  </si>
  <si>
    <t>1d8+3</t>
  </si>
  <si>
    <t>1d4+2</t>
  </si>
  <si>
    <t>70/140/210'</t>
  </si>
  <si>
    <t>+8</t>
  </si>
  <si>
    <t>1/Pugnali</t>
  </si>
  <si>
    <t>3/Arco Lungo</t>
  </si>
  <si>
    <t>Apre porte bloccate con 1-4 su 1d6</t>
  </si>
  <si>
    <t>Bonus a attacchi a distanza, CA, iniziativa</t>
  </si>
  <si>
    <t>Penalità ai TS contro magia</t>
  </si>
  <si>
    <t>lanciabile 10/20/30'</t>
  </si>
  <si>
    <t>12 freccie</t>
  </si>
  <si>
    <t>1/Faretra</t>
  </si>
  <si>
    <t>Guerriero Corazzato Arciere</t>
  </si>
  <si>
    <t>Ascia due mani</t>
  </si>
  <si>
    <t>Arco lungo</t>
  </si>
  <si>
    <t>Ascia/pugnale + Scudo</t>
  </si>
  <si>
    <t>Combinazioni</t>
  </si>
  <si>
    <t>Juven Lionsbane</t>
  </si>
  <si>
    <t>Mago</t>
  </si>
  <si>
    <t>5°</t>
  </si>
  <si>
    <t>Apre porte bloccate con 1 su 1d6</t>
  </si>
  <si>
    <t>Bonus punti ferita aggiunti al totale</t>
  </si>
  <si>
    <t>Legge e scrive più lingue</t>
  </si>
  <si>
    <t>Reazioni PNG -1, massimo 3 seguaci, morale seguaci 6</t>
  </si>
  <si>
    <t>38km</t>
  </si>
  <si>
    <t>24mi</t>
  </si>
  <si>
    <t>1/Pugnali (2)</t>
  </si>
  <si>
    <t>1/Libro Incantesimi</t>
  </si>
  <si>
    <t>Bastone</t>
  </si>
  <si>
    <t>1d4-1</t>
  </si>
  <si>
    <t>10/20/30'</t>
  </si>
  <si>
    <t>Dardo Incantato 2d6+2 150, Scudo CA2</t>
  </si>
  <si>
    <t>Immagine Speculare 1d4 6T, Levitare 11T</t>
  </si>
  <si>
    <t>Fragile Arcano Potente</t>
  </si>
  <si>
    <t>Ladro</t>
  </si>
  <si>
    <t>Cesaire Thorn</t>
  </si>
  <si>
    <t>12mi</t>
  </si>
  <si>
    <t>Spada</t>
  </si>
  <si>
    <t>Arco Corto</t>
  </si>
  <si>
    <t>50/100/150'</t>
  </si>
  <si>
    <t>2/Armatura di cuoio +1</t>
  </si>
  <si>
    <t>2/Arco Corto</t>
  </si>
  <si>
    <t>1/Atrezzi da scasso</t>
  </si>
  <si>
    <t>2/Spada</t>
  </si>
  <si>
    <t>3/6 Ascoltare rumori</t>
  </si>
  <si>
    <t>3/6 ascoltare attr. Porte</t>
  </si>
  <si>
    <t>Scassinare</t>
  </si>
  <si>
    <t>Borseggiare</t>
  </si>
  <si>
    <t>Muoversi Silenziosamente</t>
  </si>
  <si>
    <t>Scalare Parti Lisce</t>
  </si>
  <si>
    <t>Nascondersi nelle Ombre</t>
  </si>
  <si>
    <t>Trov./Rim. Trappole</t>
  </si>
  <si>
    <t>Leg. Lingue non Magiche</t>
  </si>
  <si>
    <t>Attacco alle Spalle +4 TxC, Danno x 2</t>
  </si>
  <si>
    <t>Agile Furtivo Preciso</t>
  </si>
  <si>
    <t>Seska Poluth</t>
  </si>
  <si>
    <t>Nano</t>
  </si>
  <si>
    <t>+7</t>
  </si>
  <si>
    <t>Apre porte bloccate con 1-3 su 1d6</t>
  </si>
  <si>
    <t>Legge e scrive nella lingua nativa</t>
  </si>
  <si>
    <t>Bonus ai TS contro magia</t>
  </si>
  <si>
    <t>Common, Nanco, Gnomesco, Koboldo,Goblin</t>
  </si>
  <si>
    <t>Infravsione 60'/12q</t>
  </si>
  <si>
    <t>50/100/150</t>
  </si>
  <si>
    <t>1d4+1</t>
  </si>
  <si>
    <t>2/Scudo</t>
  </si>
  <si>
    <t>Nano Corazzato Resistente</t>
  </si>
  <si>
    <t>Conno Darhov</t>
  </si>
  <si>
    <t>Elfo</t>
  </si>
  <si>
    <t>33,650</t>
  </si>
  <si>
    <t>2/6 trovare porte segrete</t>
  </si>
  <si>
    <t>Immune paralisi Ghoul</t>
  </si>
  <si>
    <t>1d8+2</t>
  </si>
  <si>
    <t>Fulmine 5d6 60'x5'</t>
  </si>
  <si>
    <t>Dardo Incantato 2d6+2 150' x 2</t>
  </si>
  <si>
    <t>Immagine Speculare 1d4 6T, Scassinare 60'</t>
  </si>
  <si>
    <t>2/Cotta di maglia</t>
  </si>
  <si>
    <t>Guerriero Arcano Versatile</t>
  </si>
  <si>
    <t>2/6 ascoltare attr. Porte</t>
  </si>
  <si>
    <t>18mi</t>
  </si>
  <si>
    <t>29km</t>
  </si>
  <si>
    <t>Azzeil Summerhill</t>
  </si>
  <si>
    <t>Halfling</t>
  </si>
  <si>
    <t>1/Sacchetto Pietre</t>
  </si>
  <si>
    <t>Spada Corta</t>
  </si>
  <si>
    <t>All'aperto (boschi/sottobosco): 90% di non essere individuato</t>
  </si>
  <si>
    <t>In dungeon (ombre, fermo e silenzioso): 1-2 su 1d6 di non essere visto</t>
  </si>
  <si>
    <t>Halfling vs Nemici Grandi: +2 CA contro creature più grandi di un umano</t>
  </si>
  <si>
    <t>2/6 Ascoltare rumori</t>
  </si>
  <si>
    <t>THAC0</t>
  </si>
  <si>
    <t>THAC0 - Tiro = CA Colpita</t>
  </si>
  <si>
    <t>Nessuna</t>
  </si>
  <si>
    <t>Cuoio</t>
  </si>
  <si>
    <t>Cuoio Borchiato</t>
  </si>
  <si>
    <t>Cotta di maglie</t>
  </si>
  <si>
    <t>Scudo</t>
  </si>
  <si>
    <t>Arm. a bande</t>
  </si>
  <si>
    <t>Arm. a Piastre</t>
  </si>
  <si>
    <t>Armatura</t>
  </si>
  <si>
    <t>U/E</t>
  </si>
  <si>
    <t>N</t>
  </si>
  <si>
    <t>H</t>
  </si>
  <si>
    <t>40'</t>
  </si>
  <si>
    <t>20'</t>
  </si>
  <si>
    <t>30'</t>
  </si>
  <si>
    <t>melee lenta</t>
  </si>
  <si>
    <t>Sovraccarico</t>
  </si>
  <si>
    <t>Slot Totali</t>
  </si>
  <si>
    <t>Slot Occupati</t>
  </si>
  <si>
    <t>Slot Bonus</t>
  </si>
  <si>
    <t>Banca</t>
  </si>
  <si>
    <t>Trasportati</t>
  </si>
  <si>
    <t>Quadrelli</t>
  </si>
  <si>
    <t>Pietre</t>
  </si>
  <si>
    <t>Dardi</t>
  </si>
  <si>
    <t>Olio</t>
  </si>
  <si>
    <t xml:space="preserve">Anelli, amuleti, pergamene, chiavi, gemme </t>
  </si>
  <si>
    <t>Pozioni, acqua santa (fiale)</t>
  </si>
  <si>
    <t>1/3</t>
  </si>
  <si>
    <t>1/2</t>
  </si>
  <si>
    <t>Olio (fiasche)</t>
  </si>
  <si>
    <t>Armi piccole, torce (6), corda, faretra, bacchette, sacco (+3 slot)</t>
  </si>
  <si>
    <t>Armi grandi, armatura pesante, scudo grande, arco lungo, balestra p.</t>
  </si>
  <si>
    <t>Armi medie, arm. leggere, scudo, arco c., balestra l., stivali, mantello</t>
  </si>
  <si>
    <t>Monete: 100 mo = 1 slot</t>
  </si>
  <si>
    <t>Slot frazionari: ⅓ = 1-3 oggetti per slot | ½ = 1-2 oggetti per slot</t>
  </si>
  <si>
    <t>Sacco grande: +3 slot extra (oggetti non fragili)</t>
  </si>
  <si>
    <t>Borsa Conservante: +5 slot extra</t>
  </si>
  <si>
    <t>Imbottita</t>
  </si>
  <si>
    <t>Pias. Completa</t>
  </si>
  <si>
    <t>Scudo Torre</t>
  </si>
  <si>
    <t>-10' Mov</t>
  </si>
  <si>
    <t>+5</t>
  </si>
  <si>
    <t>Costo</t>
  </si>
  <si>
    <t>Corda (15m)</t>
  </si>
  <si>
    <t>5 ma</t>
  </si>
  <si>
    <t>Asta 10 piedi</t>
  </si>
  <si>
    <t>Torce (6)</t>
  </si>
  <si>
    <t>Olio (fiasca)</t>
  </si>
  <si>
    <t>1 mo</t>
  </si>
  <si>
    <t>Lanterna</t>
  </si>
  <si>
    <t>5 mo</t>
  </si>
  <si>
    <t>Specchio (piccolo)</t>
  </si>
  <si>
    <t>2 mo</t>
  </si>
  <si>
    <t>Chiodi ferro (12)</t>
  </si>
  <si>
    <t>Martello</t>
  </si>
  <si>
    <t>Sacco (grande)</t>
  </si>
  <si>
    <t>Gesso (12 pezzi)</t>
  </si>
  <si>
    <t>Acqua Santa (fiala)</t>
  </si>
  <si>
    <t>12 mo</t>
  </si>
  <si>
    <t>Frecce (20)</t>
  </si>
  <si>
    <t>Quadrelli (30)</t>
  </si>
  <si>
    <t>Pietre fionda (20)</t>
  </si>
  <si>
    <t>Pozione Cura Leggera</t>
  </si>
  <si>
    <t>150 mo</t>
  </si>
  <si>
    <t>Pozione Cura Grave</t>
  </si>
  <si>
    <t>300 mo</t>
  </si>
  <si>
    <t>Pozione Velocità</t>
  </si>
  <si>
    <t>250 mo</t>
  </si>
  <si>
    <t>Pozione Invisibilità</t>
  </si>
  <si>
    <t>200 mo</t>
  </si>
  <si>
    <t>Pozione Levitazione</t>
  </si>
  <si>
    <t>Pergamena: Dardo Incantato</t>
  </si>
  <si>
    <t>50 mo</t>
  </si>
  <si>
    <t>Pergamena: Scudo</t>
  </si>
  <si>
    <t>Pergamena: Invisibilità</t>
  </si>
  <si>
    <t>100 mo</t>
  </si>
  <si>
    <t>Pergamena: Ragnatela</t>
  </si>
  <si>
    <t>Pergamena: Palla di Fuoco</t>
  </si>
  <si>
    <t>Pergamena: Fulmine</t>
  </si>
  <si>
    <t>Pergamena: Cura Ferite Leggere</t>
  </si>
  <si>
    <t>Pergamena: Protezione dal Male</t>
  </si>
  <si>
    <t>Pergamena: Luce</t>
  </si>
  <si>
    <t>Pergamena: Benedizione</t>
  </si>
  <si>
    <t>½</t>
  </si>
  <si>
    <t>Pergamena: Rimuovi Maledizione</t>
  </si>
  <si>
    <t>Pozione Resistenza al Freddo</t>
  </si>
  <si>
    <t>Pozione Forza Gigante</t>
  </si>
  <si>
    <t>Pozione Volo</t>
  </si>
  <si>
    <t>400 mo</t>
  </si>
  <si>
    <t>Calzini della Zia Elfica</t>
  </si>
  <si>
    <t>Maglione di Nonno Gelo</t>
  </si>
  <si>
    <t>Campanella del "Ti Penso"</t>
  </si>
  <si>
    <t>Panettone dell'Ultimo Minuto</t>
  </si>
  <si>
    <t>25 mo</t>
  </si>
  <si>
    <t>15 mo</t>
  </si>
  <si>
    <t>30 mo</t>
  </si>
  <si>
    <t>Brutto. Caldo. Impossibile da togliere senza offendere qualcuno.</t>
  </si>
  <si>
    <t>Suona solo quando serve davvero. O quando ti manca qualcuno.</t>
  </si>
  <si>
    <t>Comprato di corsa, donato con amore. Non finisce mai, come i sensi di colpa.</t>
  </si>
  <si>
    <t>Supporta 3 persone/500 lb. Arrampicata senza tiro se non sotto stress. Sotto attacco: DES per non cadere.</t>
  </si>
  <si>
    <t>Guardare angoli senza esporsi. Riflette sguardo pietrificante: mostro TS Pietrificazione o subisce effetto.</t>
  </si>
  <si>
    <t>Blocca porta: nemico deve sfondare (FOR o 2d6 alla porta). Rimuovere: 1 turno senza martello, 1 round con.</t>
  </si>
  <si>
    <t>Piantare/rimuovere chiodi (1 round). Arma improvvisata: 1d4.</t>
  </si>
  <si>
    <t>+3 slot extra. Solo non fragili. Estrarre: 1 round (azione completa).</t>
  </si>
  <si>
    <t>Segnare percorso, pareti, porte.</t>
  </si>
  <si>
    <t>⅓</t>
  </si>
  <si>
    <t>Per arco corto/lungo. Recuperabili 50% (1-3 su d6).</t>
  </si>
  <si>
    <t>Per balestra. Recuperabili 50%.</t>
  </si>
  <si>
    <t>—</t>
  </si>
  <si>
    <t>Per fionda. Gratuite se raccolte. Recuperabili 50%.</t>
  </si>
  <si>
    <t>Cura 1d6+1 HP. Bere = azione (no attacco, sì movimento). Da zaino: 1 round estrarre + 1 round bere.</t>
  </si>
  <si>
    <t>Cura 2d6+2 HP. Stesse regole Cura Leggera.</t>
  </si>
  <si>
    <t>Durata 1 turno (10 round). Movimento x2, 2 attacchi/round. Non cumulabile.</t>
  </si>
  <si>
    <t>Durata: fino a interruzione. Termina se attacchi/lanci incantesimo/tocchi nemico. Nemici -4 TxC. Infravisione non rileva.</t>
  </si>
  <si>
    <t>Durata 1 turno (10 round). Immune a tutti i danni freddo.</t>
  </si>
  <si>
    <t>Durata 1 turno (10 round). FOR 18 (+3 TxC/danni mischia). Non vale per distanza.</t>
  </si>
  <si>
    <t>Solo Mago/Elfo. Durata 2 turni (20 round). CA 2 vs distanza, CA 4 vs mischia. Blocca Dardo Incantato.</t>
  </si>
  <si>
    <t>Solo Mago/Elfo. Bersaglio: sé o 1 toccato. Durata: fino a interruzione. Nemici -4 TxC.</t>
  </si>
  <si>
    <t>Solo Chierico. Cura 1d6+1 HP. Tocco. Alternativa: 1d6+1 danni a non-morti (TxC richiesto).</t>
  </si>
  <si>
    <t>Mago/Elfo/Chierico. Durata 12 turni (120 round). Creature malvagie -1 TxC, +1 tuoi TS. Evocati non ti toccano.</t>
  </si>
  <si>
    <t>Solo Chierico. Rimuove 1 maledizione da creatura/oggetto toccato. Non funziona su licantropia.</t>
  </si>
  <si>
    <t>Li ho fatti io, caro. Profumano di biscotti e senso di colpa.</t>
  </si>
  <si>
    <t>Attiva trappole a 10'/3m/2□. Sondare pavimenti/soffitti. Due mani.</t>
  </si>
  <si>
    <t>Luce 30'/9m/6□, 1 ora ciascuna. Una mano. Come arma: 1d4 fuoco. Accendere: 1 round.</t>
  </si>
  <si>
    <t>Lanciato acceso (10'/3m/2□): TxC vs CA 9 a terra, CA normale su creatura. 1d8 fuoco, brucia 2 round (1d8/round). Pozza: 3'/1m diametro, 1d8 a chi attraversa, 1 turno.</t>
  </si>
  <si>
    <t>Luce 30'/9m/6□, 4 ore per fiasca olio. Una mano. Appendibile. Vento non la spegne.</t>
  </si>
  <si>
    <t>Lanciata (10'/3m/2□): TxC normale. 1d8 vs non-morti/infernali. Ignora armatura (CA 9). Si rompe all'impatto.</t>
  </si>
  <si>
    <t>Durata 6 turni (60 round). Solo verticale 6'/1.8m/round (20'/6m senza carico). No movimento orizzontale autonomo.</t>
  </si>
  <si>
    <t>Durata 1d6 turni (tirare quando bevi). Movimento 120'/36m/24□ (40'/12m/8□ combattimento). Se termina in volo: 1d6 per 10'/3m caduta.</t>
  </si>
  <si>
    <t>Solo Mago/Elfo. Liv.5: 1 dardo, 1d6+1 danni. Colpo automatico. Gittata 150'/45m/30□. Azione: leggere.</t>
  </si>
  <si>
    <t>Solo Mago/Elfo. Area 10'x10'x10'/3mx3mx3m/2□x2□x2□. Gittata 10'/3m/2□. Liberarsi: FOR ogni round (1 nat. FOR norm, 1-2 FOR 13-17, 1-3 FOR 18). Fuoco brucia in 2 round (1d6 a intrappolati).</t>
  </si>
  <si>
    <t>Solo Mago/Elfo. Liv.5: 5d6 fuoco. TS Incantesimi dimezza. Sfera raggio 20'/6m/4□. Gittata 240'/72m/48□. Espande in spazi chiusi.</t>
  </si>
  <si>
    <t>Solo Mago/Elfo. Liv.5: 5d6 fulmine. TS Incantesimi dimezza. Linea 60'x5'/18mx1.5m/12□x1□. Rimbalza su muri (tot. 60'/18m). Colpisce tutti inclusi alleati.</t>
  </si>
  <si>
    <t>Mago/Elfo/Chierico. Durata 12 turni. Luce raggio 15'/4.5m/3□. Su oggetto o punto fisso. Su occhi nemico: TS Incantesimi o accecato (-4 TxC, nemici +4). Gittata 120'/36m/24□.</t>
  </si>
  <si>
    <t>Solo Chierico. Durata 6 turni (60 round). Alleati entro 60'/18m/12□: +1 TxC, +1 morale, +1 danni. Solo PRIMA del combattimento.</t>
  </si>
  <si>
    <t>Compra ora, pentiti dopo. Se torni vivo, sconto del 10%.</t>
  </si>
  <si>
    <t>Pozioni Cura — "Bevi prima di morire!"</t>
  </si>
  <si>
    <t>Pergamena Fulmine — "60 piedi di 'non mi hai sentito la prima volta'."</t>
  </si>
  <si>
    <t>Torcie</t>
  </si>
  <si>
    <t>THACO0</t>
  </si>
  <si>
    <t>1 liv.</t>
  </si>
  <si>
    <t>2 liv.</t>
  </si>
  <si>
    <t>3 liv.</t>
  </si>
  <si>
    <t>5 liv.</t>
  </si>
  <si>
    <t>4 liv.</t>
  </si>
  <si>
    <t>TS: 1D20 ≥ valore TS = Successo 
TA: 1D20 ≤ valore attributo = Successo</t>
  </si>
  <si>
    <t>Malus</t>
  </si>
  <si>
    <t>-2 Tiri 10R (max 3 R)</t>
  </si>
  <si>
    <t>Sprint</t>
  </si>
  <si>
    <t>8 dm</t>
  </si>
  <si>
    <t>Veleno, Raggio della Morte</t>
  </si>
  <si>
    <t>V</t>
  </si>
  <si>
    <t>B</t>
  </si>
  <si>
    <t>P</t>
  </si>
  <si>
    <t>S</t>
  </si>
  <si>
    <t>I</t>
  </si>
  <si>
    <t>A. Santa</t>
  </si>
  <si>
    <t>+TS</t>
  </si>
  <si>
    <t xml:space="preserve"> </t>
  </si>
  <si>
    <t>Frecie</t>
  </si>
  <si>
    <t>Giavell.</t>
  </si>
  <si>
    <t>=10</t>
  </si>
  <si>
    <t>Cariche</t>
  </si>
  <si>
    <t>STATS</t>
  </si>
  <si>
    <t>by maru</t>
  </si>
  <si>
    <t>Razione (1 giorno)</t>
  </si>
  <si>
    <t>Cibo fresco. Deperisce in 1 settimana.</t>
  </si>
  <si>
    <t>Otre d'acqua</t>
  </si>
  <si>
    <t>1 giorno d'acqua per persona.</t>
  </si>
  <si>
    <t>Trasporta fino a 600 mo di peso.</t>
  </si>
  <si>
    <t>Supporta 150 kg. Arrampicata senza tiro se non sotto stress.</t>
  </si>
  <si>
    <t>Attiva trappole a 10'. Sondare. Due mani.</t>
  </si>
  <si>
    <t>Piccone</t>
  </si>
  <si>
    <t>3 mo</t>
  </si>
  <si>
    <t>Scavare pietra/terra. Come arma: 1d6, due mani.</t>
  </si>
  <si>
    <t>Pala</t>
  </si>
  <si>
    <t>Scavare terra. Come arma improvvisata: 1d4.</t>
  </si>
  <si>
    <t>Luce 30', 1 ora ciascuna. Come arma: 1d4 fuoco.</t>
  </si>
  <si>
    <t>Candele (10)</t>
  </si>
  <si>
    <t>Luce 5', 1 ora ciascuna.</t>
  </si>
  <si>
    <t>Acciarino e pietra focaia</t>
  </si>
  <si>
    <t>Piantare chiodi/paletti. Come arma improvvisata: 1d4.</t>
  </si>
  <si>
    <t>Paletti legno (3)</t>
  </si>
  <si>
    <t>Colpo al cuore su vampiro paralizzato: uccide.</t>
  </si>
  <si>
    <t>Gesso (10 pezzi)</t>
  </si>
  <si>
    <t>Segnare percorsi.</t>
  </si>
  <si>
    <t>Simbolo sacro (legno)</t>
  </si>
  <si>
    <t>Necessario per scacciare non-morti.</t>
  </si>
  <si>
    <t>Aglio (testa)</t>
  </si>
  <si>
    <t>Vampiri: TS o non possono avvicinarsi entro 10'.</t>
  </si>
  <si>
    <t>Per fionda. Recuperabili 50% (1-3 su d6).</t>
  </si>
  <si>
    <t>Daga</t>
  </si>
  <si>
    <t>1d4 danni. Lanciabile 10'/20'/30'. Una mano.</t>
  </si>
  <si>
    <t>Ascia</t>
  </si>
  <si>
    <t>1d6 danni. Lanciabile 10'/20'/30'. Una mano.</t>
  </si>
  <si>
    <t>Lancia</t>
  </si>
  <si>
    <t>4 mo</t>
  </si>
  <si>
    <t>1d6 danni. Lanciabile 20'/40'/60'. Una o due mani (1d8).</t>
  </si>
  <si>
    <t>1d4 danni. Due mani. Contundente.</t>
  </si>
  <si>
    <t>1d4 danni. Gittata 40'/80'/160'. Due mani per caricare.</t>
  </si>
  <si>
    <t>Pony</t>
  </si>
  <si>
    <t>40 mo</t>
  </si>
  <si>
    <t>Carico 200 mo. Movimento 40'. Non addestrato al combattimento.</t>
  </si>
  <si>
    <t>Mulo</t>
  </si>
  <si>
    <t>Carico 400 mo. Movimento 40'. Testardo ma resistente.</t>
  </si>
  <si>
    <t>Asino</t>
  </si>
  <si>
    <t>Carico 200 mo. Movimento 40'.</t>
  </si>
  <si>
    <t>Portatore (giorno)</t>
  </si>
  <si>
    <t>Trasporta 100 mo di peso. Morale 6. Non combatte.</t>
  </si>
  <si>
    <t>Guida locale (giorno)</t>
  </si>
  <si>
    <t>Conosce la zona. Morale 7. Non combatte.</t>
  </si>
  <si>
    <t>Razione secca (1 settimana)</t>
  </si>
  <si>
    <t>10 mo</t>
  </si>
  <si>
    <t>Cibo conservato. Non deperisce.</t>
  </si>
  <si>
    <t>Zaino</t>
  </si>
  <si>
    <t>Trasporta fino a 400 mo di peso.</t>
  </si>
  <si>
    <t>Rampino</t>
  </si>
  <si>
    <t>Lanciare: TxC vs CA 9. Con corda per scalare.</t>
  </si>
  <si>
    <t>Piede di porco</t>
  </si>
  <si>
    <t>+1 a sfondare porte. Come arma improvvisata: 1d4.</t>
  </si>
  <si>
    <t>Luce 30', 4 ore per fiasca olio. Vento non la spegne.</t>
  </si>
  <si>
    <t>Borse da sella</t>
  </si>
  <si>
    <t>Per cavalcatura. Capacità 300 mo.</t>
  </si>
  <si>
    <t>Spada corta</t>
  </si>
  <si>
    <t>7 mo</t>
  </si>
  <si>
    <t>1d6 danni. Una mano.</t>
  </si>
  <si>
    <t>1d6 danni. Una mano. Contundente, danni pieni vs scheletri.</t>
  </si>
  <si>
    <t>Arco corto</t>
  </si>
  <si>
    <t>1d6 danni. Gittata 50'/100'/150'. Due mani.</t>
  </si>
  <si>
    <t>Armatura imbottita</t>
  </si>
  <si>
    <t>Armatura di cuoio</t>
  </si>
  <si>
    <t>20 mo</t>
  </si>
  <si>
    <t>Cavallo da sella</t>
  </si>
  <si>
    <t>75 mo</t>
  </si>
  <si>
    <t>Carico 300 mo. Movimento 80'. Non addestrato al combattimento.</t>
  </si>
  <si>
    <t>Cane da guardia</t>
  </si>
  <si>
    <t>DV 1+1, CA 7 [12], morso 1d4. Morale 9. Fiuta intrusi.</t>
  </si>
  <si>
    <t>Sella</t>
  </si>
  <si>
    <t>Necessaria per cavalcare.</t>
  </si>
  <si>
    <t>Carro</t>
  </si>
  <si>
    <t>Carico 1500 mo. Richiede 1-2 animali da tiro.</t>
  </si>
  <si>
    <t>Barca a remi</t>
  </si>
  <si>
    <t>Trasporta 6 persone. Movimento 30'.</t>
  </si>
  <si>
    <t>Guardare angoli. Riflette sguardo pietrificante: mostro TS Pietrificazione o subisce effetto.</t>
  </si>
  <si>
    <t>Lanciata 10'/20'/30': TxC normale. 1d8 vs non-morti/infernali.</t>
  </si>
  <si>
    <t>Simbolo sacro (argento)</t>
  </si>
  <si>
    <t>Come legno. Più resistente, +1 a Scacciare.</t>
  </si>
  <si>
    <t>Specchio d'argento</t>
  </si>
  <si>
    <t>Vampiri non si riflettono. Utile per identificarli.</t>
  </si>
  <si>
    <t>Quadrelli (20)</t>
  </si>
  <si>
    <t>Per balestra. Recuperabili 50% (1-3 su d6).</t>
  </si>
  <si>
    <t>Spada lunga</t>
  </si>
  <si>
    <t>1d8 danni. Una mano.</t>
  </si>
  <si>
    <t>Ascia da battaglia</t>
  </si>
  <si>
    <t>1d8 danni. Una mano. Può essere usata a due mani.</t>
  </si>
  <si>
    <t>Martello da guerra</t>
  </si>
  <si>
    <t>1d8 danni. Gittata 70'/140'/210'. Due mani.</t>
  </si>
  <si>
    <t>Balestra leggera</t>
  </si>
  <si>
    <t>Armatura borchiata</t>
  </si>
  <si>
    <t>CA 6 [13].</t>
  </si>
  <si>
    <t>Cotta di maglia</t>
  </si>
  <si>
    <t>Mercenario (giorno)</t>
  </si>
  <si>
    <t>Guerriero liv.1. DV 1, CA 6 [13], spada 1d8. Morale 8.</t>
  </si>
  <si>
    <t>Pozione Cura Ferite Leggere</t>
  </si>
  <si>
    <t>Cura 1d6+1 HP. Bere: 1 azione.</t>
  </si>
  <si>
    <t>Pozione Neutralizza Veleno</t>
  </si>
  <si>
    <t>Rimuove qualsiasi veleno immediatamente. Consigliata.</t>
  </si>
  <si>
    <t>Solo Mago/Elfo. 1d6+1 danni. Colpo automatico. Gittata 150'.</t>
  </si>
  <si>
    <t>Solo Mago/Elfo. CA 2 vs distanza, CA 4 vs mischia. Durata 2 turni.</t>
  </si>
  <si>
    <t>Pergamena: Sonno</t>
  </si>
  <si>
    <t>Solo Mago/Elfo. 2d8 DV si addormentano. Gittata 240'. No TS.</t>
  </si>
  <si>
    <t>Pergamena: Charme</t>
  </si>
  <si>
    <t>Solo Mago/Elfo. 1 bersaglio ti considera amico. TS nega.</t>
  </si>
  <si>
    <t>Pergamena: Individuazione Magia</t>
  </si>
  <si>
    <t>Mago/Elfo/Chierico. Rileva magia entro 60'. Durata 2 turni.</t>
  </si>
  <si>
    <t>Mago/Elfo/Chierico. Luce 15'. Su occhi: TS o accecato (-4 TxC). Durata 12 turni.</t>
  </si>
  <si>
    <t>Mago/Elfo/Chierico. Malvagi -1 TxC, +1 TS. Evocati non toccano. Durata 12 turni.</t>
  </si>
  <si>
    <t>Spada a due mani</t>
  </si>
  <si>
    <t>1d10 danni. Due mani. Attacca per ultimo.</t>
  </si>
  <si>
    <t>Alabarda</t>
  </si>
  <si>
    <t>Balestra pesante</t>
  </si>
  <si>
    <t>45 mo</t>
  </si>
  <si>
    <t>CA 4 [15].</t>
  </si>
  <si>
    <t>Armatura a bande</t>
  </si>
  <si>
    <t>90 mo</t>
  </si>
  <si>
    <t>Cavallo da guerra</t>
  </si>
  <si>
    <t>Carico 400 mo. Movimento 60'. Attacca: 2 zoccoli 1d6. Morale 9.</t>
  </si>
  <si>
    <t>Guardia del corpo (giorno)</t>
  </si>
  <si>
    <t>Guerriero liv.2. DV 2, CA 4 [15], spada 1d8. Morale 9.</t>
  </si>
  <si>
    <t>Pozione Cura Ferite Gravi</t>
  </si>
  <si>
    <t>600 mo</t>
  </si>
  <si>
    <t>Cura 2d6+2 HP. Bere: 1 azione.</t>
  </si>
  <si>
    <t>Durata 1 turno. Movimento x2, 2 attacchi/round. Non cumulabile.</t>
  </si>
  <si>
    <t>500 mo</t>
  </si>
  <si>
    <t>Durata: fino a interruzione. Termina se attacchi/lanci incantesimo.</t>
  </si>
  <si>
    <t>Pozione Resistenza Fuoco</t>
  </si>
  <si>
    <t>Durata 1 turno. Immune danni fuoco normali. +2 TS vs fuoco magico.</t>
  </si>
  <si>
    <t>Durata 1 turno. FOR 18 (+3 TxC/danni mischia).</t>
  </si>
  <si>
    <t>Durata 6 turni. Solo verticale 6'/round. No movimento orizzontale autonomo.</t>
  </si>
  <si>
    <t>Pozione Forma Gassosa</t>
  </si>
  <si>
    <t>450 mo</t>
  </si>
  <si>
    <t>Durata 1 turno. Passa attraverso fessure. Immune attacchi fisici. No attaccare.</t>
  </si>
  <si>
    <t>Pozione Eroismo</t>
  </si>
  <si>
    <t>350 mo</t>
  </si>
  <si>
    <t>Solo Guerrieri. Durata 1 turno. +1d4 HP temporanei, +2 TxC.</t>
  </si>
  <si>
    <t>Solo Mago/Elfo. Bersaglio invisibile. Termina se attacca. Nemici -4 TxC.</t>
  </si>
  <si>
    <t>Solo Mago/Elfo. Area 10'x10'x10'. TS o intrappolato. Fuoco brucia in 2 round (1d6 danni).</t>
  </si>
  <si>
    <t>Pergamena: Levitazione</t>
  </si>
  <si>
    <t>Solo Mago/Elfo. Solo verticale. Durata 6 turni +1/livello.</t>
  </si>
  <si>
    <t>Pergamena: Bussare</t>
  </si>
  <si>
    <t>Solo Mago/Elfo. Apre una porta chiusa/bloccata/magica.</t>
  </si>
  <si>
    <t>Pergamena: Rimuovi Paralisi</t>
  </si>
  <si>
    <t>Pergamena: Dissolvi Magie</t>
  </si>
  <si>
    <t>Mago/Elfo/Chierico. Rimuove effetti magici. Gittata 120'. Consigliata.</t>
  </si>
  <si>
    <t>Solo Mago/Elfo. 1d6/livello fuoco (max 10d6). TS dimezza. Raggio 20'. Gittata 240'.</t>
  </si>
  <si>
    <t>Solo Mago/Elfo. 1d6/livello (max 10d6). TS dimezza. Linea 60'x5'. Rimbalza.</t>
  </si>
  <si>
    <t>Pergamena: Blocca Persone</t>
  </si>
  <si>
    <t>Spada corta +1</t>
  </si>
  <si>
    <t>1500 mo</t>
  </si>
  <si>
    <t>1d6+1 danni. +1 TxC. Una mano.</t>
  </si>
  <si>
    <t>Spada lunga +1</t>
  </si>
  <si>
    <t>2000 mo</t>
  </si>
  <si>
    <t>1d8+1 danni. +1 TxC. Una mano.</t>
  </si>
  <si>
    <t>Mazza +1</t>
  </si>
  <si>
    <t>1d6+1 danni. +1 TxC. Contundente, danni pieni vs scheletri.</t>
  </si>
  <si>
    <t>Martello da guerra +1</t>
  </si>
  <si>
    <t>Daga +1</t>
  </si>
  <si>
    <t>1000 mo</t>
  </si>
  <si>
    <t>1d4+1 danni. +1 TxC. Lanciabile 10'/20'/30'.</t>
  </si>
  <si>
    <t>Arco corto +1</t>
  </si>
  <si>
    <t>3000 mo</t>
  </si>
  <si>
    <t>1d6+1 danni. +1 TxC. Gittata 50'/100'/150'. Due mani.</t>
  </si>
  <si>
    <t>Frecce +1 (10)</t>
  </si>
  <si>
    <t>+1 TxC e danni. Non recuperabili.</t>
  </si>
  <si>
    <t>Armatura di cuoio +1</t>
  </si>
  <si>
    <t>Cotta di maglia +1</t>
  </si>
  <si>
    <t>3500 mo</t>
  </si>
  <si>
    <t>Scudo +1</t>
  </si>
  <si>
    <t>CA +2 totale. Una mano occupata.</t>
  </si>
  <si>
    <t>Anello Protezione +1</t>
  </si>
  <si>
    <t>5000 mo</t>
  </si>
  <si>
    <t>+1 CA e +1 tutti i TS. Non cumulabile con armatura magica.</t>
  </si>
  <si>
    <t>Stivali Elfici</t>
  </si>
  <si>
    <t>Movimento silenzioso. Sorpresa 1-4 su d6.</t>
  </si>
  <si>
    <t>Mantello Elfico</t>
  </si>
  <si>
    <t>Quasi invisibile se immobile. Sorpresa 1-4 su d6 (1-5 con stivali).</t>
  </si>
  <si>
    <t>Corda Arrampicata</t>
  </si>
  <si>
    <t>15m. Si arrampica su comando. Regge 500 kg.</t>
  </si>
  <si>
    <t>Borsa Conservante</t>
  </si>
  <si>
    <t>2500 mo</t>
  </si>
  <si>
    <t>Contiene 500 mo di peso, pesa sempre 5 mo.</t>
  </si>
  <si>
    <t>--- EMPORIO ---</t>
  </si>
  <si>
    <t>C</t>
  </si>
  <si>
    <t>--- ARMERIA ---</t>
  </si>
  <si>
    <t>G</t>
  </si>
  <si>
    <t>--- STALLA ---</t>
  </si>
  <si>
    <t>--- TEMPIO ---</t>
  </si>
  <si>
    <t>Servizio: Cura Ferite Leggere</t>
  </si>
  <si>
    <t>Chierico cura 1d6+1 HP.</t>
  </si>
  <si>
    <t>Servizio: Cura Malattie</t>
  </si>
  <si>
    <t>Chierico rimuove una malattia.</t>
  </si>
  <si>
    <t>Servizio: Rimuovi Maledizione</t>
  </si>
  <si>
    <t>Chierico rimuove una maledizione.</t>
  </si>
  <si>
    <t>Servizio: Resuscitare Morti</t>
  </si>
  <si>
    <t>--- BOTTEGA DEL MAGO ---</t>
  </si>
  <si>
    <t>--- RARO (ricerca/contatti) ---</t>
  </si>
  <si>
    <t>R</t>
  </si>
  <si>
    <t>--- SERVIZI ---</t>
  </si>
  <si>
    <t>Lanciato 10'/20'/30': TxC vs CA 9. 1d8 fuoco, brucia 2 R (1d8/R).</t>
  </si>
  <si>
    <t>Accendere fuoco: 1 R.</t>
  </si>
  <si>
    <t>Blocca porta: nemico deve sfondare. Rimuovere: 1 turno (1 R con martello).</t>
  </si>
  <si>
    <t>1d6 danni. Gittata 60'/120'/180'. Due mani. Ricarica 1 R.</t>
  </si>
  <si>
    <t>1d8 danni. Gittata 80'/160'/240'. Due mani. Ricarica 2 R.</t>
  </si>
  <si>
    <t>Pozioni Cura — "Bevi prima di morire!"   /   Pergamena Fulmine — "60 piedi di 'non mi hai sentito la prima volta'."</t>
  </si>
  <si>
    <t>Paletti argento (3)</t>
  </si>
  <si>
    <t>Come legno. Funziona anche su licantropi paralizzati.</t>
  </si>
  <si>
    <t>Incenso sacro (6 bastoncini)</t>
  </si>
  <si>
    <t>Brucia 1 ora. Spiriti minori evitano l'area 10'.</t>
  </si>
  <si>
    <t>Candele benedette (6)</t>
  </si>
  <si>
    <t>Luce 5', 2 ore. Non-morti -1 TxC entro la luce.</t>
  </si>
  <si>
    <t>Olio sacro (fiala)</t>
  </si>
  <si>
    <t>Unge arma: +1 danno vs non-morti per 1 combattimento.</t>
  </si>
  <si>
    <t>Sale consacrato (sacchetto)</t>
  </si>
  <si>
    <t>Linea di sale: non-morti minori (1 DV) non attraversano.</t>
  </si>
  <si>
    <t>Testo sacro</t>
  </si>
  <si>
    <t>Libro delle preghiere. Necessario per alcuni rituali.</t>
  </si>
  <si>
    <t>Cero funerario (3)</t>
  </si>
  <si>
    <t>Impedisce a un cadavere di risorgere come non-morto per 24 ore.</t>
  </si>
  <si>
    <t>Pergamena: Purifica Cibo e Acqua</t>
  </si>
  <si>
    <t>Pergamena: Silenzio 15'</t>
  </si>
  <si>
    <t>Solo Chierico. Nessun suono in area 15'. Blocca incantesimi verbali. Durata 12 turni.</t>
  </si>
  <si>
    <t>Solo Chierico. Paralizza 1d4 umanoidi. TS nega. Durata 1 turno +1/livello.</t>
  </si>
  <si>
    <t>Pergamena: Parlare con Animali</t>
  </si>
  <si>
    <t>Solo Chierico. Comunica con animali normali. Durata 6 turni.</t>
  </si>
  <si>
    <t>Pergamena: Trovare Trappole</t>
  </si>
  <si>
    <t>Solo Chierico. Rileva trappole entro 30'. Durata 2 turni.</t>
  </si>
  <si>
    <t>Pergamena: Cura Malattie</t>
  </si>
  <si>
    <t>Solo Chierico. Rimuove qualsiasi malattia. Tocco.</t>
  </si>
  <si>
    <t>Pergamena: Cura Ferite Gravi</t>
  </si>
  <si>
    <t>Solo Chierico. Cura 2d6+2 HP. Tocco.</t>
  </si>
  <si>
    <t>Pergamena: Neutralizza Veleno</t>
  </si>
  <si>
    <t>Solo Chierico. Rimuove qualsiasi veleno. Tocco.</t>
  </si>
  <si>
    <t>Servizio: Benedizione viaggio</t>
  </si>
  <si>
    <t>+1 primo TS del giorno. Dura fino al tramonto.</t>
  </si>
  <si>
    <t>Servizio: Neutralizza Veleno</t>
  </si>
  <si>
    <t>Chierico rimuove veleno dal corpo.</t>
  </si>
  <si>
    <t>Chierico riporta in vita (max 4 giorni dalla morte). TS Veleno o fallisce.</t>
  </si>
  <si>
    <t>Servizio: Sepoltura consacrata</t>
  </si>
  <si>
    <t>Rito funebre. Impedisce resurrezione come non-morto.</t>
  </si>
  <si>
    <t>Servizio: Consacrazione acqua</t>
  </si>
  <si>
    <t>Trasforma 1 fiala d'acqua in acqua santa.</t>
  </si>
  <si>
    <t>Donazione (alloggio tempio)</t>
  </si>
  <si>
    <t>Letto in dormitorio comune. Pasto frugale incluso.</t>
  </si>
  <si>
    <t>Solo Chierico. Cura 1d6+1 HP. Tocco.</t>
  </si>
  <si>
    <t>Solo Chierico. Purifica cibo/acqua per 12 persone.</t>
  </si>
  <si>
    <t>Solo Chierico. Rimuove paralisi da 1d4 creature.</t>
  </si>
  <si>
    <t>Turibolo (incensiere)</t>
  </si>
  <si>
    <t>Diffonde incenso in area 20'. Necessario per rituali di purificazione.</t>
  </si>
  <si>
    <t>Fiala vuota benedetta</t>
  </si>
  <si>
    <t>Può contenere acqua santa senza perdere proprietà.</t>
  </si>
  <si>
    <t>Unguento curativo (3 usi)</t>
  </si>
  <si>
    <t>Cura 1 HP per uso. Non magico. Applicare richiede 1 turno.</t>
  </si>
  <si>
    <t>Pozione Lettura Linguaggi</t>
  </si>
  <si>
    <t>Durata 2 turni. Legge qualsiasi lingua scritta (non codici magici).</t>
  </si>
  <si>
    <t>Pozione ESP</t>
  </si>
  <si>
    <t>Durata 6 turni. Legge pensieri entro 60'. Bloccata da 60cm di pietra.</t>
  </si>
  <si>
    <t>Pozione Respirare Sott'acqua</t>
  </si>
  <si>
    <t>Durata 4 ore. Respira normalmente sott'acqua.</t>
  </si>
  <si>
    <t>Pozione Crescita</t>
  </si>
  <si>
    <t>Durata 2 turni. Raddoppia dimensioni. FOR +4, danni x2.</t>
  </si>
  <si>
    <t>Pozione Diminuzione</t>
  </si>
  <si>
    <t>Durata 2 turni. Riduce a 15cm. CA +4 vs creature grandi.</t>
  </si>
  <si>
    <t>Pozione Scurovisione</t>
  </si>
  <si>
    <t>Durata 6 turni. Vede al buio 60' (bianco e nero).</t>
  </si>
  <si>
    <t>Inchiostro magico (fiala)</t>
  </si>
  <si>
    <t>Necessario per copiare incantesimi. 1 fiala = 1 incantesimo.</t>
  </si>
  <si>
    <t>Pergamena: Lettura Linguaggi</t>
  </si>
  <si>
    <t>Solo Mago/Elfo. Legge qualsiasi lingua scritta. Durata 2 turni.</t>
  </si>
  <si>
    <t>Pergamena: Scurovisione</t>
  </si>
  <si>
    <t>Solo Mago/Elfo. Vede al buio 60'. Durata 6 turni.</t>
  </si>
  <si>
    <t>Pergamena: Volare</t>
  </si>
  <si>
    <t>Solo Mago/Elfo. Movimento 120'. Durata 1d6 turni +1/livello.</t>
  </si>
  <si>
    <t>Pergamena: Velocità</t>
  </si>
  <si>
    <t>Solo Mago/Elfo. Movimento x2, 2 attacchi/round. Durata 3 turni.</t>
  </si>
  <si>
    <t>Servizio: Identificazione oggetto</t>
  </si>
  <si>
    <t>Mago identifica proprietà di 1 oggetto magico.</t>
  </si>
  <si>
    <t>Servizio: Lettura pergamena</t>
  </si>
  <si>
    <t>Mago legge una pergamena non magica in lingua sconosciuta.</t>
  </si>
  <si>
    <t>V = Villaggio</t>
  </si>
  <si>
    <t>P = Paese</t>
  </si>
  <si>
    <t>C = Piccola Città</t>
  </si>
  <si>
    <t>G = Media/Grande Città</t>
  </si>
  <si>
    <t>R = Raro (ricerca/contatti)</t>
  </si>
  <si>
    <t>2/Spada + 1</t>
  </si>
  <si>
    <t>3/Spada a due mani + 1</t>
  </si>
  <si>
    <t>S. due Mani</t>
  </si>
  <si>
    <t>1d10+3</t>
  </si>
  <si>
    <t>2/Ascia da Battaglia + 1</t>
  </si>
  <si>
    <t>1 mano  1d6+2</t>
  </si>
  <si>
    <t>1/Spada Corta + 1</t>
  </si>
  <si>
    <t>1d6+2</t>
  </si>
  <si>
    <t xml:space="preserve"> ½ Mov.</t>
  </si>
  <si>
    <t>2/Bastone + 1</t>
  </si>
  <si>
    <t>Spada due mani</t>
  </si>
  <si>
    <t>Attacca per Ultimo</t>
  </si>
  <si>
    <t>16 dm</t>
  </si>
  <si>
    <t>12 dm</t>
  </si>
  <si>
    <t>Carica +2TxC +2CA min.4□ | Ritirata difensiva ½Mv nega attacco nemico | Difesa totale -2CA ½Mv</t>
  </si>
  <si>
    <t>Spinta 1d20+mod.FOR vs +1□ | Disarmo -4TxC | Parare(F) -4CA ½Mv | Colpo potente(F) -5TxC +5PF</t>
  </si>
  <si>
    <t>Afferrrare TxC vs CA, Liberarsi da presa 1d20+mod.FOR vs, Azione Pronta inter. turno nemico</t>
  </si>
  <si>
    <t xml:space="preserve">Scambiare Posizione ½Mv | Attraversare alleati +1□ | Passare oggetto: chi passa usa azione </t>
  </si>
  <si>
    <t>Combattimento in fila: 2* fila armi lunghe | Preparare per carica Dannox2</t>
  </si>
  <si>
    <t>Prone: +2 TxC nemici, ½Mv per alzarsi | Raccolgiere arma: Mov.+Racc. o Racc.+Att.  </t>
  </si>
  <si>
    <t>Copertura: Parziale -2TxC +2CA, Quasi Tot. -4TxC +4CA | Area: Parz. +2 TS, Quasi Tot. +4 TS</t>
  </si>
  <si>
    <t>Tiro oltre 1* PG/Mostri: -2TxC Lancio/-4TxC Tiro, 1/1-2 Colpito Alleato</t>
  </si>
  <si>
    <t>Palla di Fuoco 5d6 G48□ R4□</t>
  </si>
  <si>
    <t>TxC Distanza: corta +1, normale 0, lunga -1</t>
  </si>
  <si>
    <t>Ellis Drolle</t>
  </si>
  <si>
    <t>Zona</t>
  </si>
  <si>
    <t>Per pozioni emporio del mago</t>
  </si>
  <si>
    <t>CA -1. Una mano occupata.</t>
  </si>
  <si>
    <t>CA -2. Una mano occupata. -10' Mov. -2□</t>
  </si>
  <si>
    <t>CA 8</t>
  </si>
  <si>
    <t>CA 7</t>
  </si>
  <si>
    <t>CA 6</t>
  </si>
  <si>
    <t>CA 5</t>
  </si>
  <si>
    <t>CA 4</t>
  </si>
  <si>
    <t>Armatura a Piastre</t>
  </si>
  <si>
    <t>CA 3</t>
  </si>
  <si>
    <t>Armatura a Piastre Completa</t>
  </si>
  <si>
    <t>120 mo</t>
  </si>
  <si>
    <t>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</si>
</sst>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6"/>
      <color theme="8" tint="-0.249977111117893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6"/>
      <color theme="5"/>
      <name val="Aptos Narrow"/>
      <family val="2"/>
      <scheme val="minor"/>
    </font>
    <font>
      <b/>
      <sz val="16"/>
      <color theme="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rgb="FFC00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11"/>
      <color theme="1"/>
      <name val="Aptos"/>
      <family val="2"/>
    </font>
    <font>
      <b/>
      <sz val="14"/>
      <color theme="0"/>
      <name val="Aptos"/>
      <family val="2"/>
    </font>
    <font>
      <b/>
      <sz val="12"/>
      <color theme="0"/>
      <name val="Aptos"/>
      <family val="2"/>
    </font>
    <font>
      <b/>
      <sz val="11"/>
      <color theme="0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b/>
      <sz val="10"/>
      <color theme="1"/>
      <name val="Aptos Narrow"/>
      <family val="2"/>
      <scheme val="minor"/>
    </font>
    <font>
      <b/>
      <sz val="16"/>
      <name val="Aptos Black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i/>
      <sz val="1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2"/>
      <name val="Aptos"/>
      <family val="2"/>
    </font>
    <font>
      <sz val="10"/>
      <name val="Aptos Narrow"/>
      <family val="2"/>
      <scheme val="minor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20"/>
      <color theme="6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0"/>
      <name val="Aptos"/>
      <family val="2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sz val="8"/>
      <color theme="1"/>
      <name val="Aptos Narrow"/>
      <family val="2"/>
      <scheme val="minor"/>
    </font>
    <font>
      <sz val="9"/>
      <color rgb="FFC00000"/>
      <name val="Aptos"/>
      <family val="2"/>
    </font>
    <font>
      <b/>
      <sz val="18"/>
      <color theme="9"/>
      <name val="Aptos Narrow"/>
      <family val="2"/>
      <scheme val="minor"/>
    </font>
    <font>
      <b/>
      <sz val="10"/>
      <color theme="9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74999237037263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0" borderId="3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2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20" fillId="12" borderId="0" xfId="0" applyFont="1" applyFill="1"/>
    <xf numFmtId="0" fontId="20" fillId="12" borderId="0" xfId="0" applyFont="1" applyFill="1" applyAlignment="1">
      <alignment horizontal="left"/>
    </xf>
    <xf numFmtId="0" fontId="20" fillId="11" borderId="0" xfId="0" applyFont="1" applyFill="1" applyAlignment="1">
      <alignment horizontal="left" vertical="center"/>
    </xf>
    <xf numFmtId="0" fontId="20" fillId="11" borderId="0" xfId="0" applyFont="1" applyFill="1" applyAlignment="1">
      <alignment vertical="center"/>
    </xf>
    <xf numFmtId="0" fontId="20" fillId="11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0" fillId="7" borderId="0" xfId="0" applyFill="1" applyAlignment="1">
      <alignment vertical="center"/>
    </xf>
    <xf numFmtId="0" fontId="25" fillId="7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left"/>
    </xf>
    <xf numFmtId="0" fontId="0" fillId="10" borderId="0" xfId="0" applyFill="1"/>
    <xf numFmtId="0" fontId="11" fillId="0" borderId="0" xfId="0" applyFont="1"/>
    <xf numFmtId="0" fontId="36" fillId="0" borderId="0" xfId="0" applyFont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0" fillId="4" borderId="0" xfId="0" applyFill="1" applyAlignment="1">
      <alignment vertical="center"/>
    </xf>
    <xf numFmtId="0" fontId="7" fillId="0" borderId="0" xfId="0" applyFont="1" applyAlignment="1">
      <alignment horizontal="right"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1" fillId="0" borderId="0" xfId="0" applyFont="1"/>
    <xf numFmtId="0" fontId="31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5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13" fillId="6" borderId="0" xfId="0" applyFont="1" applyFill="1" applyAlignment="1">
      <alignment vertical="center"/>
    </xf>
    <xf numFmtId="0" fontId="24" fillId="9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0" fillId="5" borderId="0" xfId="0" applyFont="1" applyFill="1" applyAlignment="1">
      <alignment vertical="center"/>
    </xf>
    <xf numFmtId="0" fontId="12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0" borderId="1" xfId="0" applyFont="1" applyBorder="1"/>
    <xf numFmtId="0" fontId="0" fillId="0" borderId="1" xfId="0" applyBorder="1" applyAlignment="1">
      <alignment horizontal="center"/>
    </xf>
    <xf numFmtId="0" fontId="3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41" fillId="0" borderId="0" xfId="0" applyFont="1" applyAlignment="1">
      <alignment horizontal="center" vertical="center" wrapText="1"/>
    </xf>
    <xf numFmtId="0" fontId="40" fillId="14" borderId="0" xfId="0" applyFont="1" applyFill="1" applyAlignment="1">
      <alignment horizontal="left" vertical="center" wrapText="1"/>
    </xf>
    <xf numFmtId="0" fontId="19" fillId="14" borderId="0" xfId="0" applyFont="1" applyFill="1" applyAlignment="1">
      <alignment horizontal="left" vertical="center" wrapText="1"/>
    </xf>
    <xf numFmtId="0" fontId="19" fillId="14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left" vertical="center" wrapText="1"/>
    </xf>
    <xf numFmtId="0" fontId="21" fillId="14" borderId="0" xfId="0" applyFont="1" applyFill="1" applyAlignment="1">
      <alignment horizontal="center" vertical="center" wrapText="1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left" vertical="center" wrapText="1"/>
    </xf>
    <xf numFmtId="0" fontId="34" fillId="13" borderId="0" xfId="0" applyFont="1" applyFill="1" applyAlignment="1">
      <alignment horizontal="right" vertical="center"/>
    </xf>
    <xf numFmtId="0" fontId="0" fillId="10" borderId="6" xfId="0" applyFill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0" borderId="0" xfId="0" quotePrefix="1" applyFont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42" fillId="0" borderId="5" xfId="0" applyFont="1" applyBorder="1" applyAlignment="1">
      <alignment vertical="center"/>
    </xf>
    <xf numFmtId="0" fontId="11" fillId="0" borderId="12" xfId="0" applyFont="1" applyBorder="1" applyAlignment="1">
      <alignment horizontal="left"/>
    </xf>
    <xf numFmtId="0" fontId="0" fillId="0" borderId="12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right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5" fillId="0" borderId="12" xfId="0" quotePrefix="1" applyFont="1" applyBorder="1" applyAlignment="1">
      <alignment horizontal="right" vertical="center"/>
    </xf>
    <xf numFmtId="0" fontId="43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7" borderId="0" xfId="0" applyFont="1" applyFill="1" applyAlignment="1">
      <alignment horizontal="left" vertical="center" wrapText="1"/>
    </xf>
    <xf numFmtId="0" fontId="36" fillId="7" borderId="0" xfId="0" applyFont="1" applyFill="1" applyAlignment="1">
      <alignment horizontal="center" vertical="center" wrapText="1"/>
    </xf>
    <xf numFmtId="0" fontId="36" fillId="7" borderId="0" xfId="0" applyFont="1" applyFill="1" applyAlignment="1">
      <alignment horizontal="left" vertical="center" wrapText="1"/>
    </xf>
    <xf numFmtId="0" fontId="35" fillId="7" borderId="0" xfId="0" applyFont="1" applyFill="1" applyAlignment="1">
      <alignment horizontal="center" vertical="center" wrapText="1"/>
    </xf>
    <xf numFmtId="0" fontId="35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28" fillId="4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7" fillId="4" borderId="0" xfId="0" applyFont="1" applyFill="1" applyAlignment="1">
      <alignment horizontal="left" vertical="center"/>
    </xf>
    <xf numFmtId="0" fontId="28" fillId="4" borderId="0" xfId="0" applyFont="1" applyFill="1" applyAlignment="1">
      <alignment horizontal="left" vertical="center"/>
    </xf>
    <xf numFmtId="0" fontId="0" fillId="10" borderId="6" xfId="0" applyFill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42" fillId="0" borderId="1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42" fillId="0" borderId="1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12" xfId="0" applyBorder="1" applyAlignment="1">
      <alignment horizontal="center"/>
    </xf>
    <xf numFmtId="0" fontId="35" fillId="4" borderId="0" xfId="0" applyFont="1" applyFill="1" applyAlignment="1">
      <alignment horizontal="left" vertical="center" wrapText="1"/>
    </xf>
    <xf numFmtId="0" fontId="35" fillId="4" borderId="0" xfId="0" applyFont="1" applyFill="1" applyAlignment="1">
      <alignment horizontal="center" vertical="center" wrapText="1"/>
    </xf>
    <xf numFmtId="0" fontId="36" fillId="4" borderId="0" xfId="0" applyFont="1" applyFill="1" applyAlignment="1">
      <alignment horizontal="center" vertical="center" wrapText="1"/>
    </xf>
    <xf numFmtId="0" fontId="36" fillId="4" borderId="0" xfId="0" applyFont="1" applyFill="1" applyAlignment="1">
      <alignment horizontal="left" vertical="center" wrapText="1"/>
    </xf>
    <xf numFmtId="0" fontId="35" fillId="16" borderId="0" xfId="0" applyFont="1" applyFill="1" applyAlignment="1">
      <alignment horizontal="left" vertical="center" wrapText="1"/>
    </xf>
    <xf numFmtId="0" fontId="35" fillId="16" borderId="0" xfId="0" applyFont="1" applyFill="1" applyAlignment="1">
      <alignment horizontal="center" vertical="center" wrapText="1"/>
    </xf>
    <xf numFmtId="0" fontId="36" fillId="16" borderId="0" xfId="0" applyFont="1" applyFill="1" applyAlignment="1">
      <alignment horizontal="center" vertical="center" wrapText="1"/>
    </xf>
    <xf numFmtId="0" fontId="36" fillId="16" borderId="0" xfId="0" applyFont="1" applyFill="1" applyAlignment="1">
      <alignment horizontal="left" vertical="center" wrapText="1"/>
    </xf>
    <xf numFmtId="0" fontId="35" fillId="10" borderId="0" xfId="0" applyFont="1" applyFill="1" applyAlignment="1">
      <alignment horizontal="left" vertical="center" wrapText="1"/>
    </xf>
    <xf numFmtId="0" fontId="35" fillId="10" borderId="0" xfId="0" applyFont="1" applyFill="1" applyAlignment="1">
      <alignment horizontal="center" vertical="center" wrapText="1"/>
    </xf>
    <xf numFmtId="0" fontId="36" fillId="10" borderId="0" xfId="0" applyFont="1" applyFill="1" applyAlignment="1">
      <alignment horizontal="center" vertical="center" wrapText="1"/>
    </xf>
    <xf numFmtId="0" fontId="36" fillId="10" borderId="0" xfId="0" applyFont="1" applyFill="1" applyAlignment="1">
      <alignment horizontal="left" vertical="center" wrapText="1"/>
    </xf>
    <xf numFmtId="0" fontId="36" fillId="0" borderId="0" xfId="0" applyFont="1" applyAlignment="1">
      <alignment horizontal="right" vertical="center" wrapText="1"/>
    </xf>
    <xf numFmtId="0" fontId="24" fillId="3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1" fillId="14" borderId="0" xfId="0" applyFont="1" applyFill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center" wrapText="1"/>
    </xf>
    <xf numFmtId="0" fontId="12" fillId="0" borderId="0" xfId="0" quotePrefix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20" fillId="15" borderId="9" xfId="0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35" fillId="9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39" fillId="13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34" fillId="13" borderId="0" xfId="0" applyFont="1" applyFill="1" applyAlignment="1">
      <alignment horizontal="center" vertical="center" wrapText="1"/>
    </xf>
    <xf numFmtId="0" fontId="20" fillId="17" borderId="0" xfId="0" applyFont="1" applyFill="1" applyAlignment="1">
      <alignment horizontal="center" vertical="center" wrapText="1"/>
    </xf>
  </cellXfs>
  <cellStyles count="3">
    <cellStyle name="Migliaia" xfId="1" builtinId="3"/>
    <cellStyle name="Migliaia 2" xfId="2" xr:uid="{DF04117C-163E-4146-A757-6E01626FAE5C}"/>
    <cellStyle name="Normale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31.svg"/><Relationship Id="rId26" Type="http://schemas.openxmlformats.org/officeDocument/2006/relationships/image" Target="../media/image34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28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7.svg"/><Relationship Id="rId16" Type="http://schemas.openxmlformats.org/officeDocument/2006/relationships/image" Target="../media/image30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33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29.svg"/><Relationship Id="rId22" Type="http://schemas.openxmlformats.org/officeDocument/2006/relationships/image" Target="../media/image3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8466</xdr:colOff>
      <xdr:row>16</xdr:row>
      <xdr:rowOff>49830</xdr:rowOff>
    </xdr:from>
    <xdr:to>
      <xdr:col>16</xdr:col>
      <xdr:colOff>394545</xdr:colOff>
      <xdr:row>16</xdr:row>
      <xdr:rowOff>178524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5C97CF2D-8A93-4C37-A52E-C5480DF5FC99}"/>
            </a:ext>
          </a:extLst>
        </xdr:cNvPr>
        <xdr:cNvGrpSpPr/>
      </xdr:nvGrpSpPr>
      <xdr:grpSpPr>
        <a:xfrm>
          <a:off x="4056591" y="3555030"/>
          <a:ext cx="2814954" cy="128694"/>
          <a:chOff x="4031826" y="3578013"/>
          <a:chExt cx="2799079" cy="128694"/>
        </a:xfrm>
      </xdr:grpSpPr>
      <xdr:grpSp>
        <xdr:nvGrpSpPr>
          <xdr:cNvPr id="3" name="Gruppo 2">
            <a:extLst>
              <a:ext uri="{FF2B5EF4-FFF2-40B4-BE49-F238E27FC236}">
                <a16:creationId xmlns:a16="http://schemas.microsoft.com/office/drawing/2014/main" id="{7484B5E6-800B-5524-AB46-68906252E665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8" name="Elemento grafico 17" descr="Smile di Harvey Ball 0% con riempimento a tinta unita">
              <a:extLst>
                <a:ext uri="{FF2B5EF4-FFF2-40B4-BE49-F238E27FC236}">
                  <a16:creationId xmlns:a16="http://schemas.microsoft.com/office/drawing/2014/main" id="{14BCC51D-9CD7-BAB6-63E4-D6FE26D88F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" name="Elemento grafico 18" descr="Smile di Harvey Ball 0% con riempimento a tinta unita">
              <a:extLst>
                <a:ext uri="{FF2B5EF4-FFF2-40B4-BE49-F238E27FC236}">
                  <a16:creationId xmlns:a16="http://schemas.microsoft.com/office/drawing/2014/main" id="{B146D291-A751-7A0F-C192-A8043BC448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" name="Elemento grafico 19" descr="Smile di Harvey Ball 0% con riempimento a tinta unita">
              <a:extLst>
                <a:ext uri="{FF2B5EF4-FFF2-40B4-BE49-F238E27FC236}">
                  <a16:creationId xmlns:a16="http://schemas.microsoft.com/office/drawing/2014/main" id="{C22B85F0-E0E8-0AF7-4BF7-1266E618DE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1" name="Elemento grafico 20" descr="Smile di Harvey Ball 0% con riempimento a tinta unita">
              <a:extLst>
                <a:ext uri="{FF2B5EF4-FFF2-40B4-BE49-F238E27FC236}">
                  <a16:creationId xmlns:a16="http://schemas.microsoft.com/office/drawing/2014/main" id="{6CD00739-DA66-10DC-63B8-E741AA693CB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2" name="Elemento grafico 21" descr="Smile di Harvey Ball 0% con riempimento a tinta unita">
              <a:extLst>
                <a:ext uri="{FF2B5EF4-FFF2-40B4-BE49-F238E27FC236}">
                  <a16:creationId xmlns:a16="http://schemas.microsoft.com/office/drawing/2014/main" id="{9C6766E9-D551-EFEF-B7A2-540E62654B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3" name="Elemento grafico 22" descr="Smile di Harvey Ball 0% con riempimento a tinta unita">
              <a:extLst>
                <a:ext uri="{FF2B5EF4-FFF2-40B4-BE49-F238E27FC236}">
                  <a16:creationId xmlns:a16="http://schemas.microsoft.com/office/drawing/2014/main" id="{017D560A-5AE5-7531-8D64-105EF3D9D0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" name="Gruppo 3">
            <a:extLst>
              <a:ext uri="{FF2B5EF4-FFF2-40B4-BE49-F238E27FC236}">
                <a16:creationId xmlns:a16="http://schemas.microsoft.com/office/drawing/2014/main" id="{9DA8819C-1CA7-4CA3-1029-81E543C029D0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" name="Elemento grafico 11" descr="Smile di Harvey Ball 0% con riempimento a tinta unita">
              <a:extLst>
                <a:ext uri="{FF2B5EF4-FFF2-40B4-BE49-F238E27FC236}">
                  <a16:creationId xmlns:a16="http://schemas.microsoft.com/office/drawing/2014/main" id="{91951B14-66C6-A611-8D93-8CB3CD025F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" name="Elemento grafico 12" descr="Smile di Harvey Ball 0% con riempimento a tinta unita">
              <a:extLst>
                <a:ext uri="{FF2B5EF4-FFF2-40B4-BE49-F238E27FC236}">
                  <a16:creationId xmlns:a16="http://schemas.microsoft.com/office/drawing/2014/main" id="{875C8F21-3A6E-A61F-2A79-9E0C37F46C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" name="Elemento grafico 13" descr="Smile di Harvey Ball 0% con riempimento a tinta unita">
              <a:extLst>
                <a:ext uri="{FF2B5EF4-FFF2-40B4-BE49-F238E27FC236}">
                  <a16:creationId xmlns:a16="http://schemas.microsoft.com/office/drawing/2014/main" id="{07E66059-CB83-F4EE-294D-C860A0D297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" name="Elemento grafico 14" descr="Smile di Harvey Ball 0% con riempimento a tinta unita">
              <a:extLst>
                <a:ext uri="{FF2B5EF4-FFF2-40B4-BE49-F238E27FC236}">
                  <a16:creationId xmlns:a16="http://schemas.microsoft.com/office/drawing/2014/main" id="{75134CBA-9DD6-D342-7E68-03EC3BE459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" name="Elemento grafico 15" descr="Smile di Harvey Ball 0% con riempimento a tinta unita">
              <a:extLst>
                <a:ext uri="{FF2B5EF4-FFF2-40B4-BE49-F238E27FC236}">
                  <a16:creationId xmlns:a16="http://schemas.microsoft.com/office/drawing/2014/main" id="{786EF086-A962-A0E8-1175-509888DE994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" name="Elemento grafico 16" descr="Smile di Harvey Ball 0% con riempimento a tinta unita">
              <a:extLst>
                <a:ext uri="{FF2B5EF4-FFF2-40B4-BE49-F238E27FC236}">
                  <a16:creationId xmlns:a16="http://schemas.microsoft.com/office/drawing/2014/main" id="{C899A229-482D-4C79-3E2D-E0BC8A8180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5" name="Gruppo 4">
            <a:extLst>
              <a:ext uri="{FF2B5EF4-FFF2-40B4-BE49-F238E27FC236}">
                <a16:creationId xmlns:a16="http://schemas.microsoft.com/office/drawing/2014/main" id="{E0886BBA-C3EB-D239-FCD4-DA6CBB2E9DB6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6" name="Elemento grafico 5" descr="Smile di Harvey Ball 0% con riempimento a tinta unita">
              <a:extLst>
                <a:ext uri="{FF2B5EF4-FFF2-40B4-BE49-F238E27FC236}">
                  <a16:creationId xmlns:a16="http://schemas.microsoft.com/office/drawing/2014/main" id="{212E692B-0907-A700-16B0-5A78A6B24A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" name="Elemento grafico 6" descr="Smile di Harvey Ball 0% con riempimento a tinta unita">
              <a:extLst>
                <a:ext uri="{FF2B5EF4-FFF2-40B4-BE49-F238E27FC236}">
                  <a16:creationId xmlns:a16="http://schemas.microsoft.com/office/drawing/2014/main" id="{1CF2EEDE-EEC2-F83E-34C0-0FB17762C8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" name="Elemento grafico 7" descr="Smile di Harvey Ball 0% con riempimento a tinta unita">
              <a:extLst>
                <a:ext uri="{FF2B5EF4-FFF2-40B4-BE49-F238E27FC236}">
                  <a16:creationId xmlns:a16="http://schemas.microsoft.com/office/drawing/2014/main" id="{32C8A7AF-578B-9044-FFD3-D27CCE2E8AF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" name="Elemento grafico 8" descr="Smile di Harvey Ball 0% con riempimento a tinta unita">
              <a:extLst>
                <a:ext uri="{FF2B5EF4-FFF2-40B4-BE49-F238E27FC236}">
                  <a16:creationId xmlns:a16="http://schemas.microsoft.com/office/drawing/2014/main" id="{776026F9-0AD0-4C09-7E80-BBBFF1EF6A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" name="Elemento grafico 9" descr="Smile di Harvey Ball 0% con riempimento a tinta unita">
              <a:extLst>
                <a:ext uri="{FF2B5EF4-FFF2-40B4-BE49-F238E27FC236}">
                  <a16:creationId xmlns:a16="http://schemas.microsoft.com/office/drawing/2014/main" id="{6E44C388-606C-3850-DE6C-25F3A4A18F9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" name="Elemento grafico 10" descr="Smile di Harvey Ball 0% con riempimento a tinta unita">
              <a:extLst>
                <a:ext uri="{FF2B5EF4-FFF2-40B4-BE49-F238E27FC236}">
                  <a16:creationId xmlns:a16="http://schemas.microsoft.com/office/drawing/2014/main" id="{88108A44-AB07-C014-5DFD-7707C20EED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17</xdr:row>
      <xdr:rowOff>49346</xdr:rowOff>
    </xdr:from>
    <xdr:to>
      <xdr:col>16</xdr:col>
      <xdr:colOff>394545</xdr:colOff>
      <xdr:row>17</xdr:row>
      <xdr:rowOff>178040</xdr:rowOff>
    </xdr:to>
    <xdr:grpSp>
      <xdr:nvGrpSpPr>
        <xdr:cNvPr id="24" name="Gruppo 23">
          <a:extLst>
            <a:ext uri="{FF2B5EF4-FFF2-40B4-BE49-F238E27FC236}">
              <a16:creationId xmlns:a16="http://schemas.microsoft.com/office/drawing/2014/main" id="{BB52A0E7-C515-4581-A64D-6171EEBD9272}"/>
            </a:ext>
          </a:extLst>
        </xdr:cNvPr>
        <xdr:cNvGrpSpPr/>
      </xdr:nvGrpSpPr>
      <xdr:grpSpPr>
        <a:xfrm>
          <a:off x="4056591" y="3773621"/>
          <a:ext cx="2814954" cy="128694"/>
          <a:chOff x="4031826" y="3578013"/>
          <a:chExt cx="2799079" cy="128694"/>
        </a:xfrm>
      </xdr:grpSpPr>
      <xdr:grpSp>
        <xdr:nvGrpSpPr>
          <xdr:cNvPr id="25" name="Gruppo 24">
            <a:extLst>
              <a:ext uri="{FF2B5EF4-FFF2-40B4-BE49-F238E27FC236}">
                <a16:creationId xmlns:a16="http://schemas.microsoft.com/office/drawing/2014/main" id="{5EB1D98B-A45F-D4BB-E4B4-B42687AC3CD3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40" name="Elemento grafico 39" descr="Smile di Harvey Ball 0% con riempimento a tinta unita">
              <a:extLst>
                <a:ext uri="{FF2B5EF4-FFF2-40B4-BE49-F238E27FC236}">
                  <a16:creationId xmlns:a16="http://schemas.microsoft.com/office/drawing/2014/main" id="{6F187CFE-538D-611A-7D61-EAE2A51A3D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1" name="Elemento grafico 40" descr="Smile di Harvey Ball 0% con riempimento a tinta unita">
              <a:extLst>
                <a:ext uri="{FF2B5EF4-FFF2-40B4-BE49-F238E27FC236}">
                  <a16:creationId xmlns:a16="http://schemas.microsoft.com/office/drawing/2014/main" id="{3A613C57-C4A2-6173-97B1-2C68937FD1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2" name="Elemento grafico 41" descr="Smile di Harvey Ball 0% con riempimento a tinta unita">
              <a:extLst>
                <a:ext uri="{FF2B5EF4-FFF2-40B4-BE49-F238E27FC236}">
                  <a16:creationId xmlns:a16="http://schemas.microsoft.com/office/drawing/2014/main" id="{C865E7B0-9E16-7DD4-2919-72F10AEB79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3" name="Elemento grafico 42" descr="Smile di Harvey Ball 0% con riempimento a tinta unita">
              <a:extLst>
                <a:ext uri="{FF2B5EF4-FFF2-40B4-BE49-F238E27FC236}">
                  <a16:creationId xmlns:a16="http://schemas.microsoft.com/office/drawing/2014/main" id="{4A235428-CC73-3E4D-596F-4356CAD3C7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4" name="Elemento grafico 43" descr="Smile di Harvey Ball 0% con riempimento a tinta unita">
              <a:extLst>
                <a:ext uri="{FF2B5EF4-FFF2-40B4-BE49-F238E27FC236}">
                  <a16:creationId xmlns:a16="http://schemas.microsoft.com/office/drawing/2014/main" id="{BA452689-328B-1DD6-E730-24CE8F705E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5" name="Elemento grafico 44" descr="Smile di Harvey Ball 0% con riempimento a tinta unita">
              <a:extLst>
                <a:ext uri="{FF2B5EF4-FFF2-40B4-BE49-F238E27FC236}">
                  <a16:creationId xmlns:a16="http://schemas.microsoft.com/office/drawing/2014/main" id="{E7B11C84-F044-4297-54FE-B2E663A382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6" name="Gruppo 25">
            <a:extLst>
              <a:ext uri="{FF2B5EF4-FFF2-40B4-BE49-F238E27FC236}">
                <a16:creationId xmlns:a16="http://schemas.microsoft.com/office/drawing/2014/main" id="{2DD58B6F-689B-048B-D56A-FB1C18D4F0B7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34" name="Elemento grafico 33" descr="Smile di Harvey Ball 0% con riempimento a tinta unita">
              <a:extLst>
                <a:ext uri="{FF2B5EF4-FFF2-40B4-BE49-F238E27FC236}">
                  <a16:creationId xmlns:a16="http://schemas.microsoft.com/office/drawing/2014/main" id="{465DA321-1506-ADA0-E942-761F62E974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5" name="Elemento grafico 34" descr="Smile di Harvey Ball 0% con riempimento a tinta unita">
              <a:extLst>
                <a:ext uri="{FF2B5EF4-FFF2-40B4-BE49-F238E27FC236}">
                  <a16:creationId xmlns:a16="http://schemas.microsoft.com/office/drawing/2014/main" id="{3BFF27D8-9400-9721-AEBC-D75A9150F2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6" name="Elemento grafico 35" descr="Smile di Harvey Ball 0% con riempimento a tinta unita">
              <a:extLst>
                <a:ext uri="{FF2B5EF4-FFF2-40B4-BE49-F238E27FC236}">
                  <a16:creationId xmlns:a16="http://schemas.microsoft.com/office/drawing/2014/main" id="{5EA5E79F-AE67-7E4C-1A63-00E964603D8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7" name="Elemento grafico 36" descr="Smile di Harvey Ball 0% con riempimento a tinta unita">
              <a:extLst>
                <a:ext uri="{FF2B5EF4-FFF2-40B4-BE49-F238E27FC236}">
                  <a16:creationId xmlns:a16="http://schemas.microsoft.com/office/drawing/2014/main" id="{6C327478-8AB8-4B5F-0463-8F8ED055CF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8" name="Elemento grafico 37" descr="Smile di Harvey Ball 0% con riempimento a tinta unita">
              <a:extLst>
                <a:ext uri="{FF2B5EF4-FFF2-40B4-BE49-F238E27FC236}">
                  <a16:creationId xmlns:a16="http://schemas.microsoft.com/office/drawing/2014/main" id="{422B731E-50C4-8E6A-D059-783E370BBFF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9" name="Elemento grafico 38" descr="Smile di Harvey Ball 0% con riempimento a tinta unita">
              <a:extLst>
                <a:ext uri="{FF2B5EF4-FFF2-40B4-BE49-F238E27FC236}">
                  <a16:creationId xmlns:a16="http://schemas.microsoft.com/office/drawing/2014/main" id="{6AD5BC3A-F441-13C4-0D66-1C170BCF2F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7" name="Gruppo 26">
            <a:extLst>
              <a:ext uri="{FF2B5EF4-FFF2-40B4-BE49-F238E27FC236}">
                <a16:creationId xmlns:a16="http://schemas.microsoft.com/office/drawing/2014/main" id="{1966FFEA-A38C-DF7F-802C-912FD036EE35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28" name="Elemento grafico 27" descr="Smile di Harvey Ball 0% con riempimento a tinta unita">
              <a:extLst>
                <a:ext uri="{FF2B5EF4-FFF2-40B4-BE49-F238E27FC236}">
                  <a16:creationId xmlns:a16="http://schemas.microsoft.com/office/drawing/2014/main" id="{FD30B70D-1E8B-11A4-B1E3-17E52C77BE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9" name="Elemento grafico 28" descr="Smile di Harvey Ball 0% con riempimento a tinta unita">
              <a:extLst>
                <a:ext uri="{FF2B5EF4-FFF2-40B4-BE49-F238E27FC236}">
                  <a16:creationId xmlns:a16="http://schemas.microsoft.com/office/drawing/2014/main" id="{6436F7D2-1B4B-CE08-080B-5A2C95C910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0" name="Elemento grafico 29" descr="Smile di Harvey Ball 0% con riempimento a tinta unita">
              <a:extLst>
                <a:ext uri="{FF2B5EF4-FFF2-40B4-BE49-F238E27FC236}">
                  <a16:creationId xmlns:a16="http://schemas.microsoft.com/office/drawing/2014/main" id="{F508593E-F498-FA11-1840-63F4CFA03F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1" name="Elemento grafico 30" descr="Smile di Harvey Ball 0% con riempimento a tinta unita">
              <a:extLst>
                <a:ext uri="{FF2B5EF4-FFF2-40B4-BE49-F238E27FC236}">
                  <a16:creationId xmlns:a16="http://schemas.microsoft.com/office/drawing/2014/main" id="{929C9E2E-3215-E392-CFCF-2F99BA2CC31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2" name="Elemento grafico 31" descr="Smile di Harvey Ball 0% con riempimento a tinta unita">
              <a:extLst>
                <a:ext uri="{FF2B5EF4-FFF2-40B4-BE49-F238E27FC236}">
                  <a16:creationId xmlns:a16="http://schemas.microsoft.com/office/drawing/2014/main" id="{1FAB1C78-8ACD-DD23-8363-2B05D1382C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3" name="Elemento grafico 32" descr="Smile di Harvey Ball 0% con riempimento a tinta unita">
              <a:extLst>
                <a:ext uri="{FF2B5EF4-FFF2-40B4-BE49-F238E27FC236}">
                  <a16:creationId xmlns:a16="http://schemas.microsoft.com/office/drawing/2014/main" id="{18062DDA-E25C-5A5E-D0C9-A57964D2ED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20</xdr:row>
      <xdr:rowOff>47896</xdr:rowOff>
    </xdr:from>
    <xdr:to>
      <xdr:col>16</xdr:col>
      <xdr:colOff>394545</xdr:colOff>
      <xdr:row>20</xdr:row>
      <xdr:rowOff>176590</xdr:rowOff>
    </xdr:to>
    <xdr:grpSp>
      <xdr:nvGrpSpPr>
        <xdr:cNvPr id="46" name="Gruppo 45">
          <a:extLst>
            <a:ext uri="{FF2B5EF4-FFF2-40B4-BE49-F238E27FC236}">
              <a16:creationId xmlns:a16="http://schemas.microsoft.com/office/drawing/2014/main" id="{ED22F616-679F-407A-8512-4D1DD502DB5E}"/>
            </a:ext>
          </a:extLst>
        </xdr:cNvPr>
        <xdr:cNvGrpSpPr/>
      </xdr:nvGrpSpPr>
      <xdr:grpSpPr>
        <a:xfrm>
          <a:off x="4056591" y="4429396"/>
          <a:ext cx="2814954" cy="128694"/>
          <a:chOff x="4031826" y="3578013"/>
          <a:chExt cx="2799079" cy="128694"/>
        </a:xfrm>
      </xdr:grpSpPr>
      <xdr:grpSp>
        <xdr:nvGrpSpPr>
          <xdr:cNvPr id="47" name="Gruppo 46">
            <a:extLst>
              <a:ext uri="{FF2B5EF4-FFF2-40B4-BE49-F238E27FC236}">
                <a16:creationId xmlns:a16="http://schemas.microsoft.com/office/drawing/2014/main" id="{80CF09CF-2BFF-C150-7B29-ABF185147BAD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62" name="Elemento grafico 61" descr="Smile di Harvey Ball 0% con riempimento a tinta unita">
              <a:extLst>
                <a:ext uri="{FF2B5EF4-FFF2-40B4-BE49-F238E27FC236}">
                  <a16:creationId xmlns:a16="http://schemas.microsoft.com/office/drawing/2014/main" id="{CDBC6932-5C06-0FE3-31CC-4F6FA3C715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3" name="Elemento grafico 62" descr="Smile di Harvey Ball 0% con riempimento a tinta unita">
              <a:extLst>
                <a:ext uri="{FF2B5EF4-FFF2-40B4-BE49-F238E27FC236}">
                  <a16:creationId xmlns:a16="http://schemas.microsoft.com/office/drawing/2014/main" id="{100A3DD1-A22D-3263-9FE7-0763A2A5FF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4" name="Elemento grafico 63" descr="Smile di Harvey Ball 0% con riempimento a tinta unita">
              <a:extLst>
                <a:ext uri="{FF2B5EF4-FFF2-40B4-BE49-F238E27FC236}">
                  <a16:creationId xmlns:a16="http://schemas.microsoft.com/office/drawing/2014/main" id="{F51DC8E7-2E9C-A1E3-3BAB-81F0FDD0A6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5" name="Elemento grafico 64" descr="Smile di Harvey Ball 0% con riempimento a tinta unita">
              <a:extLst>
                <a:ext uri="{FF2B5EF4-FFF2-40B4-BE49-F238E27FC236}">
                  <a16:creationId xmlns:a16="http://schemas.microsoft.com/office/drawing/2014/main" id="{96D822B9-2B29-E874-63CC-475730D9E8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6" name="Elemento grafico 65" descr="Smile di Harvey Ball 0% con riempimento a tinta unita">
              <a:extLst>
                <a:ext uri="{FF2B5EF4-FFF2-40B4-BE49-F238E27FC236}">
                  <a16:creationId xmlns:a16="http://schemas.microsoft.com/office/drawing/2014/main" id="{3E086FE1-127A-6DB4-BB94-B1A04A784A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7" name="Elemento grafico 66" descr="Smile di Harvey Ball 0% con riempimento a tinta unita">
              <a:extLst>
                <a:ext uri="{FF2B5EF4-FFF2-40B4-BE49-F238E27FC236}">
                  <a16:creationId xmlns:a16="http://schemas.microsoft.com/office/drawing/2014/main" id="{CADCD8AA-7936-C728-9CB0-D5BBD48A19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8" name="Gruppo 47">
            <a:extLst>
              <a:ext uri="{FF2B5EF4-FFF2-40B4-BE49-F238E27FC236}">
                <a16:creationId xmlns:a16="http://schemas.microsoft.com/office/drawing/2014/main" id="{96BDCA88-A3EF-9DBB-80ED-3771463F301B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56" name="Elemento grafico 55" descr="Smile di Harvey Ball 0% con riempimento a tinta unita">
              <a:extLst>
                <a:ext uri="{FF2B5EF4-FFF2-40B4-BE49-F238E27FC236}">
                  <a16:creationId xmlns:a16="http://schemas.microsoft.com/office/drawing/2014/main" id="{61AC728E-0335-CDA4-9C86-2C224D29EC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7" name="Elemento grafico 56" descr="Smile di Harvey Ball 0% con riempimento a tinta unita">
              <a:extLst>
                <a:ext uri="{FF2B5EF4-FFF2-40B4-BE49-F238E27FC236}">
                  <a16:creationId xmlns:a16="http://schemas.microsoft.com/office/drawing/2014/main" id="{B22A491D-9047-12C6-5530-98FBE33AB0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8" name="Elemento grafico 57" descr="Smile di Harvey Ball 0% con riempimento a tinta unita">
              <a:extLst>
                <a:ext uri="{FF2B5EF4-FFF2-40B4-BE49-F238E27FC236}">
                  <a16:creationId xmlns:a16="http://schemas.microsoft.com/office/drawing/2014/main" id="{74093524-47F6-E52C-4BB6-C36D4EF0B9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9" name="Elemento grafico 58" descr="Smile di Harvey Ball 0% con riempimento a tinta unita">
              <a:extLst>
                <a:ext uri="{FF2B5EF4-FFF2-40B4-BE49-F238E27FC236}">
                  <a16:creationId xmlns:a16="http://schemas.microsoft.com/office/drawing/2014/main" id="{4C58D268-442C-C7E0-BA49-7573BE5EBA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0" name="Elemento grafico 59" descr="Smile di Harvey Ball 0% con riempimento a tinta unita">
              <a:extLst>
                <a:ext uri="{FF2B5EF4-FFF2-40B4-BE49-F238E27FC236}">
                  <a16:creationId xmlns:a16="http://schemas.microsoft.com/office/drawing/2014/main" id="{B1000D76-D83B-1A62-6B29-49841E9EB50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1" name="Elemento grafico 60" descr="Smile di Harvey Ball 0% con riempimento a tinta unita">
              <a:extLst>
                <a:ext uri="{FF2B5EF4-FFF2-40B4-BE49-F238E27FC236}">
                  <a16:creationId xmlns:a16="http://schemas.microsoft.com/office/drawing/2014/main" id="{8E178D99-EBC8-03EF-E5FD-FADE7189C7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9" name="Gruppo 48">
            <a:extLst>
              <a:ext uri="{FF2B5EF4-FFF2-40B4-BE49-F238E27FC236}">
                <a16:creationId xmlns:a16="http://schemas.microsoft.com/office/drawing/2014/main" id="{7D98398C-AE01-8976-2502-36410393D9CA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50" name="Elemento grafico 49" descr="Smile di Harvey Ball 0% con riempimento a tinta unita">
              <a:extLst>
                <a:ext uri="{FF2B5EF4-FFF2-40B4-BE49-F238E27FC236}">
                  <a16:creationId xmlns:a16="http://schemas.microsoft.com/office/drawing/2014/main" id="{F6FB57EC-D46E-D212-BFDD-6122380E69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1" name="Elemento grafico 50" descr="Smile di Harvey Ball 0% con riempimento a tinta unita">
              <a:extLst>
                <a:ext uri="{FF2B5EF4-FFF2-40B4-BE49-F238E27FC236}">
                  <a16:creationId xmlns:a16="http://schemas.microsoft.com/office/drawing/2014/main" id="{4FC684EB-2553-C696-B166-BC86B8302D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2" name="Elemento grafico 51" descr="Smile di Harvey Ball 0% con riempimento a tinta unita">
              <a:extLst>
                <a:ext uri="{FF2B5EF4-FFF2-40B4-BE49-F238E27FC236}">
                  <a16:creationId xmlns:a16="http://schemas.microsoft.com/office/drawing/2014/main" id="{5D337A44-9E8E-624E-EFDD-CAA4FD1F62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3" name="Elemento grafico 52" descr="Smile di Harvey Ball 0% con riempimento a tinta unita">
              <a:extLst>
                <a:ext uri="{FF2B5EF4-FFF2-40B4-BE49-F238E27FC236}">
                  <a16:creationId xmlns:a16="http://schemas.microsoft.com/office/drawing/2014/main" id="{E9A80347-186D-43EC-E2E0-B0A47AC70D1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4" name="Elemento grafico 53" descr="Smile di Harvey Ball 0% con riempimento a tinta unita">
              <a:extLst>
                <a:ext uri="{FF2B5EF4-FFF2-40B4-BE49-F238E27FC236}">
                  <a16:creationId xmlns:a16="http://schemas.microsoft.com/office/drawing/2014/main" id="{64BF06F8-8919-C1CE-7F2C-10807E4DDD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5" name="Elemento grafico 54" descr="Smile di Harvey Ball 0% con riempimento a tinta unita">
              <a:extLst>
                <a:ext uri="{FF2B5EF4-FFF2-40B4-BE49-F238E27FC236}">
                  <a16:creationId xmlns:a16="http://schemas.microsoft.com/office/drawing/2014/main" id="{CD055B66-E974-5338-DA55-7B7250CCC2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21</xdr:row>
      <xdr:rowOff>47414</xdr:rowOff>
    </xdr:from>
    <xdr:to>
      <xdr:col>16</xdr:col>
      <xdr:colOff>394545</xdr:colOff>
      <xdr:row>21</xdr:row>
      <xdr:rowOff>176108</xdr:rowOff>
    </xdr:to>
    <xdr:grpSp>
      <xdr:nvGrpSpPr>
        <xdr:cNvPr id="68" name="Gruppo 67">
          <a:extLst>
            <a:ext uri="{FF2B5EF4-FFF2-40B4-BE49-F238E27FC236}">
              <a16:creationId xmlns:a16="http://schemas.microsoft.com/office/drawing/2014/main" id="{2ADB3BBF-9DA8-4A66-935C-85336D208DAE}"/>
            </a:ext>
          </a:extLst>
        </xdr:cNvPr>
        <xdr:cNvGrpSpPr/>
      </xdr:nvGrpSpPr>
      <xdr:grpSpPr>
        <a:xfrm>
          <a:off x="4056591" y="4647989"/>
          <a:ext cx="2814954" cy="128694"/>
          <a:chOff x="4031826" y="3578013"/>
          <a:chExt cx="2799079" cy="128694"/>
        </a:xfrm>
      </xdr:grpSpPr>
      <xdr:grpSp>
        <xdr:nvGrpSpPr>
          <xdr:cNvPr id="69" name="Gruppo 68">
            <a:extLst>
              <a:ext uri="{FF2B5EF4-FFF2-40B4-BE49-F238E27FC236}">
                <a16:creationId xmlns:a16="http://schemas.microsoft.com/office/drawing/2014/main" id="{0080BE43-1DF9-2278-D297-F1C964CA65E3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84" name="Elemento grafico 83" descr="Smile di Harvey Ball 0% con riempimento a tinta unita">
              <a:extLst>
                <a:ext uri="{FF2B5EF4-FFF2-40B4-BE49-F238E27FC236}">
                  <a16:creationId xmlns:a16="http://schemas.microsoft.com/office/drawing/2014/main" id="{DC73C980-4ACB-440F-AFF6-274A0E945B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5" name="Elemento grafico 84" descr="Smile di Harvey Ball 0% con riempimento a tinta unita">
              <a:extLst>
                <a:ext uri="{FF2B5EF4-FFF2-40B4-BE49-F238E27FC236}">
                  <a16:creationId xmlns:a16="http://schemas.microsoft.com/office/drawing/2014/main" id="{308AEA29-473D-FED2-49A7-B889148A8F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6" name="Elemento grafico 85" descr="Smile di Harvey Ball 0% con riempimento a tinta unita">
              <a:extLst>
                <a:ext uri="{FF2B5EF4-FFF2-40B4-BE49-F238E27FC236}">
                  <a16:creationId xmlns:a16="http://schemas.microsoft.com/office/drawing/2014/main" id="{8B193C7E-230D-8E50-50DB-C72FFA75A6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7" name="Elemento grafico 86" descr="Smile di Harvey Ball 0% con riempimento a tinta unita">
              <a:extLst>
                <a:ext uri="{FF2B5EF4-FFF2-40B4-BE49-F238E27FC236}">
                  <a16:creationId xmlns:a16="http://schemas.microsoft.com/office/drawing/2014/main" id="{C02BB0B0-A6C7-92C2-E489-DC1CF9B200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8" name="Elemento grafico 87" descr="Smile di Harvey Ball 0% con riempimento a tinta unita">
              <a:extLst>
                <a:ext uri="{FF2B5EF4-FFF2-40B4-BE49-F238E27FC236}">
                  <a16:creationId xmlns:a16="http://schemas.microsoft.com/office/drawing/2014/main" id="{B44931CE-45C2-A507-489B-419EB3DE02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9" name="Elemento grafico 88" descr="Smile di Harvey Ball 0% con riempimento a tinta unita">
              <a:extLst>
                <a:ext uri="{FF2B5EF4-FFF2-40B4-BE49-F238E27FC236}">
                  <a16:creationId xmlns:a16="http://schemas.microsoft.com/office/drawing/2014/main" id="{E8C0539D-7986-4CC9-D067-A301B52CD6D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0" name="Gruppo 69">
            <a:extLst>
              <a:ext uri="{FF2B5EF4-FFF2-40B4-BE49-F238E27FC236}">
                <a16:creationId xmlns:a16="http://schemas.microsoft.com/office/drawing/2014/main" id="{2ABE4DEC-12FB-AF7C-85DD-2FE63D213874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78" name="Elemento grafico 77" descr="Smile di Harvey Ball 0% con riempimento a tinta unita">
              <a:extLst>
                <a:ext uri="{FF2B5EF4-FFF2-40B4-BE49-F238E27FC236}">
                  <a16:creationId xmlns:a16="http://schemas.microsoft.com/office/drawing/2014/main" id="{905A9710-08A5-A5C1-38BF-DFEBA25A89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9" name="Elemento grafico 78" descr="Smile di Harvey Ball 0% con riempimento a tinta unita">
              <a:extLst>
                <a:ext uri="{FF2B5EF4-FFF2-40B4-BE49-F238E27FC236}">
                  <a16:creationId xmlns:a16="http://schemas.microsoft.com/office/drawing/2014/main" id="{D70AE4D8-4177-BD63-0F41-E9BBFF1D77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0" name="Elemento grafico 79" descr="Smile di Harvey Ball 0% con riempimento a tinta unita">
              <a:extLst>
                <a:ext uri="{FF2B5EF4-FFF2-40B4-BE49-F238E27FC236}">
                  <a16:creationId xmlns:a16="http://schemas.microsoft.com/office/drawing/2014/main" id="{CF92460E-8E5E-BDFB-2BBA-3169C9E261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1" name="Elemento grafico 80" descr="Smile di Harvey Ball 0% con riempimento a tinta unita">
              <a:extLst>
                <a:ext uri="{FF2B5EF4-FFF2-40B4-BE49-F238E27FC236}">
                  <a16:creationId xmlns:a16="http://schemas.microsoft.com/office/drawing/2014/main" id="{704A8654-BFB7-75DF-050C-2037D1BC8C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2" name="Elemento grafico 81" descr="Smile di Harvey Ball 0% con riempimento a tinta unita">
              <a:extLst>
                <a:ext uri="{FF2B5EF4-FFF2-40B4-BE49-F238E27FC236}">
                  <a16:creationId xmlns:a16="http://schemas.microsoft.com/office/drawing/2014/main" id="{C9C266B5-BB9E-4708-792B-2FA8E28FED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3" name="Elemento grafico 82" descr="Smile di Harvey Ball 0% con riempimento a tinta unita">
              <a:extLst>
                <a:ext uri="{FF2B5EF4-FFF2-40B4-BE49-F238E27FC236}">
                  <a16:creationId xmlns:a16="http://schemas.microsoft.com/office/drawing/2014/main" id="{16721E07-4249-6EED-7B7B-6F5703231E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1" name="Gruppo 70">
            <a:extLst>
              <a:ext uri="{FF2B5EF4-FFF2-40B4-BE49-F238E27FC236}">
                <a16:creationId xmlns:a16="http://schemas.microsoft.com/office/drawing/2014/main" id="{7523D35C-AEB2-9D2C-FA1F-1BFD39BCD95F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72" name="Elemento grafico 71" descr="Smile di Harvey Ball 0% con riempimento a tinta unita">
              <a:extLst>
                <a:ext uri="{FF2B5EF4-FFF2-40B4-BE49-F238E27FC236}">
                  <a16:creationId xmlns:a16="http://schemas.microsoft.com/office/drawing/2014/main" id="{9E951DB5-C8FF-CEA4-1C53-827D46361E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3" name="Elemento grafico 72" descr="Smile di Harvey Ball 0% con riempimento a tinta unita">
              <a:extLst>
                <a:ext uri="{FF2B5EF4-FFF2-40B4-BE49-F238E27FC236}">
                  <a16:creationId xmlns:a16="http://schemas.microsoft.com/office/drawing/2014/main" id="{9724D364-F021-F80F-0A97-1A713149CD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4" name="Elemento grafico 73" descr="Smile di Harvey Ball 0% con riempimento a tinta unita">
              <a:extLst>
                <a:ext uri="{FF2B5EF4-FFF2-40B4-BE49-F238E27FC236}">
                  <a16:creationId xmlns:a16="http://schemas.microsoft.com/office/drawing/2014/main" id="{3C6ED906-F060-733C-8AB0-C561D584664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5" name="Elemento grafico 74" descr="Smile di Harvey Ball 0% con riempimento a tinta unita">
              <a:extLst>
                <a:ext uri="{FF2B5EF4-FFF2-40B4-BE49-F238E27FC236}">
                  <a16:creationId xmlns:a16="http://schemas.microsoft.com/office/drawing/2014/main" id="{F9498666-B329-1D31-1021-18BDE86AAA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6" name="Elemento grafico 75" descr="Smile di Harvey Ball 0% con riempimento a tinta unita">
              <a:extLst>
                <a:ext uri="{FF2B5EF4-FFF2-40B4-BE49-F238E27FC236}">
                  <a16:creationId xmlns:a16="http://schemas.microsoft.com/office/drawing/2014/main" id="{473A5F82-D212-61E1-5914-76526620F8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7" name="Elemento grafico 76" descr="Smile di Harvey Ball 0% con riempimento a tinta unita">
              <a:extLst>
                <a:ext uri="{FF2B5EF4-FFF2-40B4-BE49-F238E27FC236}">
                  <a16:creationId xmlns:a16="http://schemas.microsoft.com/office/drawing/2014/main" id="{92791E4E-C3B6-9E96-3445-801AC80C04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18</xdr:row>
      <xdr:rowOff>48863</xdr:rowOff>
    </xdr:from>
    <xdr:to>
      <xdr:col>16</xdr:col>
      <xdr:colOff>394545</xdr:colOff>
      <xdr:row>18</xdr:row>
      <xdr:rowOff>177557</xdr:rowOff>
    </xdr:to>
    <xdr:grpSp>
      <xdr:nvGrpSpPr>
        <xdr:cNvPr id="90" name="Gruppo 89">
          <a:extLst>
            <a:ext uri="{FF2B5EF4-FFF2-40B4-BE49-F238E27FC236}">
              <a16:creationId xmlns:a16="http://schemas.microsoft.com/office/drawing/2014/main" id="{1C04553D-25DE-49ED-8992-1EE621101125}"/>
            </a:ext>
          </a:extLst>
        </xdr:cNvPr>
        <xdr:cNvGrpSpPr/>
      </xdr:nvGrpSpPr>
      <xdr:grpSpPr>
        <a:xfrm>
          <a:off x="4056591" y="3992213"/>
          <a:ext cx="2814954" cy="128694"/>
          <a:chOff x="4031826" y="3578013"/>
          <a:chExt cx="2799079" cy="128694"/>
        </a:xfrm>
      </xdr:grpSpPr>
      <xdr:grpSp>
        <xdr:nvGrpSpPr>
          <xdr:cNvPr id="91" name="Gruppo 90">
            <a:extLst>
              <a:ext uri="{FF2B5EF4-FFF2-40B4-BE49-F238E27FC236}">
                <a16:creationId xmlns:a16="http://schemas.microsoft.com/office/drawing/2014/main" id="{48B89D1A-E876-663B-BC49-4ADE76336B25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06" name="Elemento grafico 105" descr="Smile di Harvey Ball 0% con riempimento a tinta unita">
              <a:extLst>
                <a:ext uri="{FF2B5EF4-FFF2-40B4-BE49-F238E27FC236}">
                  <a16:creationId xmlns:a16="http://schemas.microsoft.com/office/drawing/2014/main" id="{71ABDC03-FE7D-4740-4CD3-F82E046635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7" name="Elemento grafico 106" descr="Smile di Harvey Ball 0% con riempimento a tinta unita">
              <a:extLst>
                <a:ext uri="{FF2B5EF4-FFF2-40B4-BE49-F238E27FC236}">
                  <a16:creationId xmlns:a16="http://schemas.microsoft.com/office/drawing/2014/main" id="{98F88E5D-7D7A-F9A6-703C-CF578F68BD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8" name="Elemento grafico 107" descr="Smile di Harvey Ball 0% con riempimento a tinta unita">
              <a:extLst>
                <a:ext uri="{FF2B5EF4-FFF2-40B4-BE49-F238E27FC236}">
                  <a16:creationId xmlns:a16="http://schemas.microsoft.com/office/drawing/2014/main" id="{878F3C95-19B4-F075-2D1D-251D5AD62A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9" name="Elemento grafico 108" descr="Smile di Harvey Ball 0% con riempimento a tinta unita">
              <a:extLst>
                <a:ext uri="{FF2B5EF4-FFF2-40B4-BE49-F238E27FC236}">
                  <a16:creationId xmlns:a16="http://schemas.microsoft.com/office/drawing/2014/main" id="{C467E5CD-8CDE-FE3D-E49F-F984F13DEC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0" name="Elemento grafico 109" descr="Smile di Harvey Ball 0% con riempimento a tinta unita">
              <a:extLst>
                <a:ext uri="{FF2B5EF4-FFF2-40B4-BE49-F238E27FC236}">
                  <a16:creationId xmlns:a16="http://schemas.microsoft.com/office/drawing/2014/main" id="{F532461A-6F9C-DB3F-3524-A2139D34E9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1" name="Elemento grafico 110" descr="Smile di Harvey Ball 0% con riempimento a tinta unita">
              <a:extLst>
                <a:ext uri="{FF2B5EF4-FFF2-40B4-BE49-F238E27FC236}">
                  <a16:creationId xmlns:a16="http://schemas.microsoft.com/office/drawing/2014/main" id="{253F9C84-BE26-DD5C-DCEA-E772F21C58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2" name="Gruppo 91">
            <a:extLst>
              <a:ext uri="{FF2B5EF4-FFF2-40B4-BE49-F238E27FC236}">
                <a16:creationId xmlns:a16="http://schemas.microsoft.com/office/drawing/2014/main" id="{C9164A4F-2C8F-B2F2-4814-F5B643CCAD65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00" name="Elemento grafico 99" descr="Smile di Harvey Ball 0% con riempimento a tinta unita">
              <a:extLst>
                <a:ext uri="{FF2B5EF4-FFF2-40B4-BE49-F238E27FC236}">
                  <a16:creationId xmlns:a16="http://schemas.microsoft.com/office/drawing/2014/main" id="{FC8B6204-1039-807A-3C0D-105A86E371D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1" name="Elemento grafico 100" descr="Smile di Harvey Ball 0% con riempimento a tinta unita">
              <a:extLst>
                <a:ext uri="{FF2B5EF4-FFF2-40B4-BE49-F238E27FC236}">
                  <a16:creationId xmlns:a16="http://schemas.microsoft.com/office/drawing/2014/main" id="{D0B8A2A2-ED0D-0C18-C649-6A11423D69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2" name="Elemento grafico 101" descr="Smile di Harvey Ball 0% con riempimento a tinta unita">
              <a:extLst>
                <a:ext uri="{FF2B5EF4-FFF2-40B4-BE49-F238E27FC236}">
                  <a16:creationId xmlns:a16="http://schemas.microsoft.com/office/drawing/2014/main" id="{A576B501-8285-D990-E3AA-C5054745CB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3" name="Elemento grafico 102" descr="Smile di Harvey Ball 0% con riempimento a tinta unita">
              <a:extLst>
                <a:ext uri="{FF2B5EF4-FFF2-40B4-BE49-F238E27FC236}">
                  <a16:creationId xmlns:a16="http://schemas.microsoft.com/office/drawing/2014/main" id="{55C8C190-938F-BDD6-13D2-0578949993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4" name="Elemento grafico 103" descr="Smile di Harvey Ball 0% con riempimento a tinta unita">
              <a:extLst>
                <a:ext uri="{FF2B5EF4-FFF2-40B4-BE49-F238E27FC236}">
                  <a16:creationId xmlns:a16="http://schemas.microsoft.com/office/drawing/2014/main" id="{64E5711F-F655-7B9A-7B90-4C1E812AC2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5" name="Elemento grafico 104" descr="Smile di Harvey Ball 0% con riempimento a tinta unita">
              <a:extLst>
                <a:ext uri="{FF2B5EF4-FFF2-40B4-BE49-F238E27FC236}">
                  <a16:creationId xmlns:a16="http://schemas.microsoft.com/office/drawing/2014/main" id="{317E615A-9374-BC60-4DA3-3F4B905660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3" name="Gruppo 92">
            <a:extLst>
              <a:ext uri="{FF2B5EF4-FFF2-40B4-BE49-F238E27FC236}">
                <a16:creationId xmlns:a16="http://schemas.microsoft.com/office/drawing/2014/main" id="{95DFAF24-4772-8AB0-C78E-45A5662910D8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94" name="Elemento grafico 93" descr="Smile di Harvey Ball 0% con riempimento a tinta unita">
              <a:extLst>
                <a:ext uri="{FF2B5EF4-FFF2-40B4-BE49-F238E27FC236}">
                  <a16:creationId xmlns:a16="http://schemas.microsoft.com/office/drawing/2014/main" id="{96F9E808-95EB-80A9-BB6E-FADC2E4C70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5" name="Elemento grafico 94" descr="Smile di Harvey Ball 0% con riempimento a tinta unita">
              <a:extLst>
                <a:ext uri="{FF2B5EF4-FFF2-40B4-BE49-F238E27FC236}">
                  <a16:creationId xmlns:a16="http://schemas.microsoft.com/office/drawing/2014/main" id="{6177BFCD-B387-DF56-EFE3-502903BC7B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6" name="Elemento grafico 95" descr="Smile di Harvey Ball 0% con riempimento a tinta unita">
              <a:extLst>
                <a:ext uri="{FF2B5EF4-FFF2-40B4-BE49-F238E27FC236}">
                  <a16:creationId xmlns:a16="http://schemas.microsoft.com/office/drawing/2014/main" id="{BC53D805-A7FA-A955-8724-634AC712CE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7" name="Elemento grafico 96" descr="Smile di Harvey Ball 0% con riempimento a tinta unita">
              <a:extLst>
                <a:ext uri="{FF2B5EF4-FFF2-40B4-BE49-F238E27FC236}">
                  <a16:creationId xmlns:a16="http://schemas.microsoft.com/office/drawing/2014/main" id="{1D5A56B7-1193-E643-BC80-50B8CB908A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8" name="Elemento grafico 97" descr="Smile di Harvey Ball 0% con riempimento a tinta unita">
              <a:extLst>
                <a:ext uri="{FF2B5EF4-FFF2-40B4-BE49-F238E27FC236}">
                  <a16:creationId xmlns:a16="http://schemas.microsoft.com/office/drawing/2014/main" id="{22197329-A13F-26F4-DF9A-F57D325DB1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9" name="Elemento grafico 98" descr="Smile di Harvey Ball 0% con riempimento a tinta unita">
              <a:extLst>
                <a:ext uri="{FF2B5EF4-FFF2-40B4-BE49-F238E27FC236}">
                  <a16:creationId xmlns:a16="http://schemas.microsoft.com/office/drawing/2014/main" id="{715C0D5B-099A-6B45-8A40-C30D734935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19</xdr:row>
      <xdr:rowOff>48380</xdr:rowOff>
    </xdr:from>
    <xdr:to>
      <xdr:col>16</xdr:col>
      <xdr:colOff>394545</xdr:colOff>
      <xdr:row>19</xdr:row>
      <xdr:rowOff>177074</xdr:rowOff>
    </xdr:to>
    <xdr:grpSp>
      <xdr:nvGrpSpPr>
        <xdr:cNvPr id="112" name="Gruppo 111">
          <a:extLst>
            <a:ext uri="{FF2B5EF4-FFF2-40B4-BE49-F238E27FC236}">
              <a16:creationId xmlns:a16="http://schemas.microsoft.com/office/drawing/2014/main" id="{0268219C-EF1E-48B2-89A5-777094C65AC2}"/>
            </a:ext>
          </a:extLst>
        </xdr:cNvPr>
        <xdr:cNvGrpSpPr/>
      </xdr:nvGrpSpPr>
      <xdr:grpSpPr>
        <a:xfrm>
          <a:off x="4056591" y="4210805"/>
          <a:ext cx="2814954" cy="128694"/>
          <a:chOff x="4031826" y="3578013"/>
          <a:chExt cx="2799079" cy="128694"/>
        </a:xfrm>
      </xdr:grpSpPr>
      <xdr:grpSp>
        <xdr:nvGrpSpPr>
          <xdr:cNvPr id="113" name="Gruppo 112">
            <a:extLst>
              <a:ext uri="{FF2B5EF4-FFF2-40B4-BE49-F238E27FC236}">
                <a16:creationId xmlns:a16="http://schemas.microsoft.com/office/drawing/2014/main" id="{B98C05DA-6241-8FCE-43AE-323D61C5C7DA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28" name="Elemento grafico 127" descr="Smile di Harvey Ball 0% con riempimento a tinta unita">
              <a:extLst>
                <a:ext uri="{FF2B5EF4-FFF2-40B4-BE49-F238E27FC236}">
                  <a16:creationId xmlns:a16="http://schemas.microsoft.com/office/drawing/2014/main" id="{7D19E6D5-B360-343B-4AD1-C60BF999AE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9" name="Elemento grafico 128" descr="Smile di Harvey Ball 0% con riempimento a tinta unita">
              <a:extLst>
                <a:ext uri="{FF2B5EF4-FFF2-40B4-BE49-F238E27FC236}">
                  <a16:creationId xmlns:a16="http://schemas.microsoft.com/office/drawing/2014/main" id="{A7AC6C14-151D-4E4E-97ED-F49B5B2E63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0" name="Elemento grafico 129" descr="Smile di Harvey Ball 0% con riempimento a tinta unita">
              <a:extLst>
                <a:ext uri="{FF2B5EF4-FFF2-40B4-BE49-F238E27FC236}">
                  <a16:creationId xmlns:a16="http://schemas.microsoft.com/office/drawing/2014/main" id="{2B94CAFC-9A8E-0F6E-B14B-9F88336A84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1" name="Elemento grafico 130" descr="Smile di Harvey Ball 0% con riempimento a tinta unita">
              <a:extLst>
                <a:ext uri="{FF2B5EF4-FFF2-40B4-BE49-F238E27FC236}">
                  <a16:creationId xmlns:a16="http://schemas.microsoft.com/office/drawing/2014/main" id="{570B325D-3CB5-2457-3B3F-FA12F9E258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2" name="Elemento grafico 131" descr="Smile di Harvey Ball 0% con riempimento a tinta unita">
              <a:extLst>
                <a:ext uri="{FF2B5EF4-FFF2-40B4-BE49-F238E27FC236}">
                  <a16:creationId xmlns:a16="http://schemas.microsoft.com/office/drawing/2014/main" id="{CEEFDBE6-E4BE-4C28-BBF0-4547372577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3" name="Elemento grafico 132" descr="Smile di Harvey Ball 0% con riempimento a tinta unita">
              <a:extLst>
                <a:ext uri="{FF2B5EF4-FFF2-40B4-BE49-F238E27FC236}">
                  <a16:creationId xmlns:a16="http://schemas.microsoft.com/office/drawing/2014/main" id="{961E32B3-42B8-D394-25BA-3F77C80582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4" name="Gruppo 113">
            <a:extLst>
              <a:ext uri="{FF2B5EF4-FFF2-40B4-BE49-F238E27FC236}">
                <a16:creationId xmlns:a16="http://schemas.microsoft.com/office/drawing/2014/main" id="{1D2A0F22-2BA4-B726-F096-D3184E33FBD8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2" name="Elemento grafico 121" descr="Smile di Harvey Ball 0% con riempimento a tinta unita">
              <a:extLst>
                <a:ext uri="{FF2B5EF4-FFF2-40B4-BE49-F238E27FC236}">
                  <a16:creationId xmlns:a16="http://schemas.microsoft.com/office/drawing/2014/main" id="{F52222C1-FD1B-9A49-8EA5-233972952E1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3" name="Elemento grafico 122" descr="Smile di Harvey Ball 0% con riempimento a tinta unita">
              <a:extLst>
                <a:ext uri="{FF2B5EF4-FFF2-40B4-BE49-F238E27FC236}">
                  <a16:creationId xmlns:a16="http://schemas.microsoft.com/office/drawing/2014/main" id="{C096810E-4AC2-2D83-EB09-8C41232284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4" name="Elemento grafico 123" descr="Smile di Harvey Ball 0% con riempimento a tinta unita">
              <a:extLst>
                <a:ext uri="{FF2B5EF4-FFF2-40B4-BE49-F238E27FC236}">
                  <a16:creationId xmlns:a16="http://schemas.microsoft.com/office/drawing/2014/main" id="{AF340A43-2386-C8ED-2592-759F0A2A7FA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5" name="Elemento grafico 124" descr="Smile di Harvey Ball 0% con riempimento a tinta unita">
              <a:extLst>
                <a:ext uri="{FF2B5EF4-FFF2-40B4-BE49-F238E27FC236}">
                  <a16:creationId xmlns:a16="http://schemas.microsoft.com/office/drawing/2014/main" id="{2582EEA9-4E7A-308D-B52C-8D159EA7E0A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6" name="Elemento grafico 125" descr="Smile di Harvey Ball 0% con riempimento a tinta unita">
              <a:extLst>
                <a:ext uri="{FF2B5EF4-FFF2-40B4-BE49-F238E27FC236}">
                  <a16:creationId xmlns:a16="http://schemas.microsoft.com/office/drawing/2014/main" id="{F5DA133A-F3C6-D885-9E4E-6B8DE14658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7" name="Elemento grafico 126" descr="Smile di Harvey Ball 0% con riempimento a tinta unita">
              <a:extLst>
                <a:ext uri="{FF2B5EF4-FFF2-40B4-BE49-F238E27FC236}">
                  <a16:creationId xmlns:a16="http://schemas.microsoft.com/office/drawing/2014/main" id="{E94098FB-5A41-1E50-B0F6-70F96ECEB8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5" name="Gruppo 114">
            <a:extLst>
              <a:ext uri="{FF2B5EF4-FFF2-40B4-BE49-F238E27FC236}">
                <a16:creationId xmlns:a16="http://schemas.microsoft.com/office/drawing/2014/main" id="{30D9ABDB-D095-CEE5-CA64-1D0C0CF7943B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16" name="Elemento grafico 115" descr="Smile di Harvey Ball 0% con riempimento a tinta unita">
              <a:extLst>
                <a:ext uri="{FF2B5EF4-FFF2-40B4-BE49-F238E27FC236}">
                  <a16:creationId xmlns:a16="http://schemas.microsoft.com/office/drawing/2014/main" id="{73DA8EC0-A66A-1DE0-15B7-5389433750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7" name="Elemento grafico 116" descr="Smile di Harvey Ball 0% con riempimento a tinta unita">
              <a:extLst>
                <a:ext uri="{FF2B5EF4-FFF2-40B4-BE49-F238E27FC236}">
                  <a16:creationId xmlns:a16="http://schemas.microsoft.com/office/drawing/2014/main" id="{8F381B54-911F-93CB-DDDB-9DADF2A7B9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8" name="Elemento grafico 117" descr="Smile di Harvey Ball 0% con riempimento a tinta unita">
              <a:extLst>
                <a:ext uri="{FF2B5EF4-FFF2-40B4-BE49-F238E27FC236}">
                  <a16:creationId xmlns:a16="http://schemas.microsoft.com/office/drawing/2014/main" id="{0199D063-830D-1E60-3AD3-BEBEDDC4D7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9" name="Elemento grafico 118" descr="Smile di Harvey Ball 0% con riempimento a tinta unita">
              <a:extLst>
                <a:ext uri="{FF2B5EF4-FFF2-40B4-BE49-F238E27FC236}">
                  <a16:creationId xmlns:a16="http://schemas.microsoft.com/office/drawing/2014/main" id="{45E83792-C02B-EBD7-DF4B-2BE13C18BD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0" name="Elemento grafico 119" descr="Smile di Harvey Ball 0% con riempimento a tinta unita">
              <a:extLst>
                <a:ext uri="{FF2B5EF4-FFF2-40B4-BE49-F238E27FC236}">
                  <a16:creationId xmlns:a16="http://schemas.microsoft.com/office/drawing/2014/main" id="{08CE454B-0DDC-573B-9177-0983664AD5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1" name="Elemento grafico 120" descr="Smile di Harvey Ball 0% con riempimento a tinta unita">
              <a:extLst>
                <a:ext uri="{FF2B5EF4-FFF2-40B4-BE49-F238E27FC236}">
                  <a16:creationId xmlns:a16="http://schemas.microsoft.com/office/drawing/2014/main" id="{908BD5B6-CAE1-65E2-90F0-5D0B6E40EE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15</xdr:row>
      <xdr:rowOff>50313</xdr:rowOff>
    </xdr:from>
    <xdr:to>
      <xdr:col>16</xdr:col>
      <xdr:colOff>394545</xdr:colOff>
      <xdr:row>15</xdr:row>
      <xdr:rowOff>179007</xdr:rowOff>
    </xdr:to>
    <xdr:grpSp>
      <xdr:nvGrpSpPr>
        <xdr:cNvPr id="134" name="Gruppo 133">
          <a:extLst>
            <a:ext uri="{FF2B5EF4-FFF2-40B4-BE49-F238E27FC236}">
              <a16:creationId xmlns:a16="http://schemas.microsoft.com/office/drawing/2014/main" id="{EE5F1D34-8B22-44AC-8B4A-06FC7E146708}"/>
            </a:ext>
          </a:extLst>
        </xdr:cNvPr>
        <xdr:cNvGrpSpPr/>
      </xdr:nvGrpSpPr>
      <xdr:grpSpPr>
        <a:xfrm>
          <a:off x="4056591" y="3336438"/>
          <a:ext cx="2814954" cy="128694"/>
          <a:chOff x="4031826" y="3578013"/>
          <a:chExt cx="2799079" cy="128694"/>
        </a:xfrm>
      </xdr:grpSpPr>
      <xdr:grpSp>
        <xdr:nvGrpSpPr>
          <xdr:cNvPr id="135" name="Gruppo 134">
            <a:extLst>
              <a:ext uri="{FF2B5EF4-FFF2-40B4-BE49-F238E27FC236}">
                <a16:creationId xmlns:a16="http://schemas.microsoft.com/office/drawing/2014/main" id="{377C751C-5F41-0F08-975F-2547DF225733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50" name="Elemento grafico 149" descr="Smile di Harvey Ball 0% con riempimento a tinta unita">
              <a:extLst>
                <a:ext uri="{FF2B5EF4-FFF2-40B4-BE49-F238E27FC236}">
                  <a16:creationId xmlns:a16="http://schemas.microsoft.com/office/drawing/2014/main" id="{B6567EAC-D006-C501-563D-298AE1F3033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1" name="Elemento grafico 150" descr="Smile di Harvey Ball 0% con riempimento a tinta unita">
              <a:extLst>
                <a:ext uri="{FF2B5EF4-FFF2-40B4-BE49-F238E27FC236}">
                  <a16:creationId xmlns:a16="http://schemas.microsoft.com/office/drawing/2014/main" id="{D9047270-EE7B-8E5E-C495-E50750FDD5F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2" name="Elemento grafico 151" descr="Smile di Harvey Ball 0% con riempimento a tinta unita">
              <a:extLst>
                <a:ext uri="{FF2B5EF4-FFF2-40B4-BE49-F238E27FC236}">
                  <a16:creationId xmlns:a16="http://schemas.microsoft.com/office/drawing/2014/main" id="{D9F55072-3DC9-8987-E33C-0D6C5F1AD9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3" name="Elemento grafico 152" descr="Smile di Harvey Ball 0% con riempimento a tinta unita">
              <a:extLst>
                <a:ext uri="{FF2B5EF4-FFF2-40B4-BE49-F238E27FC236}">
                  <a16:creationId xmlns:a16="http://schemas.microsoft.com/office/drawing/2014/main" id="{0552C689-C27E-40BC-594D-A2FF81E0BF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4" name="Elemento grafico 153" descr="Smile di Harvey Ball 0% con riempimento a tinta unita">
              <a:extLst>
                <a:ext uri="{FF2B5EF4-FFF2-40B4-BE49-F238E27FC236}">
                  <a16:creationId xmlns:a16="http://schemas.microsoft.com/office/drawing/2014/main" id="{FD881BC0-2E9B-0169-0A60-EC81ED8CDE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5" name="Elemento grafico 154" descr="Smile di Harvey Ball 0% con riempimento a tinta unita">
              <a:extLst>
                <a:ext uri="{FF2B5EF4-FFF2-40B4-BE49-F238E27FC236}">
                  <a16:creationId xmlns:a16="http://schemas.microsoft.com/office/drawing/2014/main" id="{753FAFD4-BF17-76E5-09E9-A9F47BCDF3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6" name="Gruppo 135">
            <a:extLst>
              <a:ext uri="{FF2B5EF4-FFF2-40B4-BE49-F238E27FC236}">
                <a16:creationId xmlns:a16="http://schemas.microsoft.com/office/drawing/2014/main" id="{BCA92F2E-70A2-BECD-B603-2F0994238429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44" name="Elemento grafico 143" descr="Smile di Harvey Ball 0% con riempimento a tinta unita">
              <a:extLst>
                <a:ext uri="{FF2B5EF4-FFF2-40B4-BE49-F238E27FC236}">
                  <a16:creationId xmlns:a16="http://schemas.microsoft.com/office/drawing/2014/main" id="{2412EDB1-063F-A1AB-1088-94656864AA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5" name="Elemento grafico 144" descr="Smile di Harvey Ball 0% con riempimento a tinta unita">
              <a:extLst>
                <a:ext uri="{FF2B5EF4-FFF2-40B4-BE49-F238E27FC236}">
                  <a16:creationId xmlns:a16="http://schemas.microsoft.com/office/drawing/2014/main" id="{52922456-AF56-55B2-2AEE-C40231A2060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6" name="Elemento grafico 145" descr="Smile di Harvey Ball 0% con riempimento a tinta unita">
              <a:extLst>
                <a:ext uri="{FF2B5EF4-FFF2-40B4-BE49-F238E27FC236}">
                  <a16:creationId xmlns:a16="http://schemas.microsoft.com/office/drawing/2014/main" id="{0A14B8CC-6404-6F89-D0B0-27C21950C7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7" name="Elemento grafico 146" descr="Smile di Harvey Ball 0% con riempimento a tinta unita">
              <a:extLst>
                <a:ext uri="{FF2B5EF4-FFF2-40B4-BE49-F238E27FC236}">
                  <a16:creationId xmlns:a16="http://schemas.microsoft.com/office/drawing/2014/main" id="{F36934D6-7DF2-8B97-CE56-FB76632C19A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8" name="Elemento grafico 147" descr="Smile di Harvey Ball 0% con riempimento a tinta unita">
              <a:extLst>
                <a:ext uri="{FF2B5EF4-FFF2-40B4-BE49-F238E27FC236}">
                  <a16:creationId xmlns:a16="http://schemas.microsoft.com/office/drawing/2014/main" id="{9D5BE64E-FE47-EDE0-3AEC-21867E4731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9" name="Elemento grafico 148" descr="Smile di Harvey Ball 0% con riempimento a tinta unita">
              <a:extLst>
                <a:ext uri="{FF2B5EF4-FFF2-40B4-BE49-F238E27FC236}">
                  <a16:creationId xmlns:a16="http://schemas.microsoft.com/office/drawing/2014/main" id="{41288365-258F-D5CF-377C-521944A0B5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7" name="Gruppo 136">
            <a:extLst>
              <a:ext uri="{FF2B5EF4-FFF2-40B4-BE49-F238E27FC236}">
                <a16:creationId xmlns:a16="http://schemas.microsoft.com/office/drawing/2014/main" id="{20DDF565-133D-6621-5C42-60A5C1666063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38" name="Elemento grafico 137" descr="Smile di Harvey Ball 0% con riempimento a tinta unita">
              <a:extLst>
                <a:ext uri="{FF2B5EF4-FFF2-40B4-BE49-F238E27FC236}">
                  <a16:creationId xmlns:a16="http://schemas.microsoft.com/office/drawing/2014/main" id="{957E5453-58EE-413C-6506-E55DCD594E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9" name="Elemento grafico 138" descr="Smile di Harvey Ball 0% con riempimento a tinta unita">
              <a:extLst>
                <a:ext uri="{FF2B5EF4-FFF2-40B4-BE49-F238E27FC236}">
                  <a16:creationId xmlns:a16="http://schemas.microsoft.com/office/drawing/2014/main" id="{D0B4D551-768E-D895-7FF6-E9399A0722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0" name="Elemento grafico 139" descr="Smile di Harvey Ball 0% con riempimento a tinta unita">
              <a:extLst>
                <a:ext uri="{FF2B5EF4-FFF2-40B4-BE49-F238E27FC236}">
                  <a16:creationId xmlns:a16="http://schemas.microsoft.com/office/drawing/2014/main" id="{014C59FF-099D-EB4D-C35C-0BB3B2340D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1" name="Elemento grafico 140" descr="Smile di Harvey Ball 0% con riempimento a tinta unita">
              <a:extLst>
                <a:ext uri="{FF2B5EF4-FFF2-40B4-BE49-F238E27FC236}">
                  <a16:creationId xmlns:a16="http://schemas.microsoft.com/office/drawing/2014/main" id="{B8748D08-AF9D-8CB4-CE18-3ACDC4CC8B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2" name="Elemento grafico 141" descr="Smile di Harvey Ball 0% con riempimento a tinta unita">
              <a:extLst>
                <a:ext uri="{FF2B5EF4-FFF2-40B4-BE49-F238E27FC236}">
                  <a16:creationId xmlns:a16="http://schemas.microsoft.com/office/drawing/2014/main" id="{DDC50CD6-244F-D549-AA67-BE74E13BEE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3" name="Elemento grafico 142" descr="Smile di Harvey Ball 0% con riempimento a tinta unita">
              <a:extLst>
                <a:ext uri="{FF2B5EF4-FFF2-40B4-BE49-F238E27FC236}">
                  <a16:creationId xmlns:a16="http://schemas.microsoft.com/office/drawing/2014/main" id="{B437130E-08C2-BFF2-AC28-3474BF0CE1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14</xdr:row>
      <xdr:rowOff>50796</xdr:rowOff>
    </xdr:from>
    <xdr:to>
      <xdr:col>16</xdr:col>
      <xdr:colOff>394545</xdr:colOff>
      <xdr:row>14</xdr:row>
      <xdr:rowOff>179490</xdr:rowOff>
    </xdr:to>
    <xdr:grpSp>
      <xdr:nvGrpSpPr>
        <xdr:cNvPr id="156" name="Gruppo 155">
          <a:extLst>
            <a:ext uri="{FF2B5EF4-FFF2-40B4-BE49-F238E27FC236}">
              <a16:creationId xmlns:a16="http://schemas.microsoft.com/office/drawing/2014/main" id="{36B21193-07CC-4343-8C0E-07064AEEB9BF}"/>
            </a:ext>
          </a:extLst>
        </xdr:cNvPr>
        <xdr:cNvGrpSpPr/>
      </xdr:nvGrpSpPr>
      <xdr:grpSpPr>
        <a:xfrm>
          <a:off x="4056591" y="3117846"/>
          <a:ext cx="2814954" cy="128694"/>
          <a:chOff x="4031826" y="3578013"/>
          <a:chExt cx="2799079" cy="128694"/>
        </a:xfrm>
      </xdr:grpSpPr>
      <xdr:grpSp>
        <xdr:nvGrpSpPr>
          <xdr:cNvPr id="157" name="Gruppo 156">
            <a:extLst>
              <a:ext uri="{FF2B5EF4-FFF2-40B4-BE49-F238E27FC236}">
                <a16:creationId xmlns:a16="http://schemas.microsoft.com/office/drawing/2014/main" id="{1693BE6E-2A06-4FD3-E006-E49BB057F5CC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72" name="Elemento grafico 171" descr="Smile di Harvey Ball 0% con riempimento a tinta unita">
              <a:extLst>
                <a:ext uri="{FF2B5EF4-FFF2-40B4-BE49-F238E27FC236}">
                  <a16:creationId xmlns:a16="http://schemas.microsoft.com/office/drawing/2014/main" id="{1C4C73F9-A4B6-37B0-6AAE-B481C24FED6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3" name="Elemento grafico 172" descr="Smile di Harvey Ball 0% con riempimento a tinta unita">
              <a:extLst>
                <a:ext uri="{FF2B5EF4-FFF2-40B4-BE49-F238E27FC236}">
                  <a16:creationId xmlns:a16="http://schemas.microsoft.com/office/drawing/2014/main" id="{A1DD0ECC-056E-214E-F53E-C3C039C2E2A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4" name="Elemento grafico 173" descr="Smile di Harvey Ball 0% con riempimento a tinta unita">
              <a:extLst>
                <a:ext uri="{FF2B5EF4-FFF2-40B4-BE49-F238E27FC236}">
                  <a16:creationId xmlns:a16="http://schemas.microsoft.com/office/drawing/2014/main" id="{F67F517F-D148-ED23-4F1B-C8CE9684D3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5" name="Elemento grafico 174" descr="Smile di Harvey Ball 0% con riempimento a tinta unita">
              <a:extLst>
                <a:ext uri="{FF2B5EF4-FFF2-40B4-BE49-F238E27FC236}">
                  <a16:creationId xmlns:a16="http://schemas.microsoft.com/office/drawing/2014/main" id="{DD6DAD3C-B89B-5FA0-F087-C9E94116A4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6" name="Elemento grafico 175" descr="Smile di Harvey Ball 0% con riempimento a tinta unita">
              <a:extLst>
                <a:ext uri="{FF2B5EF4-FFF2-40B4-BE49-F238E27FC236}">
                  <a16:creationId xmlns:a16="http://schemas.microsoft.com/office/drawing/2014/main" id="{7421AC45-FBF8-B13F-9A76-E9D92D2C9A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7" name="Elemento grafico 176" descr="Smile di Harvey Ball 0% con riempimento a tinta unita">
              <a:extLst>
                <a:ext uri="{FF2B5EF4-FFF2-40B4-BE49-F238E27FC236}">
                  <a16:creationId xmlns:a16="http://schemas.microsoft.com/office/drawing/2014/main" id="{470EB8F2-B631-22B9-AF69-B03CC43F0D1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8" name="Gruppo 157">
            <a:extLst>
              <a:ext uri="{FF2B5EF4-FFF2-40B4-BE49-F238E27FC236}">
                <a16:creationId xmlns:a16="http://schemas.microsoft.com/office/drawing/2014/main" id="{485B9019-04C4-2448-0333-2880D9A0F386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66" name="Elemento grafico 165" descr="Smile di Harvey Ball 0% con riempimento a tinta unita">
              <a:extLst>
                <a:ext uri="{FF2B5EF4-FFF2-40B4-BE49-F238E27FC236}">
                  <a16:creationId xmlns:a16="http://schemas.microsoft.com/office/drawing/2014/main" id="{538BC29F-49A0-27BE-04A1-BFD224C182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7" name="Elemento grafico 166" descr="Smile di Harvey Ball 0% con riempimento a tinta unita">
              <a:extLst>
                <a:ext uri="{FF2B5EF4-FFF2-40B4-BE49-F238E27FC236}">
                  <a16:creationId xmlns:a16="http://schemas.microsoft.com/office/drawing/2014/main" id="{EFFFFAB7-0807-CEA7-C8C3-8C7BA029B3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8" name="Elemento grafico 167" descr="Smile di Harvey Ball 0% con riempimento a tinta unita">
              <a:extLst>
                <a:ext uri="{FF2B5EF4-FFF2-40B4-BE49-F238E27FC236}">
                  <a16:creationId xmlns:a16="http://schemas.microsoft.com/office/drawing/2014/main" id="{AABE9C7F-7501-4308-EAAB-6434FFFF82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9" name="Elemento grafico 168" descr="Smile di Harvey Ball 0% con riempimento a tinta unita">
              <a:extLst>
                <a:ext uri="{FF2B5EF4-FFF2-40B4-BE49-F238E27FC236}">
                  <a16:creationId xmlns:a16="http://schemas.microsoft.com/office/drawing/2014/main" id="{CCB87181-3D9F-8E7F-6175-E6D2286B76E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0" name="Elemento grafico 169" descr="Smile di Harvey Ball 0% con riempimento a tinta unita">
              <a:extLst>
                <a:ext uri="{FF2B5EF4-FFF2-40B4-BE49-F238E27FC236}">
                  <a16:creationId xmlns:a16="http://schemas.microsoft.com/office/drawing/2014/main" id="{BB4E436F-73CD-0311-A863-F8CF2AEB7D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1" name="Elemento grafico 170" descr="Smile di Harvey Ball 0% con riempimento a tinta unita">
              <a:extLst>
                <a:ext uri="{FF2B5EF4-FFF2-40B4-BE49-F238E27FC236}">
                  <a16:creationId xmlns:a16="http://schemas.microsoft.com/office/drawing/2014/main" id="{F1026FE4-E7B7-5792-7DA4-6FC06CB2C6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9" name="Gruppo 158">
            <a:extLst>
              <a:ext uri="{FF2B5EF4-FFF2-40B4-BE49-F238E27FC236}">
                <a16:creationId xmlns:a16="http://schemas.microsoft.com/office/drawing/2014/main" id="{AAFED1DA-2755-04B1-F2A4-3DC2A017301F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60" name="Elemento grafico 159" descr="Smile di Harvey Ball 0% con riempimento a tinta unita">
              <a:extLst>
                <a:ext uri="{FF2B5EF4-FFF2-40B4-BE49-F238E27FC236}">
                  <a16:creationId xmlns:a16="http://schemas.microsoft.com/office/drawing/2014/main" id="{A309FA2E-0AD9-3704-1624-925A758436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1" name="Elemento grafico 160" descr="Smile di Harvey Ball 0% con riempimento a tinta unita">
              <a:extLst>
                <a:ext uri="{FF2B5EF4-FFF2-40B4-BE49-F238E27FC236}">
                  <a16:creationId xmlns:a16="http://schemas.microsoft.com/office/drawing/2014/main" id="{8F6421E5-493D-647E-6A13-AE1233EC58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2" name="Elemento grafico 161" descr="Smile di Harvey Ball 0% con riempimento a tinta unita">
              <a:extLst>
                <a:ext uri="{FF2B5EF4-FFF2-40B4-BE49-F238E27FC236}">
                  <a16:creationId xmlns:a16="http://schemas.microsoft.com/office/drawing/2014/main" id="{3A696998-2E69-0F37-2AD3-8F09DB33EB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3" name="Elemento grafico 162" descr="Smile di Harvey Ball 0% con riempimento a tinta unita">
              <a:extLst>
                <a:ext uri="{FF2B5EF4-FFF2-40B4-BE49-F238E27FC236}">
                  <a16:creationId xmlns:a16="http://schemas.microsoft.com/office/drawing/2014/main" id="{014E893A-4688-62E0-F5A8-20F3338A40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4" name="Elemento grafico 163" descr="Smile di Harvey Ball 0% con riempimento a tinta unita">
              <a:extLst>
                <a:ext uri="{FF2B5EF4-FFF2-40B4-BE49-F238E27FC236}">
                  <a16:creationId xmlns:a16="http://schemas.microsoft.com/office/drawing/2014/main" id="{EEE89E31-73AA-4121-AB03-3570C2609C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5" name="Elemento grafico 164" descr="Smile di Harvey Ball 0% con riempimento a tinta unita">
              <a:extLst>
                <a:ext uri="{FF2B5EF4-FFF2-40B4-BE49-F238E27FC236}">
                  <a16:creationId xmlns:a16="http://schemas.microsoft.com/office/drawing/2014/main" id="{A2BA7363-77DF-26C6-5F73-909A542B36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40640</xdr:colOff>
      <xdr:row>22</xdr:row>
      <xdr:rowOff>25400</xdr:rowOff>
    </xdr:from>
    <xdr:to>
      <xdr:col>16</xdr:col>
      <xdr:colOff>173919</xdr:colOff>
      <xdr:row>22</xdr:row>
      <xdr:rowOff>154094</xdr:rowOff>
    </xdr:to>
    <xdr:pic>
      <xdr:nvPicPr>
        <xdr:cNvPr id="178" name="Elemento grafico 177" descr="Smile di Harvey Ball 0% con riempimento a tinta unita">
          <a:extLst>
            <a:ext uri="{FF2B5EF4-FFF2-40B4-BE49-F238E27FC236}">
              <a16:creationId xmlns:a16="http://schemas.microsoft.com/office/drawing/2014/main" id="{7C6ED6E0-C348-44E4-AA42-4C4651D66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502400" y="4886960"/>
          <a:ext cx="133279" cy="128694"/>
        </a:xfrm>
        <a:prstGeom prst="rect">
          <a:avLst/>
        </a:prstGeom>
      </xdr:spPr>
    </xdr:pic>
    <xdr:clientData/>
  </xdr:twoCellAnchor>
  <xdr:twoCellAnchor>
    <xdr:from>
      <xdr:col>10</xdr:col>
      <xdr:colOff>8466</xdr:colOff>
      <xdr:row>13</xdr:row>
      <xdr:rowOff>54910</xdr:rowOff>
    </xdr:from>
    <xdr:to>
      <xdr:col>16</xdr:col>
      <xdr:colOff>394545</xdr:colOff>
      <xdr:row>13</xdr:row>
      <xdr:rowOff>183604</xdr:rowOff>
    </xdr:to>
    <xdr:grpSp>
      <xdr:nvGrpSpPr>
        <xdr:cNvPr id="179" name="Gruppo 178">
          <a:extLst>
            <a:ext uri="{FF2B5EF4-FFF2-40B4-BE49-F238E27FC236}">
              <a16:creationId xmlns:a16="http://schemas.microsoft.com/office/drawing/2014/main" id="{76584BBD-3ADB-4F4D-9772-E20723633FE6}"/>
            </a:ext>
          </a:extLst>
        </xdr:cNvPr>
        <xdr:cNvGrpSpPr/>
      </xdr:nvGrpSpPr>
      <xdr:grpSpPr>
        <a:xfrm>
          <a:off x="4056591" y="2902885"/>
          <a:ext cx="2814954" cy="128694"/>
          <a:chOff x="4031826" y="3578013"/>
          <a:chExt cx="2799079" cy="128694"/>
        </a:xfrm>
      </xdr:grpSpPr>
      <xdr:grpSp>
        <xdr:nvGrpSpPr>
          <xdr:cNvPr id="180" name="Gruppo 179">
            <a:extLst>
              <a:ext uri="{FF2B5EF4-FFF2-40B4-BE49-F238E27FC236}">
                <a16:creationId xmlns:a16="http://schemas.microsoft.com/office/drawing/2014/main" id="{ED450FE1-6313-8F6F-073B-CE61D015DBBC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95" name="Elemento grafico 194" descr="Smile di Harvey Ball 0% con riempimento a tinta unita">
              <a:extLst>
                <a:ext uri="{FF2B5EF4-FFF2-40B4-BE49-F238E27FC236}">
                  <a16:creationId xmlns:a16="http://schemas.microsoft.com/office/drawing/2014/main" id="{DE97159C-F774-5620-B6E4-C95E23F8533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6" name="Elemento grafico 195" descr="Smile di Harvey Ball 0% con riempimento a tinta unita">
              <a:extLst>
                <a:ext uri="{FF2B5EF4-FFF2-40B4-BE49-F238E27FC236}">
                  <a16:creationId xmlns:a16="http://schemas.microsoft.com/office/drawing/2014/main" id="{C5B59F8D-1E76-163C-F305-0F46409AF2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7" name="Elemento grafico 196" descr="Smile di Harvey Ball 0% con riempimento a tinta unita">
              <a:extLst>
                <a:ext uri="{FF2B5EF4-FFF2-40B4-BE49-F238E27FC236}">
                  <a16:creationId xmlns:a16="http://schemas.microsoft.com/office/drawing/2014/main" id="{9EDA0A3F-0E7F-6A28-4282-BC6CA2C6CA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8" name="Elemento grafico 197" descr="Smile di Harvey Ball 0% con riempimento a tinta unita">
              <a:extLst>
                <a:ext uri="{FF2B5EF4-FFF2-40B4-BE49-F238E27FC236}">
                  <a16:creationId xmlns:a16="http://schemas.microsoft.com/office/drawing/2014/main" id="{1BBA2579-30A6-2E89-2E97-99FEE8B754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9" name="Elemento grafico 198" descr="Smile di Harvey Ball 0% con riempimento a tinta unita">
              <a:extLst>
                <a:ext uri="{FF2B5EF4-FFF2-40B4-BE49-F238E27FC236}">
                  <a16:creationId xmlns:a16="http://schemas.microsoft.com/office/drawing/2014/main" id="{1620EC53-78FE-CDD1-8B5D-4B0B2B785A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0" name="Elemento grafico 199" descr="Smile di Harvey Ball 0% con riempimento a tinta unita">
              <a:extLst>
                <a:ext uri="{FF2B5EF4-FFF2-40B4-BE49-F238E27FC236}">
                  <a16:creationId xmlns:a16="http://schemas.microsoft.com/office/drawing/2014/main" id="{8D79AC6F-1CCC-9342-B9B6-1E28B7F487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1" name="Gruppo 180">
            <a:extLst>
              <a:ext uri="{FF2B5EF4-FFF2-40B4-BE49-F238E27FC236}">
                <a16:creationId xmlns:a16="http://schemas.microsoft.com/office/drawing/2014/main" id="{46E14D13-F859-F795-6E7D-D5605F5AE96D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89" name="Elemento grafico 188" descr="Smile di Harvey Ball 0% con riempimento a tinta unita">
              <a:extLst>
                <a:ext uri="{FF2B5EF4-FFF2-40B4-BE49-F238E27FC236}">
                  <a16:creationId xmlns:a16="http://schemas.microsoft.com/office/drawing/2014/main" id="{D9B2C910-5240-E6E6-C083-99CFD26333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0" name="Elemento grafico 189" descr="Smile di Harvey Ball 0% con riempimento a tinta unita">
              <a:extLst>
                <a:ext uri="{FF2B5EF4-FFF2-40B4-BE49-F238E27FC236}">
                  <a16:creationId xmlns:a16="http://schemas.microsoft.com/office/drawing/2014/main" id="{12E9E4C4-853B-8DBB-4A8F-6E4E4612FD7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1" name="Elemento grafico 190" descr="Smile di Harvey Ball 0% con riempimento a tinta unita">
              <a:extLst>
                <a:ext uri="{FF2B5EF4-FFF2-40B4-BE49-F238E27FC236}">
                  <a16:creationId xmlns:a16="http://schemas.microsoft.com/office/drawing/2014/main" id="{A0F73A4F-C2A0-01F8-1D53-5BA7D29700E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2" name="Elemento grafico 191" descr="Smile di Harvey Ball 0% con riempimento a tinta unita">
              <a:extLst>
                <a:ext uri="{FF2B5EF4-FFF2-40B4-BE49-F238E27FC236}">
                  <a16:creationId xmlns:a16="http://schemas.microsoft.com/office/drawing/2014/main" id="{C93ACB8A-2DF0-8315-8683-A6C032FF78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3" name="Elemento grafico 192" descr="Smile di Harvey Ball 0% con riempimento a tinta unita">
              <a:extLst>
                <a:ext uri="{FF2B5EF4-FFF2-40B4-BE49-F238E27FC236}">
                  <a16:creationId xmlns:a16="http://schemas.microsoft.com/office/drawing/2014/main" id="{0B1B3054-0977-3B11-4EF8-A7156F90D8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4" name="Elemento grafico 193" descr="Smile di Harvey Ball 0% con riempimento a tinta unita">
              <a:extLst>
                <a:ext uri="{FF2B5EF4-FFF2-40B4-BE49-F238E27FC236}">
                  <a16:creationId xmlns:a16="http://schemas.microsoft.com/office/drawing/2014/main" id="{A9431B58-7642-FBAF-E5AE-133BB76C80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2" name="Gruppo 181">
            <a:extLst>
              <a:ext uri="{FF2B5EF4-FFF2-40B4-BE49-F238E27FC236}">
                <a16:creationId xmlns:a16="http://schemas.microsoft.com/office/drawing/2014/main" id="{281642C4-E5AF-16FC-B761-54FA76EA0897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83" name="Elemento grafico 182" descr="Smile di Harvey Ball 0% con riempimento a tinta unita">
              <a:extLst>
                <a:ext uri="{FF2B5EF4-FFF2-40B4-BE49-F238E27FC236}">
                  <a16:creationId xmlns:a16="http://schemas.microsoft.com/office/drawing/2014/main" id="{0BCB2A11-D38B-CB45-A8E4-343C7140C17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4" name="Elemento grafico 183" descr="Smile di Harvey Ball 0% con riempimento a tinta unita">
              <a:extLst>
                <a:ext uri="{FF2B5EF4-FFF2-40B4-BE49-F238E27FC236}">
                  <a16:creationId xmlns:a16="http://schemas.microsoft.com/office/drawing/2014/main" id="{9057CA18-FBE9-FD66-5441-0B811F513F0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5" name="Elemento grafico 184" descr="Smile di Harvey Ball 0% con riempimento a tinta unita">
              <a:extLst>
                <a:ext uri="{FF2B5EF4-FFF2-40B4-BE49-F238E27FC236}">
                  <a16:creationId xmlns:a16="http://schemas.microsoft.com/office/drawing/2014/main" id="{0B919DA6-9D7C-8C04-43F8-6EF4451DDB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6" name="Elemento grafico 185" descr="Smile di Harvey Ball 0% con riempimento a tinta unita">
              <a:extLst>
                <a:ext uri="{FF2B5EF4-FFF2-40B4-BE49-F238E27FC236}">
                  <a16:creationId xmlns:a16="http://schemas.microsoft.com/office/drawing/2014/main" id="{A9B3C938-4E5B-8B0E-F594-6CA1975ABF9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7" name="Elemento grafico 186" descr="Smile di Harvey Ball 0% con riempimento a tinta unita">
              <a:extLst>
                <a:ext uri="{FF2B5EF4-FFF2-40B4-BE49-F238E27FC236}">
                  <a16:creationId xmlns:a16="http://schemas.microsoft.com/office/drawing/2014/main" id="{730E83FA-6CDD-F0FD-E9A3-8F8CEBC2E0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8" name="Elemento grafico 187" descr="Smile di Harvey Ball 0% con riempimento a tinta unita">
              <a:extLst>
                <a:ext uri="{FF2B5EF4-FFF2-40B4-BE49-F238E27FC236}">
                  <a16:creationId xmlns:a16="http://schemas.microsoft.com/office/drawing/2014/main" id="{B4F23678-BE6C-0D85-9BEA-A9AA022712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8466</xdr:colOff>
      <xdr:row>16</xdr:row>
      <xdr:rowOff>49830</xdr:rowOff>
    </xdr:from>
    <xdr:to>
      <xdr:col>16</xdr:col>
      <xdr:colOff>394545</xdr:colOff>
      <xdr:row>16</xdr:row>
      <xdr:rowOff>178524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E411BFE4-D123-4750-BA21-38D7DDBF5EC1}"/>
            </a:ext>
          </a:extLst>
        </xdr:cNvPr>
        <xdr:cNvGrpSpPr/>
      </xdr:nvGrpSpPr>
      <xdr:grpSpPr>
        <a:xfrm>
          <a:off x="4072466" y="3605830"/>
          <a:ext cx="2824479" cy="128694"/>
          <a:chOff x="4031826" y="3578013"/>
          <a:chExt cx="2799079" cy="128694"/>
        </a:xfrm>
      </xdr:grpSpPr>
      <xdr:grpSp>
        <xdr:nvGrpSpPr>
          <xdr:cNvPr id="3" name="Gruppo 2">
            <a:extLst>
              <a:ext uri="{FF2B5EF4-FFF2-40B4-BE49-F238E27FC236}">
                <a16:creationId xmlns:a16="http://schemas.microsoft.com/office/drawing/2014/main" id="{AD017AAE-1494-5213-A37C-EA4470208C2E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8" name="Elemento grafico 17" descr="Smile di Harvey Ball 0% con riempimento a tinta unita">
              <a:extLst>
                <a:ext uri="{FF2B5EF4-FFF2-40B4-BE49-F238E27FC236}">
                  <a16:creationId xmlns:a16="http://schemas.microsoft.com/office/drawing/2014/main" id="{FC009567-FFF6-4A3E-3994-7D074540B0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" name="Elemento grafico 18" descr="Smile di Harvey Ball 0% con riempimento a tinta unita">
              <a:extLst>
                <a:ext uri="{FF2B5EF4-FFF2-40B4-BE49-F238E27FC236}">
                  <a16:creationId xmlns:a16="http://schemas.microsoft.com/office/drawing/2014/main" id="{732152C3-2A22-DD7E-BB87-653F88602C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" name="Elemento grafico 19" descr="Smile di Harvey Ball 0% con riempimento a tinta unita">
              <a:extLst>
                <a:ext uri="{FF2B5EF4-FFF2-40B4-BE49-F238E27FC236}">
                  <a16:creationId xmlns:a16="http://schemas.microsoft.com/office/drawing/2014/main" id="{91ED43AC-E42D-1617-B637-95C8A68CC5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1" name="Elemento grafico 20" descr="Smile di Harvey Ball 0% con riempimento a tinta unita">
              <a:extLst>
                <a:ext uri="{FF2B5EF4-FFF2-40B4-BE49-F238E27FC236}">
                  <a16:creationId xmlns:a16="http://schemas.microsoft.com/office/drawing/2014/main" id="{BBE9C360-8B8A-9A22-DDBB-9BE0A34F38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2" name="Elemento grafico 21" descr="Smile di Harvey Ball 0% con riempimento a tinta unita">
              <a:extLst>
                <a:ext uri="{FF2B5EF4-FFF2-40B4-BE49-F238E27FC236}">
                  <a16:creationId xmlns:a16="http://schemas.microsoft.com/office/drawing/2014/main" id="{7C3D02D7-0B43-B552-F017-7808AB9207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3" name="Elemento grafico 22" descr="Smile di Harvey Ball 0% con riempimento a tinta unita">
              <a:extLst>
                <a:ext uri="{FF2B5EF4-FFF2-40B4-BE49-F238E27FC236}">
                  <a16:creationId xmlns:a16="http://schemas.microsoft.com/office/drawing/2014/main" id="{8AE4BD17-5AD5-2BB8-9E9B-48EF9A1153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" name="Gruppo 3">
            <a:extLst>
              <a:ext uri="{FF2B5EF4-FFF2-40B4-BE49-F238E27FC236}">
                <a16:creationId xmlns:a16="http://schemas.microsoft.com/office/drawing/2014/main" id="{B656BCE7-1CD4-3CF8-D80D-5DFBD55A6315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" name="Elemento grafico 11" descr="Smile di Harvey Ball 0% con riempimento a tinta unita">
              <a:extLst>
                <a:ext uri="{FF2B5EF4-FFF2-40B4-BE49-F238E27FC236}">
                  <a16:creationId xmlns:a16="http://schemas.microsoft.com/office/drawing/2014/main" id="{0E2FA056-67F2-C832-7A06-C77DB66BB4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" name="Elemento grafico 12" descr="Smile di Harvey Ball 0% con riempimento a tinta unita">
              <a:extLst>
                <a:ext uri="{FF2B5EF4-FFF2-40B4-BE49-F238E27FC236}">
                  <a16:creationId xmlns:a16="http://schemas.microsoft.com/office/drawing/2014/main" id="{81F1671C-820A-4D04-CF38-B166C9CD76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" name="Elemento grafico 13" descr="Smile di Harvey Ball 0% con riempimento a tinta unita">
              <a:extLst>
                <a:ext uri="{FF2B5EF4-FFF2-40B4-BE49-F238E27FC236}">
                  <a16:creationId xmlns:a16="http://schemas.microsoft.com/office/drawing/2014/main" id="{2A40535C-6158-9610-BBA1-9CC1BC3A2A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" name="Elemento grafico 14" descr="Smile di Harvey Ball 0% con riempimento a tinta unita">
              <a:extLst>
                <a:ext uri="{FF2B5EF4-FFF2-40B4-BE49-F238E27FC236}">
                  <a16:creationId xmlns:a16="http://schemas.microsoft.com/office/drawing/2014/main" id="{3280CF58-84B1-C8B0-C396-5AAF2D92B08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" name="Elemento grafico 15" descr="Smile di Harvey Ball 0% con riempimento a tinta unita">
              <a:extLst>
                <a:ext uri="{FF2B5EF4-FFF2-40B4-BE49-F238E27FC236}">
                  <a16:creationId xmlns:a16="http://schemas.microsoft.com/office/drawing/2014/main" id="{2364CFB9-F232-A2F1-39F1-B36C8B5BDB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" name="Elemento grafico 16" descr="Smile di Harvey Ball 0% con riempimento a tinta unita">
              <a:extLst>
                <a:ext uri="{FF2B5EF4-FFF2-40B4-BE49-F238E27FC236}">
                  <a16:creationId xmlns:a16="http://schemas.microsoft.com/office/drawing/2014/main" id="{7D3119EA-AEBB-EC84-4F59-7A2CC9335C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5" name="Gruppo 4">
            <a:extLst>
              <a:ext uri="{FF2B5EF4-FFF2-40B4-BE49-F238E27FC236}">
                <a16:creationId xmlns:a16="http://schemas.microsoft.com/office/drawing/2014/main" id="{9BC0097F-D0A6-8298-A7C5-B49FEE5677B3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6" name="Elemento grafico 5" descr="Smile di Harvey Ball 0% con riempimento a tinta unita">
              <a:extLst>
                <a:ext uri="{FF2B5EF4-FFF2-40B4-BE49-F238E27FC236}">
                  <a16:creationId xmlns:a16="http://schemas.microsoft.com/office/drawing/2014/main" id="{89A30A9F-F968-651A-8795-4E36A343A4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" name="Elemento grafico 6" descr="Smile di Harvey Ball 0% con riempimento a tinta unita">
              <a:extLst>
                <a:ext uri="{FF2B5EF4-FFF2-40B4-BE49-F238E27FC236}">
                  <a16:creationId xmlns:a16="http://schemas.microsoft.com/office/drawing/2014/main" id="{6DB122D3-D9DE-6C80-84D8-2093CC309B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" name="Elemento grafico 7" descr="Smile di Harvey Ball 0% con riempimento a tinta unita">
              <a:extLst>
                <a:ext uri="{FF2B5EF4-FFF2-40B4-BE49-F238E27FC236}">
                  <a16:creationId xmlns:a16="http://schemas.microsoft.com/office/drawing/2014/main" id="{3F8627CA-2065-A8C6-1462-BF6793F4DC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" name="Elemento grafico 8" descr="Smile di Harvey Ball 0% con riempimento a tinta unita">
              <a:extLst>
                <a:ext uri="{FF2B5EF4-FFF2-40B4-BE49-F238E27FC236}">
                  <a16:creationId xmlns:a16="http://schemas.microsoft.com/office/drawing/2014/main" id="{B866117D-65FA-5A1C-3080-B58739F3791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" name="Elemento grafico 9" descr="Smile di Harvey Ball 0% con riempimento a tinta unita">
              <a:extLst>
                <a:ext uri="{FF2B5EF4-FFF2-40B4-BE49-F238E27FC236}">
                  <a16:creationId xmlns:a16="http://schemas.microsoft.com/office/drawing/2014/main" id="{114A9584-2E03-CB9A-A1AF-8E78FCF39D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" name="Elemento grafico 10" descr="Smile di Harvey Ball 0% con riempimento a tinta unita">
              <a:extLst>
                <a:ext uri="{FF2B5EF4-FFF2-40B4-BE49-F238E27FC236}">
                  <a16:creationId xmlns:a16="http://schemas.microsoft.com/office/drawing/2014/main" id="{D3C5DB88-67C0-FC00-2666-5C567793FA7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17</xdr:row>
      <xdr:rowOff>49346</xdr:rowOff>
    </xdr:from>
    <xdr:to>
      <xdr:col>16</xdr:col>
      <xdr:colOff>394545</xdr:colOff>
      <xdr:row>17</xdr:row>
      <xdr:rowOff>178040</xdr:rowOff>
    </xdr:to>
    <xdr:grpSp>
      <xdr:nvGrpSpPr>
        <xdr:cNvPr id="24" name="Gruppo 23">
          <a:extLst>
            <a:ext uri="{FF2B5EF4-FFF2-40B4-BE49-F238E27FC236}">
              <a16:creationId xmlns:a16="http://schemas.microsoft.com/office/drawing/2014/main" id="{B5BF68C7-DA20-4047-A079-5298092E680F}"/>
            </a:ext>
          </a:extLst>
        </xdr:cNvPr>
        <xdr:cNvGrpSpPr/>
      </xdr:nvGrpSpPr>
      <xdr:grpSpPr>
        <a:xfrm>
          <a:off x="4072466" y="3827596"/>
          <a:ext cx="2824479" cy="128694"/>
          <a:chOff x="4031826" y="3578013"/>
          <a:chExt cx="2799079" cy="128694"/>
        </a:xfrm>
      </xdr:grpSpPr>
      <xdr:grpSp>
        <xdr:nvGrpSpPr>
          <xdr:cNvPr id="25" name="Gruppo 24">
            <a:extLst>
              <a:ext uri="{FF2B5EF4-FFF2-40B4-BE49-F238E27FC236}">
                <a16:creationId xmlns:a16="http://schemas.microsoft.com/office/drawing/2014/main" id="{9F92652A-237B-8FB2-E6C7-354664840BB1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40" name="Elemento grafico 39" descr="Smile di Harvey Ball 0% con riempimento a tinta unita">
              <a:extLst>
                <a:ext uri="{FF2B5EF4-FFF2-40B4-BE49-F238E27FC236}">
                  <a16:creationId xmlns:a16="http://schemas.microsoft.com/office/drawing/2014/main" id="{4DC46566-2336-DF2C-E21C-74F45FB0D0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1" name="Elemento grafico 40" descr="Smile di Harvey Ball 0% con riempimento a tinta unita">
              <a:extLst>
                <a:ext uri="{FF2B5EF4-FFF2-40B4-BE49-F238E27FC236}">
                  <a16:creationId xmlns:a16="http://schemas.microsoft.com/office/drawing/2014/main" id="{FE3D2D73-0ABF-614D-C9DC-8F883B80A9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2" name="Elemento grafico 41" descr="Smile di Harvey Ball 0% con riempimento a tinta unita">
              <a:extLst>
                <a:ext uri="{FF2B5EF4-FFF2-40B4-BE49-F238E27FC236}">
                  <a16:creationId xmlns:a16="http://schemas.microsoft.com/office/drawing/2014/main" id="{1B7CE1A0-BA01-D49D-260C-A25042102D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3" name="Elemento grafico 42" descr="Smile di Harvey Ball 0% con riempimento a tinta unita">
              <a:extLst>
                <a:ext uri="{FF2B5EF4-FFF2-40B4-BE49-F238E27FC236}">
                  <a16:creationId xmlns:a16="http://schemas.microsoft.com/office/drawing/2014/main" id="{BC10A31D-A55E-CD0D-75E2-6AD76E2E69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4" name="Elemento grafico 43" descr="Smile di Harvey Ball 0% con riempimento a tinta unita">
              <a:extLst>
                <a:ext uri="{FF2B5EF4-FFF2-40B4-BE49-F238E27FC236}">
                  <a16:creationId xmlns:a16="http://schemas.microsoft.com/office/drawing/2014/main" id="{1CA77BD6-0CA2-0551-A0E6-7E451F53A3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5" name="Elemento grafico 44" descr="Smile di Harvey Ball 0% con riempimento a tinta unita">
              <a:extLst>
                <a:ext uri="{FF2B5EF4-FFF2-40B4-BE49-F238E27FC236}">
                  <a16:creationId xmlns:a16="http://schemas.microsoft.com/office/drawing/2014/main" id="{5A29A27C-B109-CD71-4110-C5F19FD887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6" name="Gruppo 25">
            <a:extLst>
              <a:ext uri="{FF2B5EF4-FFF2-40B4-BE49-F238E27FC236}">
                <a16:creationId xmlns:a16="http://schemas.microsoft.com/office/drawing/2014/main" id="{0347A13B-99FD-9ADF-3D1F-40DFF1B36324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34" name="Elemento grafico 33" descr="Smile di Harvey Ball 0% con riempimento a tinta unita">
              <a:extLst>
                <a:ext uri="{FF2B5EF4-FFF2-40B4-BE49-F238E27FC236}">
                  <a16:creationId xmlns:a16="http://schemas.microsoft.com/office/drawing/2014/main" id="{F48004C0-AC36-33D7-A554-2DD3EF1C2D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5" name="Elemento grafico 34" descr="Smile di Harvey Ball 0% con riempimento a tinta unita">
              <a:extLst>
                <a:ext uri="{FF2B5EF4-FFF2-40B4-BE49-F238E27FC236}">
                  <a16:creationId xmlns:a16="http://schemas.microsoft.com/office/drawing/2014/main" id="{EA2E5F2B-F4DA-C51F-48B0-262E03742A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6" name="Elemento grafico 35" descr="Smile di Harvey Ball 0% con riempimento a tinta unita">
              <a:extLst>
                <a:ext uri="{FF2B5EF4-FFF2-40B4-BE49-F238E27FC236}">
                  <a16:creationId xmlns:a16="http://schemas.microsoft.com/office/drawing/2014/main" id="{1000684F-44A8-82A8-0B67-56EB79FE9CB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7" name="Elemento grafico 36" descr="Smile di Harvey Ball 0% con riempimento a tinta unita">
              <a:extLst>
                <a:ext uri="{FF2B5EF4-FFF2-40B4-BE49-F238E27FC236}">
                  <a16:creationId xmlns:a16="http://schemas.microsoft.com/office/drawing/2014/main" id="{8959F1CB-1E01-F43C-6BD2-0CC72272F1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8" name="Elemento grafico 37" descr="Smile di Harvey Ball 0% con riempimento a tinta unita">
              <a:extLst>
                <a:ext uri="{FF2B5EF4-FFF2-40B4-BE49-F238E27FC236}">
                  <a16:creationId xmlns:a16="http://schemas.microsoft.com/office/drawing/2014/main" id="{67A8C632-E921-DCA1-5454-45C0568510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9" name="Elemento grafico 38" descr="Smile di Harvey Ball 0% con riempimento a tinta unita">
              <a:extLst>
                <a:ext uri="{FF2B5EF4-FFF2-40B4-BE49-F238E27FC236}">
                  <a16:creationId xmlns:a16="http://schemas.microsoft.com/office/drawing/2014/main" id="{ED6E7265-5F9E-C709-70BE-2A7C04B9D10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7" name="Gruppo 26">
            <a:extLst>
              <a:ext uri="{FF2B5EF4-FFF2-40B4-BE49-F238E27FC236}">
                <a16:creationId xmlns:a16="http://schemas.microsoft.com/office/drawing/2014/main" id="{057BD444-2726-28BE-725A-3F34B5D37CA2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28" name="Elemento grafico 27" descr="Smile di Harvey Ball 0% con riempimento a tinta unita">
              <a:extLst>
                <a:ext uri="{FF2B5EF4-FFF2-40B4-BE49-F238E27FC236}">
                  <a16:creationId xmlns:a16="http://schemas.microsoft.com/office/drawing/2014/main" id="{C651D226-6EF1-ED0E-9B37-3F9EB5AB5D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9" name="Elemento grafico 28" descr="Smile di Harvey Ball 0% con riempimento a tinta unita">
              <a:extLst>
                <a:ext uri="{FF2B5EF4-FFF2-40B4-BE49-F238E27FC236}">
                  <a16:creationId xmlns:a16="http://schemas.microsoft.com/office/drawing/2014/main" id="{38B1840B-D54E-AF2F-85E5-0969991BD5D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0" name="Elemento grafico 29" descr="Smile di Harvey Ball 0% con riempimento a tinta unita">
              <a:extLst>
                <a:ext uri="{FF2B5EF4-FFF2-40B4-BE49-F238E27FC236}">
                  <a16:creationId xmlns:a16="http://schemas.microsoft.com/office/drawing/2014/main" id="{B34A150F-49EF-6A99-ACBA-7505A3EFAD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1" name="Elemento grafico 30" descr="Smile di Harvey Ball 0% con riempimento a tinta unita">
              <a:extLst>
                <a:ext uri="{FF2B5EF4-FFF2-40B4-BE49-F238E27FC236}">
                  <a16:creationId xmlns:a16="http://schemas.microsoft.com/office/drawing/2014/main" id="{C7DC6564-838B-B94C-D90E-44058464C06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2" name="Elemento grafico 31" descr="Smile di Harvey Ball 0% con riempimento a tinta unita">
              <a:extLst>
                <a:ext uri="{FF2B5EF4-FFF2-40B4-BE49-F238E27FC236}">
                  <a16:creationId xmlns:a16="http://schemas.microsoft.com/office/drawing/2014/main" id="{60A7A4AE-B78A-935D-7C92-6C51944ADC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3" name="Elemento grafico 32" descr="Smile di Harvey Ball 0% con riempimento a tinta unita">
              <a:extLst>
                <a:ext uri="{FF2B5EF4-FFF2-40B4-BE49-F238E27FC236}">
                  <a16:creationId xmlns:a16="http://schemas.microsoft.com/office/drawing/2014/main" id="{420CA131-B75D-C3B4-5E57-68E6EC2F39D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20</xdr:row>
      <xdr:rowOff>47896</xdr:rowOff>
    </xdr:from>
    <xdr:to>
      <xdr:col>16</xdr:col>
      <xdr:colOff>394545</xdr:colOff>
      <xdr:row>20</xdr:row>
      <xdr:rowOff>176590</xdr:rowOff>
    </xdr:to>
    <xdr:grpSp>
      <xdr:nvGrpSpPr>
        <xdr:cNvPr id="46" name="Gruppo 45">
          <a:extLst>
            <a:ext uri="{FF2B5EF4-FFF2-40B4-BE49-F238E27FC236}">
              <a16:creationId xmlns:a16="http://schemas.microsoft.com/office/drawing/2014/main" id="{E7D7B534-1FBC-45F6-A9D2-AE7EE378892A}"/>
            </a:ext>
          </a:extLst>
        </xdr:cNvPr>
        <xdr:cNvGrpSpPr/>
      </xdr:nvGrpSpPr>
      <xdr:grpSpPr>
        <a:xfrm>
          <a:off x="4072466" y="4492896"/>
          <a:ext cx="2824479" cy="128694"/>
          <a:chOff x="4031826" y="3578013"/>
          <a:chExt cx="2799079" cy="128694"/>
        </a:xfrm>
      </xdr:grpSpPr>
      <xdr:grpSp>
        <xdr:nvGrpSpPr>
          <xdr:cNvPr id="47" name="Gruppo 46">
            <a:extLst>
              <a:ext uri="{FF2B5EF4-FFF2-40B4-BE49-F238E27FC236}">
                <a16:creationId xmlns:a16="http://schemas.microsoft.com/office/drawing/2014/main" id="{07888034-89F9-EE0B-9803-3ACDD5232F73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62" name="Elemento grafico 61" descr="Smile di Harvey Ball 0% con riempimento a tinta unita">
              <a:extLst>
                <a:ext uri="{FF2B5EF4-FFF2-40B4-BE49-F238E27FC236}">
                  <a16:creationId xmlns:a16="http://schemas.microsoft.com/office/drawing/2014/main" id="{546382AE-CE48-DBD5-7E28-B295E8B9DB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3" name="Elemento grafico 62" descr="Smile di Harvey Ball 0% con riempimento a tinta unita">
              <a:extLst>
                <a:ext uri="{FF2B5EF4-FFF2-40B4-BE49-F238E27FC236}">
                  <a16:creationId xmlns:a16="http://schemas.microsoft.com/office/drawing/2014/main" id="{B47EB034-E11D-C7D8-41BB-5E19324C250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4" name="Elemento grafico 63" descr="Smile di Harvey Ball 0% con riempimento a tinta unita">
              <a:extLst>
                <a:ext uri="{FF2B5EF4-FFF2-40B4-BE49-F238E27FC236}">
                  <a16:creationId xmlns:a16="http://schemas.microsoft.com/office/drawing/2014/main" id="{03EEF6F7-E976-A16C-D513-4C65839481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5" name="Elemento grafico 64" descr="Smile di Harvey Ball 0% con riempimento a tinta unita">
              <a:extLst>
                <a:ext uri="{FF2B5EF4-FFF2-40B4-BE49-F238E27FC236}">
                  <a16:creationId xmlns:a16="http://schemas.microsoft.com/office/drawing/2014/main" id="{20CA0E94-1338-6DB9-0911-ABDFA678BD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6" name="Elemento grafico 65" descr="Smile di Harvey Ball 0% con riempimento a tinta unita">
              <a:extLst>
                <a:ext uri="{FF2B5EF4-FFF2-40B4-BE49-F238E27FC236}">
                  <a16:creationId xmlns:a16="http://schemas.microsoft.com/office/drawing/2014/main" id="{36C730C1-7C1E-CB02-CB18-ADAA3E1E1E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7" name="Elemento grafico 66" descr="Smile di Harvey Ball 0% con riempimento a tinta unita">
              <a:extLst>
                <a:ext uri="{FF2B5EF4-FFF2-40B4-BE49-F238E27FC236}">
                  <a16:creationId xmlns:a16="http://schemas.microsoft.com/office/drawing/2014/main" id="{4C45C45A-4AAC-C76A-0184-99C06857B9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8" name="Gruppo 47">
            <a:extLst>
              <a:ext uri="{FF2B5EF4-FFF2-40B4-BE49-F238E27FC236}">
                <a16:creationId xmlns:a16="http://schemas.microsoft.com/office/drawing/2014/main" id="{5A57965C-29E4-F535-093B-F4785372492D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56" name="Elemento grafico 55" descr="Smile di Harvey Ball 0% con riempimento a tinta unita">
              <a:extLst>
                <a:ext uri="{FF2B5EF4-FFF2-40B4-BE49-F238E27FC236}">
                  <a16:creationId xmlns:a16="http://schemas.microsoft.com/office/drawing/2014/main" id="{D70FDFE1-54D1-CF08-0F07-25A0DC8812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7" name="Elemento grafico 56" descr="Smile di Harvey Ball 0% con riempimento a tinta unita">
              <a:extLst>
                <a:ext uri="{FF2B5EF4-FFF2-40B4-BE49-F238E27FC236}">
                  <a16:creationId xmlns:a16="http://schemas.microsoft.com/office/drawing/2014/main" id="{910B55BC-DA30-D241-80FA-3641EF79FFB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8" name="Elemento grafico 57" descr="Smile di Harvey Ball 0% con riempimento a tinta unita">
              <a:extLst>
                <a:ext uri="{FF2B5EF4-FFF2-40B4-BE49-F238E27FC236}">
                  <a16:creationId xmlns:a16="http://schemas.microsoft.com/office/drawing/2014/main" id="{467DC014-42E4-6437-2F6E-2E91285611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9" name="Elemento grafico 58" descr="Smile di Harvey Ball 0% con riempimento a tinta unita">
              <a:extLst>
                <a:ext uri="{FF2B5EF4-FFF2-40B4-BE49-F238E27FC236}">
                  <a16:creationId xmlns:a16="http://schemas.microsoft.com/office/drawing/2014/main" id="{C2BC0273-88B9-1605-FE34-42EB5D6135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0" name="Elemento grafico 59" descr="Smile di Harvey Ball 0% con riempimento a tinta unita">
              <a:extLst>
                <a:ext uri="{FF2B5EF4-FFF2-40B4-BE49-F238E27FC236}">
                  <a16:creationId xmlns:a16="http://schemas.microsoft.com/office/drawing/2014/main" id="{DFD0302B-1340-6BB3-DF10-6C641CE60B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1" name="Elemento grafico 60" descr="Smile di Harvey Ball 0% con riempimento a tinta unita">
              <a:extLst>
                <a:ext uri="{FF2B5EF4-FFF2-40B4-BE49-F238E27FC236}">
                  <a16:creationId xmlns:a16="http://schemas.microsoft.com/office/drawing/2014/main" id="{43F1493B-8B32-BE34-1467-8AD972D5F7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9" name="Gruppo 48">
            <a:extLst>
              <a:ext uri="{FF2B5EF4-FFF2-40B4-BE49-F238E27FC236}">
                <a16:creationId xmlns:a16="http://schemas.microsoft.com/office/drawing/2014/main" id="{F1FE8080-B3EF-9F0A-880A-A388828F54DF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50" name="Elemento grafico 49" descr="Smile di Harvey Ball 0% con riempimento a tinta unita">
              <a:extLst>
                <a:ext uri="{FF2B5EF4-FFF2-40B4-BE49-F238E27FC236}">
                  <a16:creationId xmlns:a16="http://schemas.microsoft.com/office/drawing/2014/main" id="{382FE8F7-6D87-98A2-960D-9AD45A8513F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1" name="Elemento grafico 50" descr="Smile di Harvey Ball 0% con riempimento a tinta unita">
              <a:extLst>
                <a:ext uri="{FF2B5EF4-FFF2-40B4-BE49-F238E27FC236}">
                  <a16:creationId xmlns:a16="http://schemas.microsoft.com/office/drawing/2014/main" id="{92F9A639-1AD7-39B4-5638-FF97C7D527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2" name="Elemento grafico 51" descr="Smile di Harvey Ball 0% con riempimento a tinta unita">
              <a:extLst>
                <a:ext uri="{FF2B5EF4-FFF2-40B4-BE49-F238E27FC236}">
                  <a16:creationId xmlns:a16="http://schemas.microsoft.com/office/drawing/2014/main" id="{BB12B932-C2D5-F407-BB38-497B3127EB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3" name="Elemento grafico 52" descr="Smile di Harvey Ball 0% con riempimento a tinta unita">
              <a:extLst>
                <a:ext uri="{FF2B5EF4-FFF2-40B4-BE49-F238E27FC236}">
                  <a16:creationId xmlns:a16="http://schemas.microsoft.com/office/drawing/2014/main" id="{D5961495-7733-B2E0-7DEE-94D03221B2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4" name="Elemento grafico 53" descr="Smile di Harvey Ball 0% con riempimento a tinta unita">
              <a:extLst>
                <a:ext uri="{FF2B5EF4-FFF2-40B4-BE49-F238E27FC236}">
                  <a16:creationId xmlns:a16="http://schemas.microsoft.com/office/drawing/2014/main" id="{A47E4304-51DD-AC24-1B99-8A0103027C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5" name="Elemento grafico 54" descr="Smile di Harvey Ball 0% con riempimento a tinta unita">
              <a:extLst>
                <a:ext uri="{FF2B5EF4-FFF2-40B4-BE49-F238E27FC236}">
                  <a16:creationId xmlns:a16="http://schemas.microsoft.com/office/drawing/2014/main" id="{8489D2C1-9FA9-2F92-D694-E86F5A6ED0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21</xdr:row>
      <xdr:rowOff>47414</xdr:rowOff>
    </xdr:from>
    <xdr:to>
      <xdr:col>16</xdr:col>
      <xdr:colOff>394545</xdr:colOff>
      <xdr:row>21</xdr:row>
      <xdr:rowOff>176108</xdr:rowOff>
    </xdr:to>
    <xdr:grpSp>
      <xdr:nvGrpSpPr>
        <xdr:cNvPr id="68" name="Gruppo 67">
          <a:extLst>
            <a:ext uri="{FF2B5EF4-FFF2-40B4-BE49-F238E27FC236}">
              <a16:creationId xmlns:a16="http://schemas.microsoft.com/office/drawing/2014/main" id="{B12DB3C8-9E34-4762-AE97-8FA94FED5E14}"/>
            </a:ext>
          </a:extLst>
        </xdr:cNvPr>
        <xdr:cNvGrpSpPr/>
      </xdr:nvGrpSpPr>
      <xdr:grpSpPr>
        <a:xfrm>
          <a:off x="4072466" y="4714664"/>
          <a:ext cx="2824479" cy="128694"/>
          <a:chOff x="4031826" y="3578013"/>
          <a:chExt cx="2799079" cy="128694"/>
        </a:xfrm>
      </xdr:grpSpPr>
      <xdr:grpSp>
        <xdr:nvGrpSpPr>
          <xdr:cNvPr id="69" name="Gruppo 68">
            <a:extLst>
              <a:ext uri="{FF2B5EF4-FFF2-40B4-BE49-F238E27FC236}">
                <a16:creationId xmlns:a16="http://schemas.microsoft.com/office/drawing/2014/main" id="{2C484ACD-0B77-CA89-EBF3-4C09A42A52AE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84" name="Elemento grafico 83" descr="Smile di Harvey Ball 0% con riempimento a tinta unita">
              <a:extLst>
                <a:ext uri="{FF2B5EF4-FFF2-40B4-BE49-F238E27FC236}">
                  <a16:creationId xmlns:a16="http://schemas.microsoft.com/office/drawing/2014/main" id="{D214E8E0-B4FF-EF81-CE64-05A7583021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5" name="Elemento grafico 84" descr="Smile di Harvey Ball 0% con riempimento a tinta unita">
              <a:extLst>
                <a:ext uri="{FF2B5EF4-FFF2-40B4-BE49-F238E27FC236}">
                  <a16:creationId xmlns:a16="http://schemas.microsoft.com/office/drawing/2014/main" id="{0CE4A91F-8FE9-802E-6AF5-D1086BA94E6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6" name="Elemento grafico 85" descr="Smile di Harvey Ball 0% con riempimento a tinta unita">
              <a:extLst>
                <a:ext uri="{FF2B5EF4-FFF2-40B4-BE49-F238E27FC236}">
                  <a16:creationId xmlns:a16="http://schemas.microsoft.com/office/drawing/2014/main" id="{E6851791-D5A6-6408-5D8F-D7A6DA9227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7" name="Elemento grafico 86" descr="Smile di Harvey Ball 0% con riempimento a tinta unita">
              <a:extLst>
                <a:ext uri="{FF2B5EF4-FFF2-40B4-BE49-F238E27FC236}">
                  <a16:creationId xmlns:a16="http://schemas.microsoft.com/office/drawing/2014/main" id="{F784D271-3089-8DCF-6FBA-C1E727763F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8" name="Elemento grafico 87" descr="Smile di Harvey Ball 0% con riempimento a tinta unita">
              <a:extLst>
                <a:ext uri="{FF2B5EF4-FFF2-40B4-BE49-F238E27FC236}">
                  <a16:creationId xmlns:a16="http://schemas.microsoft.com/office/drawing/2014/main" id="{66B11412-F1B9-24A1-C332-D5E36D2A51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9" name="Elemento grafico 88" descr="Smile di Harvey Ball 0% con riempimento a tinta unita">
              <a:extLst>
                <a:ext uri="{FF2B5EF4-FFF2-40B4-BE49-F238E27FC236}">
                  <a16:creationId xmlns:a16="http://schemas.microsoft.com/office/drawing/2014/main" id="{EA08F79A-82FD-4415-8D5E-0635001ABF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0" name="Gruppo 69">
            <a:extLst>
              <a:ext uri="{FF2B5EF4-FFF2-40B4-BE49-F238E27FC236}">
                <a16:creationId xmlns:a16="http://schemas.microsoft.com/office/drawing/2014/main" id="{32C04520-94A7-12F1-C475-50CBEC1DD8F5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78" name="Elemento grafico 77" descr="Smile di Harvey Ball 0% con riempimento a tinta unita">
              <a:extLst>
                <a:ext uri="{FF2B5EF4-FFF2-40B4-BE49-F238E27FC236}">
                  <a16:creationId xmlns:a16="http://schemas.microsoft.com/office/drawing/2014/main" id="{027C4345-A4BF-3004-AF0B-C4321AE2BE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9" name="Elemento grafico 78" descr="Smile di Harvey Ball 0% con riempimento a tinta unita">
              <a:extLst>
                <a:ext uri="{FF2B5EF4-FFF2-40B4-BE49-F238E27FC236}">
                  <a16:creationId xmlns:a16="http://schemas.microsoft.com/office/drawing/2014/main" id="{EFF999E5-53F4-2788-7F52-D52BFA6A16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0" name="Elemento grafico 79" descr="Smile di Harvey Ball 0% con riempimento a tinta unita">
              <a:extLst>
                <a:ext uri="{FF2B5EF4-FFF2-40B4-BE49-F238E27FC236}">
                  <a16:creationId xmlns:a16="http://schemas.microsoft.com/office/drawing/2014/main" id="{DAC86445-BDA6-73EC-6AF5-5E5EA2B497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1" name="Elemento grafico 80" descr="Smile di Harvey Ball 0% con riempimento a tinta unita">
              <a:extLst>
                <a:ext uri="{FF2B5EF4-FFF2-40B4-BE49-F238E27FC236}">
                  <a16:creationId xmlns:a16="http://schemas.microsoft.com/office/drawing/2014/main" id="{D74B39FF-84FA-1D09-FB67-A9A18F8A2F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2" name="Elemento grafico 81" descr="Smile di Harvey Ball 0% con riempimento a tinta unita">
              <a:extLst>
                <a:ext uri="{FF2B5EF4-FFF2-40B4-BE49-F238E27FC236}">
                  <a16:creationId xmlns:a16="http://schemas.microsoft.com/office/drawing/2014/main" id="{0AA6B557-E3F6-6A43-7242-75AB3E3CEE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3" name="Elemento grafico 82" descr="Smile di Harvey Ball 0% con riempimento a tinta unita">
              <a:extLst>
                <a:ext uri="{FF2B5EF4-FFF2-40B4-BE49-F238E27FC236}">
                  <a16:creationId xmlns:a16="http://schemas.microsoft.com/office/drawing/2014/main" id="{5F34AA6F-C105-9077-EA75-600C5B2082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1" name="Gruppo 70">
            <a:extLst>
              <a:ext uri="{FF2B5EF4-FFF2-40B4-BE49-F238E27FC236}">
                <a16:creationId xmlns:a16="http://schemas.microsoft.com/office/drawing/2014/main" id="{5CDD6E7A-7F97-FFF6-C9D5-627B84252376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72" name="Elemento grafico 71" descr="Smile di Harvey Ball 0% con riempimento a tinta unita">
              <a:extLst>
                <a:ext uri="{FF2B5EF4-FFF2-40B4-BE49-F238E27FC236}">
                  <a16:creationId xmlns:a16="http://schemas.microsoft.com/office/drawing/2014/main" id="{DE4EBDEA-98FB-ED0A-4E59-FF8CAEF8B2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3" name="Elemento grafico 72" descr="Smile di Harvey Ball 0% con riempimento a tinta unita">
              <a:extLst>
                <a:ext uri="{FF2B5EF4-FFF2-40B4-BE49-F238E27FC236}">
                  <a16:creationId xmlns:a16="http://schemas.microsoft.com/office/drawing/2014/main" id="{FE8093EB-FB35-0200-DFA5-A33F4CEFF7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4" name="Elemento grafico 73" descr="Smile di Harvey Ball 0% con riempimento a tinta unita">
              <a:extLst>
                <a:ext uri="{FF2B5EF4-FFF2-40B4-BE49-F238E27FC236}">
                  <a16:creationId xmlns:a16="http://schemas.microsoft.com/office/drawing/2014/main" id="{1ACE3A83-7963-0598-39DC-93A921748B7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5" name="Elemento grafico 74" descr="Smile di Harvey Ball 0% con riempimento a tinta unita">
              <a:extLst>
                <a:ext uri="{FF2B5EF4-FFF2-40B4-BE49-F238E27FC236}">
                  <a16:creationId xmlns:a16="http://schemas.microsoft.com/office/drawing/2014/main" id="{FD3D3A1C-208D-2BB6-60D6-D63E7A1807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6" name="Elemento grafico 75" descr="Smile di Harvey Ball 0% con riempimento a tinta unita">
              <a:extLst>
                <a:ext uri="{FF2B5EF4-FFF2-40B4-BE49-F238E27FC236}">
                  <a16:creationId xmlns:a16="http://schemas.microsoft.com/office/drawing/2014/main" id="{EE86BBD6-1578-7758-6A1E-27452470DE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7" name="Elemento grafico 76" descr="Smile di Harvey Ball 0% con riempimento a tinta unita">
              <a:extLst>
                <a:ext uri="{FF2B5EF4-FFF2-40B4-BE49-F238E27FC236}">
                  <a16:creationId xmlns:a16="http://schemas.microsoft.com/office/drawing/2014/main" id="{7B745E01-C04A-D31C-D867-B8E12194C0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18</xdr:row>
      <xdr:rowOff>48863</xdr:rowOff>
    </xdr:from>
    <xdr:to>
      <xdr:col>16</xdr:col>
      <xdr:colOff>394545</xdr:colOff>
      <xdr:row>18</xdr:row>
      <xdr:rowOff>177557</xdr:rowOff>
    </xdr:to>
    <xdr:grpSp>
      <xdr:nvGrpSpPr>
        <xdr:cNvPr id="90" name="Gruppo 89">
          <a:extLst>
            <a:ext uri="{FF2B5EF4-FFF2-40B4-BE49-F238E27FC236}">
              <a16:creationId xmlns:a16="http://schemas.microsoft.com/office/drawing/2014/main" id="{D883BDE1-27A5-485F-93AA-D7B99046392C}"/>
            </a:ext>
          </a:extLst>
        </xdr:cNvPr>
        <xdr:cNvGrpSpPr/>
      </xdr:nvGrpSpPr>
      <xdr:grpSpPr>
        <a:xfrm>
          <a:off x="4072466" y="4049363"/>
          <a:ext cx="2824479" cy="128694"/>
          <a:chOff x="4031826" y="3578013"/>
          <a:chExt cx="2799079" cy="128694"/>
        </a:xfrm>
      </xdr:grpSpPr>
      <xdr:grpSp>
        <xdr:nvGrpSpPr>
          <xdr:cNvPr id="91" name="Gruppo 90">
            <a:extLst>
              <a:ext uri="{FF2B5EF4-FFF2-40B4-BE49-F238E27FC236}">
                <a16:creationId xmlns:a16="http://schemas.microsoft.com/office/drawing/2014/main" id="{CEAB4AA7-AFE8-1BD4-759E-79384A0F0317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06" name="Elemento grafico 105" descr="Smile di Harvey Ball 0% con riempimento a tinta unita">
              <a:extLst>
                <a:ext uri="{FF2B5EF4-FFF2-40B4-BE49-F238E27FC236}">
                  <a16:creationId xmlns:a16="http://schemas.microsoft.com/office/drawing/2014/main" id="{E65D7D03-2092-B043-F8C1-2F24754BA2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7" name="Elemento grafico 106" descr="Smile di Harvey Ball 0% con riempimento a tinta unita">
              <a:extLst>
                <a:ext uri="{FF2B5EF4-FFF2-40B4-BE49-F238E27FC236}">
                  <a16:creationId xmlns:a16="http://schemas.microsoft.com/office/drawing/2014/main" id="{DB98E423-D205-2B88-5AC5-8A40BF64DC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8" name="Elemento grafico 107" descr="Smile di Harvey Ball 0% con riempimento a tinta unita">
              <a:extLst>
                <a:ext uri="{FF2B5EF4-FFF2-40B4-BE49-F238E27FC236}">
                  <a16:creationId xmlns:a16="http://schemas.microsoft.com/office/drawing/2014/main" id="{2887980B-F544-5093-BB8E-29B6F6451C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9" name="Elemento grafico 108" descr="Smile di Harvey Ball 0% con riempimento a tinta unita">
              <a:extLst>
                <a:ext uri="{FF2B5EF4-FFF2-40B4-BE49-F238E27FC236}">
                  <a16:creationId xmlns:a16="http://schemas.microsoft.com/office/drawing/2014/main" id="{251427D1-245A-43CF-0A65-C3BC5AC11D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0" name="Elemento grafico 109" descr="Smile di Harvey Ball 0% con riempimento a tinta unita">
              <a:extLst>
                <a:ext uri="{FF2B5EF4-FFF2-40B4-BE49-F238E27FC236}">
                  <a16:creationId xmlns:a16="http://schemas.microsoft.com/office/drawing/2014/main" id="{92CC8058-8101-E662-8784-00FFD1212D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1" name="Elemento grafico 110" descr="Smile di Harvey Ball 0% con riempimento a tinta unita">
              <a:extLst>
                <a:ext uri="{FF2B5EF4-FFF2-40B4-BE49-F238E27FC236}">
                  <a16:creationId xmlns:a16="http://schemas.microsoft.com/office/drawing/2014/main" id="{ABB3B030-33D5-792E-475F-F2069390C3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2" name="Gruppo 91">
            <a:extLst>
              <a:ext uri="{FF2B5EF4-FFF2-40B4-BE49-F238E27FC236}">
                <a16:creationId xmlns:a16="http://schemas.microsoft.com/office/drawing/2014/main" id="{55348D34-CEB3-1DA5-3F90-0F45CC4B0ABC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00" name="Elemento grafico 99" descr="Smile di Harvey Ball 0% con riempimento a tinta unita">
              <a:extLst>
                <a:ext uri="{FF2B5EF4-FFF2-40B4-BE49-F238E27FC236}">
                  <a16:creationId xmlns:a16="http://schemas.microsoft.com/office/drawing/2014/main" id="{989265A1-6DC1-7546-4FD8-4F0DD0BF50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1" name="Elemento grafico 100" descr="Smile di Harvey Ball 0% con riempimento a tinta unita">
              <a:extLst>
                <a:ext uri="{FF2B5EF4-FFF2-40B4-BE49-F238E27FC236}">
                  <a16:creationId xmlns:a16="http://schemas.microsoft.com/office/drawing/2014/main" id="{1952E9E0-4940-D467-2AF9-57368A9348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2" name="Elemento grafico 101" descr="Smile di Harvey Ball 0% con riempimento a tinta unita">
              <a:extLst>
                <a:ext uri="{FF2B5EF4-FFF2-40B4-BE49-F238E27FC236}">
                  <a16:creationId xmlns:a16="http://schemas.microsoft.com/office/drawing/2014/main" id="{E815A43C-E01A-C12E-A9DE-D9E945DCD6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3" name="Elemento grafico 102" descr="Smile di Harvey Ball 0% con riempimento a tinta unita">
              <a:extLst>
                <a:ext uri="{FF2B5EF4-FFF2-40B4-BE49-F238E27FC236}">
                  <a16:creationId xmlns:a16="http://schemas.microsoft.com/office/drawing/2014/main" id="{FA830A8F-56E6-8B0B-540D-611456E160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4" name="Elemento grafico 103" descr="Smile di Harvey Ball 0% con riempimento a tinta unita">
              <a:extLst>
                <a:ext uri="{FF2B5EF4-FFF2-40B4-BE49-F238E27FC236}">
                  <a16:creationId xmlns:a16="http://schemas.microsoft.com/office/drawing/2014/main" id="{1F3F663F-FC64-B86F-FFBA-9F21DAB606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5" name="Elemento grafico 104" descr="Smile di Harvey Ball 0% con riempimento a tinta unita">
              <a:extLst>
                <a:ext uri="{FF2B5EF4-FFF2-40B4-BE49-F238E27FC236}">
                  <a16:creationId xmlns:a16="http://schemas.microsoft.com/office/drawing/2014/main" id="{15510ADF-BCC7-1A5B-C67A-764BFC6435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3" name="Gruppo 92">
            <a:extLst>
              <a:ext uri="{FF2B5EF4-FFF2-40B4-BE49-F238E27FC236}">
                <a16:creationId xmlns:a16="http://schemas.microsoft.com/office/drawing/2014/main" id="{7EE6786F-4456-CE5E-A440-6364873B802B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94" name="Elemento grafico 93" descr="Smile di Harvey Ball 0% con riempimento a tinta unita">
              <a:extLst>
                <a:ext uri="{FF2B5EF4-FFF2-40B4-BE49-F238E27FC236}">
                  <a16:creationId xmlns:a16="http://schemas.microsoft.com/office/drawing/2014/main" id="{F80D2560-6F37-D9B7-8470-90F3EBCE7A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5" name="Elemento grafico 94" descr="Smile di Harvey Ball 0% con riempimento a tinta unita">
              <a:extLst>
                <a:ext uri="{FF2B5EF4-FFF2-40B4-BE49-F238E27FC236}">
                  <a16:creationId xmlns:a16="http://schemas.microsoft.com/office/drawing/2014/main" id="{92028B13-7363-79E9-F864-59793C89F1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6" name="Elemento grafico 95" descr="Smile di Harvey Ball 0% con riempimento a tinta unita">
              <a:extLst>
                <a:ext uri="{FF2B5EF4-FFF2-40B4-BE49-F238E27FC236}">
                  <a16:creationId xmlns:a16="http://schemas.microsoft.com/office/drawing/2014/main" id="{728FC690-7FDC-68DC-C809-1814D95AD3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7" name="Elemento grafico 96" descr="Smile di Harvey Ball 0% con riempimento a tinta unita">
              <a:extLst>
                <a:ext uri="{FF2B5EF4-FFF2-40B4-BE49-F238E27FC236}">
                  <a16:creationId xmlns:a16="http://schemas.microsoft.com/office/drawing/2014/main" id="{70738A6E-16C1-89BC-5AA2-A6FC7F5142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8" name="Elemento grafico 97" descr="Smile di Harvey Ball 0% con riempimento a tinta unita">
              <a:extLst>
                <a:ext uri="{FF2B5EF4-FFF2-40B4-BE49-F238E27FC236}">
                  <a16:creationId xmlns:a16="http://schemas.microsoft.com/office/drawing/2014/main" id="{0B86254D-8C66-DEDF-65EA-0017F2F815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9" name="Elemento grafico 98" descr="Smile di Harvey Ball 0% con riempimento a tinta unita">
              <a:extLst>
                <a:ext uri="{FF2B5EF4-FFF2-40B4-BE49-F238E27FC236}">
                  <a16:creationId xmlns:a16="http://schemas.microsoft.com/office/drawing/2014/main" id="{F953E625-AE17-08ED-22C3-0784D8DF2E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19</xdr:row>
      <xdr:rowOff>48380</xdr:rowOff>
    </xdr:from>
    <xdr:to>
      <xdr:col>16</xdr:col>
      <xdr:colOff>394545</xdr:colOff>
      <xdr:row>19</xdr:row>
      <xdr:rowOff>177074</xdr:rowOff>
    </xdr:to>
    <xdr:grpSp>
      <xdr:nvGrpSpPr>
        <xdr:cNvPr id="112" name="Gruppo 111">
          <a:extLst>
            <a:ext uri="{FF2B5EF4-FFF2-40B4-BE49-F238E27FC236}">
              <a16:creationId xmlns:a16="http://schemas.microsoft.com/office/drawing/2014/main" id="{55A8FEB6-FA63-45EB-B71A-24D0309B4627}"/>
            </a:ext>
          </a:extLst>
        </xdr:cNvPr>
        <xdr:cNvGrpSpPr/>
      </xdr:nvGrpSpPr>
      <xdr:grpSpPr>
        <a:xfrm>
          <a:off x="4072466" y="4271130"/>
          <a:ext cx="2824479" cy="128694"/>
          <a:chOff x="4031826" y="3578013"/>
          <a:chExt cx="2799079" cy="128694"/>
        </a:xfrm>
      </xdr:grpSpPr>
      <xdr:grpSp>
        <xdr:nvGrpSpPr>
          <xdr:cNvPr id="113" name="Gruppo 112">
            <a:extLst>
              <a:ext uri="{FF2B5EF4-FFF2-40B4-BE49-F238E27FC236}">
                <a16:creationId xmlns:a16="http://schemas.microsoft.com/office/drawing/2014/main" id="{83749B74-E75D-9AE0-658E-6B28DC310907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28" name="Elemento grafico 127" descr="Smile di Harvey Ball 0% con riempimento a tinta unita">
              <a:extLst>
                <a:ext uri="{FF2B5EF4-FFF2-40B4-BE49-F238E27FC236}">
                  <a16:creationId xmlns:a16="http://schemas.microsoft.com/office/drawing/2014/main" id="{CC2F5048-35CD-3E03-BDD3-0E411BC57A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9" name="Elemento grafico 128" descr="Smile di Harvey Ball 0% con riempimento a tinta unita">
              <a:extLst>
                <a:ext uri="{FF2B5EF4-FFF2-40B4-BE49-F238E27FC236}">
                  <a16:creationId xmlns:a16="http://schemas.microsoft.com/office/drawing/2014/main" id="{0CD1BCA3-4FD6-381A-9A6A-38967600A3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0" name="Elemento grafico 129" descr="Smile di Harvey Ball 0% con riempimento a tinta unita">
              <a:extLst>
                <a:ext uri="{FF2B5EF4-FFF2-40B4-BE49-F238E27FC236}">
                  <a16:creationId xmlns:a16="http://schemas.microsoft.com/office/drawing/2014/main" id="{F5545D9E-4D61-947C-962B-8541AF4031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1" name="Elemento grafico 130" descr="Smile di Harvey Ball 0% con riempimento a tinta unita">
              <a:extLst>
                <a:ext uri="{FF2B5EF4-FFF2-40B4-BE49-F238E27FC236}">
                  <a16:creationId xmlns:a16="http://schemas.microsoft.com/office/drawing/2014/main" id="{7E91F575-BB5D-89EC-0B11-D0C9765C6F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2" name="Elemento grafico 131" descr="Smile di Harvey Ball 0% con riempimento a tinta unita">
              <a:extLst>
                <a:ext uri="{FF2B5EF4-FFF2-40B4-BE49-F238E27FC236}">
                  <a16:creationId xmlns:a16="http://schemas.microsoft.com/office/drawing/2014/main" id="{321ED64B-FCA3-46B4-C869-6526A2229F5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3" name="Elemento grafico 132" descr="Smile di Harvey Ball 0% con riempimento a tinta unita">
              <a:extLst>
                <a:ext uri="{FF2B5EF4-FFF2-40B4-BE49-F238E27FC236}">
                  <a16:creationId xmlns:a16="http://schemas.microsoft.com/office/drawing/2014/main" id="{E39DAF21-5EEC-F275-1758-4BDE43094D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4" name="Gruppo 113">
            <a:extLst>
              <a:ext uri="{FF2B5EF4-FFF2-40B4-BE49-F238E27FC236}">
                <a16:creationId xmlns:a16="http://schemas.microsoft.com/office/drawing/2014/main" id="{C6BE6397-5CAB-8571-F42C-48BB26DC0D96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2" name="Elemento grafico 121" descr="Smile di Harvey Ball 0% con riempimento a tinta unita">
              <a:extLst>
                <a:ext uri="{FF2B5EF4-FFF2-40B4-BE49-F238E27FC236}">
                  <a16:creationId xmlns:a16="http://schemas.microsoft.com/office/drawing/2014/main" id="{32D7A701-EEA7-8FBA-30F3-AA786135A9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3" name="Elemento grafico 122" descr="Smile di Harvey Ball 0% con riempimento a tinta unita">
              <a:extLst>
                <a:ext uri="{FF2B5EF4-FFF2-40B4-BE49-F238E27FC236}">
                  <a16:creationId xmlns:a16="http://schemas.microsoft.com/office/drawing/2014/main" id="{64348F8D-745D-44C2-A9AD-B416116091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4" name="Elemento grafico 123" descr="Smile di Harvey Ball 0% con riempimento a tinta unita">
              <a:extLst>
                <a:ext uri="{FF2B5EF4-FFF2-40B4-BE49-F238E27FC236}">
                  <a16:creationId xmlns:a16="http://schemas.microsoft.com/office/drawing/2014/main" id="{BFA24777-15BC-3984-5F8E-7C79B637AA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5" name="Elemento grafico 124" descr="Smile di Harvey Ball 0% con riempimento a tinta unita">
              <a:extLst>
                <a:ext uri="{FF2B5EF4-FFF2-40B4-BE49-F238E27FC236}">
                  <a16:creationId xmlns:a16="http://schemas.microsoft.com/office/drawing/2014/main" id="{06D434C7-26F6-2F48-62B2-3204A974F9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6" name="Elemento grafico 125" descr="Smile di Harvey Ball 0% con riempimento a tinta unita">
              <a:extLst>
                <a:ext uri="{FF2B5EF4-FFF2-40B4-BE49-F238E27FC236}">
                  <a16:creationId xmlns:a16="http://schemas.microsoft.com/office/drawing/2014/main" id="{3701E38C-05C4-9008-FD17-091B5EF54C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7" name="Elemento grafico 126" descr="Smile di Harvey Ball 0% con riempimento a tinta unita">
              <a:extLst>
                <a:ext uri="{FF2B5EF4-FFF2-40B4-BE49-F238E27FC236}">
                  <a16:creationId xmlns:a16="http://schemas.microsoft.com/office/drawing/2014/main" id="{0E582751-88F3-A66C-6A6D-E78E184D02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5" name="Gruppo 114">
            <a:extLst>
              <a:ext uri="{FF2B5EF4-FFF2-40B4-BE49-F238E27FC236}">
                <a16:creationId xmlns:a16="http://schemas.microsoft.com/office/drawing/2014/main" id="{57446322-9CCB-7F02-8E62-5B88188984D9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16" name="Elemento grafico 115" descr="Smile di Harvey Ball 0% con riempimento a tinta unita">
              <a:extLst>
                <a:ext uri="{FF2B5EF4-FFF2-40B4-BE49-F238E27FC236}">
                  <a16:creationId xmlns:a16="http://schemas.microsoft.com/office/drawing/2014/main" id="{9729C9F9-2889-2162-0ED8-4EEBA3A747D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7" name="Elemento grafico 116" descr="Smile di Harvey Ball 0% con riempimento a tinta unita">
              <a:extLst>
                <a:ext uri="{FF2B5EF4-FFF2-40B4-BE49-F238E27FC236}">
                  <a16:creationId xmlns:a16="http://schemas.microsoft.com/office/drawing/2014/main" id="{381CD5B6-4F2F-CDA1-0C50-2FD935DA18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8" name="Elemento grafico 117" descr="Smile di Harvey Ball 0% con riempimento a tinta unita">
              <a:extLst>
                <a:ext uri="{FF2B5EF4-FFF2-40B4-BE49-F238E27FC236}">
                  <a16:creationId xmlns:a16="http://schemas.microsoft.com/office/drawing/2014/main" id="{9E471129-FACF-E53D-260E-1714AF18390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9" name="Elemento grafico 118" descr="Smile di Harvey Ball 0% con riempimento a tinta unita">
              <a:extLst>
                <a:ext uri="{FF2B5EF4-FFF2-40B4-BE49-F238E27FC236}">
                  <a16:creationId xmlns:a16="http://schemas.microsoft.com/office/drawing/2014/main" id="{06949881-7254-928B-DD8D-C7539D63A9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0" name="Elemento grafico 119" descr="Smile di Harvey Ball 0% con riempimento a tinta unita">
              <a:extLst>
                <a:ext uri="{FF2B5EF4-FFF2-40B4-BE49-F238E27FC236}">
                  <a16:creationId xmlns:a16="http://schemas.microsoft.com/office/drawing/2014/main" id="{63B43F4F-65E7-91B5-8D06-ADE22A6412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1" name="Elemento grafico 120" descr="Smile di Harvey Ball 0% con riempimento a tinta unita">
              <a:extLst>
                <a:ext uri="{FF2B5EF4-FFF2-40B4-BE49-F238E27FC236}">
                  <a16:creationId xmlns:a16="http://schemas.microsoft.com/office/drawing/2014/main" id="{60484410-43B5-2994-9D9C-2B7A40D7BC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15</xdr:row>
      <xdr:rowOff>50313</xdr:rowOff>
    </xdr:from>
    <xdr:to>
      <xdr:col>16</xdr:col>
      <xdr:colOff>394545</xdr:colOff>
      <xdr:row>15</xdr:row>
      <xdr:rowOff>179007</xdr:rowOff>
    </xdr:to>
    <xdr:grpSp>
      <xdr:nvGrpSpPr>
        <xdr:cNvPr id="134" name="Gruppo 133">
          <a:extLst>
            <a:ext uri="{FF2B5EF4-FFF2-40B4-BE49-F238E27FC236}">
              <a16:creationId xmlns:a16="http://schemas.microsoft.com/office/drawing/2014/main" id="{F4F163C9-55DB-43DA-A837-8C9B8F9E7166}"/>
            </a:ext>
          </a:extLst>
        </xdr:cNvPr>
        <xdr:cNvGrpSpPr/>
      </xdr:nvGrpSpPr>
      <xdr:grpSpPr>
        <a:xfrm>
          <a:off x="4072466" y="3384063"/>
          <a:ext cx="2824479" cy="128694"/>
          <a:chOff x="4031826" y="3578013"/>
          <a:chExt cx="2799079" cy="128694"/>
        </a:xfrm>
      </xdr:grpSpPr>
      <xdr:grpSp>
        <xdr:nvGrpSpPr>
          <xdr:cNvPr id="135" name="Gruppo 134">
            <a:extLst>
              <a:ext uri="{FF2B5EF4-FFF2-40B4-BE49-F238E27FC236}">
                <a16:creationId xmlns:a16="http://schemas.microsoft.com/office/drawing/2014/main" id="{363D04F8-E87B-988D-A8A9-E5BB9C0817CD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50" name="Elemento grafico 149" descr="Smile di Harvey Ball 0% con riempimento a tinta unita">
              <a:extLst>
                <a:ext uri="{FF2B5EF4-FFF2-40B4-BE49-F238E27FC236}">
                  <a16:creationId xmlns:a16="http://schemas.microsoft.com/office/drawing/2014/main" id="{67828740-C336-C04E-9C2A-CB4AD823CB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1" name="Elemento grafico 150" descr="Smile di Harvey Ball 0% con riempimento a tinta unita">
              <a:extLst>
                <a:ext uri="{FF2B5EF4-FFF2-40B4-BE49-F238E27FC236}">
                  <a16:creationId xmlns:a16="http://schemas.microsoft.com/office/drawing/2014/main" id="{B48686F1-554E-7E7B-4802-D7333CDE89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2" name="Elemento grafico 151" descr="Smile di Harvey Ball 0% con riempimento a tinta unita">
              <a:extLst>
                <a:ext uri="{FF2B5EF4-FFF2-40B4-BE49-F238E27FC236}">
                  <a16:creationId xmlns:a16="http://schemas.microsoft.com/office/drawing/2014/main" id="{6F111BA2-909A-6994-D610-DB23F01ED5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3" name="Elemento grafico 152" descr="Smile di Harvey Ball 0% con riempimento a tinta unita">
              <a:extLst>
                <a:ext uri="{FF2B5EF4-FFF2-40B4-BE49-F238E27FC236}">
                  <a16:creationId xmlns:a16="http://schemas.microsoft.com/office/drawing/2014/main" id="{06A4B9AC-95B7-D63F-3028-9472E7BF5DF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4" name="Elemento grafico 153" descr="Smile di Harvey Ball 0% con riempimento a tinta unita">
              <a:extLst>
                <a:ext uri="{FF2B5EF4-FFF2-40B4-BE49-F238E27FC236}">
                  <a16:creationId xmlns:a16="http://schemas.microsoft.com/office/drawing/2014/main" id="{B85F182A-94F3-460D-89E2-A0A3D57F57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5" name="Elemento grafico 154" descr="Smile di Harvey Ball 0% con riempimento a tinta unita">
              <a:extLst>
                <a:ext uri="{FF2B5EF4-FFF2-40B4-BE49-F238E27FC236}">
                  <a16:creationId xmlns:a16="http://schemas.microsoft.com/office/drawing/2014/main" id="{806E102E-9EB3-0238-4B4C-C5268F9F16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6" name="Gruppo 135">
            <a:extLst>
              <a:ext uri="{FF2B5EF4-FFF2-40B4-BE49-F238E27FC236}">
                <a16:creationId xmlns:a16="http://schemas.microsoft.com/office/drawing/2014/main" id="{F93B39BF-A470-E9D6-00A7-47A19C0123CB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44" name="Elemento grafico 143" descr="Smile di Harvey Ball 0% con riempimento a tinta unita">
              <a:extLst>
                <a:ext uri="{FF2B5EF4-FFF2-40B4-BE49-F238E27FC236}">
                  <a16:creationId xmlns:a16="http://schemas.microsoft.com/office/drawing/2014/main" id="{DED1A777-1585-2B60-252D-6381D63840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5" name="Elemento grafico 144" descr="Smile di Harvey Ball 0% con riempimento a tinta unita">
              <a:extLst>
                <a:ext uri="{FF2B5EF4-FFF2-40B4-BE49-F238E27FC236}">
                  <a16:creationId xmlns:a16="http://schemas.microsoft.com/office/drawing/2014/main" id="{9407AB01-BC70-79FA-6E61-F0F7A6BB3A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6" name="Elemento grafico 145" descr="Smile di Harvey Ball 0% con riempimento a tinta unita">
              <a:extLst>
                <a:ext uri="{FF2B5EF4-FFF2-40B4-BE49-F238E27FC236}">
                  <a16:creationId xmlns:a16="http://schemas.microsoft.com/office/drawing/2014/main" id="{4B1BC4DD-F943-9D26-6B99-B4C138967A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7" name="Elemento grafico 146" descr="Smile di Harvey Ball 0% con riempimento a tinta unita">
              <a:extLst>
                <a:ext uri="{FF2B5EF4-FFF2-40B4-BE49-F238E27FC236}">
                  <a16:creationId xmlns:a16="http://schemas.microsoft.com/office/drawing/2014/main" id="{F31CFE42-6D32-9DA9-348A-AB8ADBB8E7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8" name="Elemento grafico 147" descr="Smile di Harvey Ball 0% con riempimento a tinta unita">
              <a:extLst>
                <a:ext uri="{FF2B5EF4-FFF2-40B4-BE49-F238E27FC236}">
                  <a16:creationId xmlns:a16="http://schemas.microsoft.com/office/drawing/2014/main" id="{4B1A27B3-E9B9-47B6-4A1A-F8FBF09E41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9" name="Elemento grafico 148" descr="Smile di Harvey Ball 0% con riempimento a tinta unita">
              <a:extLst>
                <a:ext uri="{FF2B5EF4-FFF2-40B4-BE49-F238E27FC236}">
                  <a16:creationId xmlns:a16="http://schemas.microsoft.com/office/drawing/2014/main" id="{A3F5A4B6-5EBC-93E2-BB60-F6BEA86ECAD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7" name="Gruppo 136">
            <a:extLst>
              <a:ext uri="{FF2B5EF4-FFF2-40B4-BE49-F238E27FC236}">
                <a16:creationId xmlns:a16="http://schemas.microsoft.com/office/drawing/2014/main" id="{59EF2EB7-3155-8668-4811-67D24B8B4E2B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38" name="Elemento grafico 137" descr="Smile di Harvey Ball 0% con riempimento a tinta unita">
              <a:extLst>
                <a:ext uri="{FF2B5EF4-FFF2-40B4-BE49-F238E27FC236}">
                  <a16:creationId xmlns:a16="http://schemas.microsoft.com/office/drawing/2014/main" id="{9C96442E-3080-7BBA-40EA-BC53E237FA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9" name="Elemento grafico 138" descr="Smile di Harvey Ball 0% con riempimento a tinta unita">
              <a:extLst>
                <a:ext uri="{FF2B5EF4-FFF2-40B4-BE49-F238E27FC236}">
                  <a16:creationId xmlns:a16="http://schemas.microsoft.com/office/drawing/2014/main" id="{B74DA225-3C1B-7260-562F-D0821F6832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0" name="Elemento grafico 139" descr="Smile di Harvey Ball 0% con riempimento a tinta unita">
              <a:extLst>
                <a:ext uri="{FF2B5EF4-FFF2-40B4-BE49-F238E27FC236}">
                  <a16:creationId xmlns:a16="http://schemas.microsoft.com/office/drawing/2014/main" id="{1CD3626F-9433-450D-BEFA-DF179ECFC17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1" name="Elemento grafico 140" descr="Smile di Harvey Ball 0% con riempimento a tinta unita">
              <a:extLst>
                <a:ext uri="{FF2B5EF4-FFF2-40B4-BE49-F238E27FC236}">
                  <a16:creationId xmlns:a16="http://schemas.microsoft.com/office/drawing/2014/main" id="{820590E4-8E7B-50DC-BF28-26C0EFC6D2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2" name="Elemento grafico 141" descr="Smile di Harvey Ball 0% con riempimento a tinta unita">
              <a:extLst>
                <a:ext uri="{FF2B5EF4-FFF2-40B4-BE49-F238E27FC236}">
                  <a16:creationId xmlns:a16="http://schemas.microsoft.com/office/drawing/2014/main" id="{4A7D3CAA-6993-0511-84AB-26FBA29182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3" name="Elemento grafico 142" descr="Smile di Harvey Ball 0% con riempimento a tinta unita">
              <a:extLst>
                <a:ext uri="{FF2B5EF4-FFF2-40B4-BE49-F238E27FC236}">
                  <a16:creationId xmlns:a16="http://schemas.microsoft.com/office/drawing/2014/main" id="{5B134B99-E2D9-DCB6-256D-A29D90BE28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14</xdr:row>
      <xdr:rowOff>50796</xdr:rowOff>
    </xdr:from>
    <xdr:to>
      <xdr:col>16</xdr:col>
      <xdr:colOff>394545</xdr:colOff>
      <xdr:row>14</xdr:row>
      <xdr:rowOff>179490</xdr:rowOff>
    </xdr:to>
    <xdr:grpSp>
      <xdr:nvGrpSpPr>
        <xdr:cNvPr id="156" name="Gruppo 155">
          <a:extLst>
            <a:ext uri="{FF2B5EF4-FFF2-40B4-BE49-F238E27FC236}">
              <a16:creationId xmlns:a16="http://schemas.microsoft.com/office/drawing/2014/main" id="{7C647CAF-4634-4675-B280-3636232C6409}"/>
            </a:ext>
          </a:extLst>
        </xdr:cNvPr>
        <xdr:cNvGrpSpPr/>
      </xdr:nvGrpSpPr>
      <xdr:grpSpPr>
        <a:xfrm>
          <a:off x="4072466" y="3162296"/>
          <a:ext cx="2824479" cy="128694"/>
          <a:chOff x="4031826" y="3578013"/>
          <a:chExt cx="2799079" cy="128694"/>
        </a:xfrm>
      </xdr:grpSpPr>
      <xdr:grpSp>
        <xdr:nvGrpSpPr>
          <xdr:cNvPr id="157" name="Gruppo 156">
            <a:extLst>
              <a:ext uri="{FF2B5EF4-FFF2-40B4-BE49-F238E27FC236}">
                <a16:creationId xmlns:a16="http://schemas.microsoft.com/office/drawing/2014/main" id="{3D5D0FB4-390C-5840-C224-183F62314E15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72" name="Elemento grafico 171" descr="Smile di Harvey Ball 0% con riempimento a tinta unita">
              <a:extLst>
                <a:ext uri="{FF2B5EF4-FFF2-40B4-BE49-F238E27FC236}">
                  <a16:creationId xmlns:a16="http://schemas.microsoft.com/office/drawing/2014/main" id="{85218216-CBA5-6E19-6942-AFF721E3D76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3" name="Elemento grafico 172" descr="Smile di Harvey Ball 0% con riempimento a tinta unita">
              <a:extLst>
                <a:ext uri="{FF2B5EF4-FFF2-40B4-BE49-F238E27FC236}">
                  <a16:creationId xmlns:a16="http://schemas.microsoft.com/office/drawing/2014/main" id="{8150E782-0A39-F4C4-B980-39D96D4F21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4" name="Elemento grafico 173" descr="Smile di Harvey Ball 0% con riempimento a tinta unita">
              <a:extLst>
                <a:ext uri="{FF2B5EF4-FFF2-40B4-BE49-F238E27FC236}">
                  <a16:creationId xmlns:a16="http://schemas.microsoft.com/office/drawing/2014/main" id="{37F0BDE2-7C84-5190-61FC-F4C8913D29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5" name="Elemento grafico 174" descr="Smile di Harvey Ball 0% con riempimento a tinta unita">
              <a:extLst>
                <a:ext uri="{FF2B5EF4-FFF2-40B4-BE49-F238E27FC236}">
                  <a16:creationId xmlns:a16="http://schemas.microsoft.com/office/drawing/2014/main" id="{58BF0A94-E499-E0B6-0AFD-133D0F44DD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6" name="Elemento grafico 175" descr="Smile di Harvey Ball 0% con riempimento a tinta unita">
              <a:extLst>
                <a:ext uri="{FF2B5EF4-FFF2-40B4-BE49-F238E27FC236}">
                  <a16:creationId xmlns:a16="http://schemas.microsoft.com/office/drawing/2014/main" id="{3B95E0DC-E80A-F0DE-A6D5-B6A7D5041E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7" name="Elemento grafico 176" descr="Smile di Harvey Ball 0% con riempimento a tinta unita">
              <a:extLst>
                <a:ext uri="{FF2B5EF4-FFF2-40B4-BE49-F238E27FC236}">
                  <a16:creationId xmlns:a16="http://schemas.microsoft.com/office/drawing/2014/main" id="{7B765516-9068-83D9-4FD6-38C65FFFE8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8" name="Gruppo 157">
            <a:extLst>
              <a:ext uri="{FF2B5EF4-FFF2-40B4-BE49-F238E27FC236}">
                <a16:creationId xmlns:a16="http://schemas.microsoft.com/office/drawing/2014/main" id="{B3473608-C36A-CD8E-311B-4475DB1CFFC7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66" name="Elemento grafico 165" descr="Smile di Harvey Ball 0% con riempimento a tinta unita">
              <a:extLst>
                <a:ext uri="{FF2B5EF4-FFF2-40B4-BE49-F238E27FC236}">
                  <a16:creationId xmlns:a16="http://schemas.microsoft.com/office/drawing/2014/main" id="{F0B55633-54DF-6F7F-AA9B-08B478F701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7" name="Elemento grafico 166" descr="Smile di Harvey Ball 0% con riempimento a tinta unita">
              <a:extLst>
                <a:ext uri="{FF2B5EF4-FFF2-40B4-BE49-F238E27FC236}">
                  <a16:creationId xmlns:a16="http://schemas.microsoft.com/office/drawing/2014/main" id="{C5046CF3-80F0-AE01-4511-B71B1D226B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8" name="Elemento grafico 167" descr="Smile di Harvey Ball 0% con riempimento a tinta unita">
              <a:extLst>
                <a:ext uri="{FF2B5EF4-FFF2-40B4-BE49-F238E27FC236}">
                  <a16:creationId xmlns:a16="http://schemas.microsoft.com/office/drawing/2014/main" id="{5BB23F00-6866-A923-60F9-65E8CFC2D9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9" name="Elemento grafico 168" descr="Smile di Harvey Ball 0% con riempimento a tinta unita">
              <a:extLst>
                <a:ext uri="{FF2B5EF4-FFF2-40B4-BE49-F238E27FC236}">
                  <a16:creationId xmlns:a16="http://schemas.microsoft.com/office/drawing/2014/main" id="{2E42775B-9E9B-4843-AA07-C38AAC32B7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0" name="Elemento grafico 169" descr="Smile di Harvey Ball 0% con riempimento a tinta unita">
              <a:extLst>
                <a:ext uri="{FF2B5EF4-FFF2-40B4-BE49-F238E27FC236}">
                  <a16:creationId xmlns:a16="http://schemas.microsoft.com/office/drawing/2014/main" id="{7A2CC35C-6FF0-C3C2-2034-14E6157D00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1" name="Elemento grafico 170" descr="Smile di Harvey Ball 0% con riempimento a tinta unita">
              <a:extLst>
                <a:ext uri="{FF2B5EF4-FFF2-40B4-BE49-F238E27FC236}">
                  <a16:creationId xmlns:a16="http://schemas.microsoft.com/office/drawing/2014/main" id="{09912E00-5CEE-11DE-2E8D-872755E858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9" name="Gruppo 158">
            <a:extLst>
              <a:ext uri="{FF2B5EF4-FFF2-40B4-BE49-F238E27FC236}">
                <a16:creationId xmlns:a16="http://schemas.microsoft.com/office/drawing/2014/main" id="{639A08C2-BB5D-769D-075C-3ACB95ACECFA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60" name="Elemento grafico 159" descr="Smile di Harvey Ball 0% con riempimento a tinta unita">
              <a:extLst>
                <a:ext uri="{FF2B5EF4-FFF2-40B4-BE49-F238E27FC236}">
                  <a16:creationId xmlns:a16="http://schemas.microsoft.com/office/drawing/2014/main" id="{466C13E6-C997-1CFE-3214-E51A75DB36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1" name="Elemento grafico 160" descr="Smile di Harvey Ball 0% con riempimento a tinta unita">
              <a:extLst>
                <a:ext uri="{FF2B5EF4-FFF2-40B4-BE49-F238E27FC236}">
                  <a16:creationId xmlns:a16="http://schemas.microsoft.com/office/drawing/2014/main" id="{047CA6D7-4515-A8D0-915C-6D5F6A0512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2" name="Elemento grafico 161" descr="Smile di Harvey Ball 0% con riempimento a tinta unita">
              <a:extLst>
                <a:ext uri="{FF2B5EF4-FFF2-40B4-BE49-F238E27FC236}">
                  <a16:creationId xmlns:a16="http://schemas.microsoft.com/office/drawing/2014/main" id="{90474993-5DFA-5AA8-E1BD-D5EE234C3C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3" name="Elemento grafico 162" descr="Smile di Harvey Ball 0% con riempimento a tinta unita">
              <a:extLst>
                <a:ext uri="{FF2B5EF4-FFF2-40B4-BE49-F238E27FC236}">
                  <a16:creationId xmlns:a16="http://schemas.microsoft.com/office/drawing/2014/main" id="{0986B456-E90C-F783-7DB0-508256FB81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4" name="Elemento grafico 163" descr="Smile di Harvey Ball 0% con riempimento a tinta unita">
              <a:extLst>
                <a:ext uri="{FF2B5EF4-FFF2-40B4-BE49-F238E27FC236}">
                  <a16:creationId xmlns:a16="http://schemas.microsoft.com/office/drawing/2014/main" id="{08701293-83F9-8A8D-19D6-FA7160ABDC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5" name="Elemento grafico 164" descr="Smile di Harvey Ball 0% con riempimento a tinta unita">
              <a:extLst>
                <a:ext uri="{FF2B5EF4-FFF2-40B4-BE49-F238E27FC236}">
                  <a16:creationId xmlns:a16="http://schemas.microsoft.com/office/drawing/2014/main" id="{8DA27167-C4A0-084E-665F-E701B249AA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40640</xdr:colOff>
      <xdr:row>22</xdr:row>
      <xdr:rowOff>25400</xdr:rowOff>
    </xdr:from>
    <xdr:to>
      <xdr:col>16</xdr:col>
      <xdr:colOff>173919</xdr:colOff>
      <xdr:row>22</xdr:row>
      <xdr:rowOff>154094</xdr:rowOff>
    </xdr:to>
    <xdr:pic>
      <xdr:nvPicPr>
        <xdr:cNvPr id="178" name="Elemento grafico 177" descr="Smile di Harvey Ball 0% con riempimento a tinta unita">
          <a:extLst>
            <a:ext uri="{FF2B5EF4-FFF2-40B4-BE49-F238E27FC236}">
              <a16:creationId xmlns:a16="http://schemas.microsoft.com/office/drawing/2014/main" id="{50CCFACE-7FCE-4FAB-958A-3ED9DF637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502400" y="4886960"/>
          <a:ext cx="133279" cy="128694"/>
        </a:xfrm>
        <a:prstGeom prst="rect">
          <a:avLst/>
        </a:prstGeom>
      </xdr:spPr>
    </xdr:pic>
    <xdr:clientData/>
  </xdr:twoCellAnchor>
  <xdr:twoCellAnchor>
    <xdr:from>
      <xdr:col>10</xdr:col>
      <xdr:colOff>8466</xdr:colOff>
      <xdr:row>13</xdr:row>
      <xdr:rowOff>54910</xdr:rowOff>
    </xdr:from>
    <xdr:to>
      <xdr:col>16</xdr:col>
      <xdr:colOff>394545</xdr:colOff>
      <xdr:row>13</xdr:row>
      <xdr:rowOff>183604</xdr:rowOff>
    </xdr:to>
    <xdr:grpSp>
      <xdr:nvGrpSpPr>
        <xdr:cNvPr id="179" name="Gruppo 178">
          <a:extLst>
            <a:ext uri="{FF2B5EF4-FFF2-40B4-BE49-F238E27FC236}">
              <a16:creationId xmlns:a16="http://schemas.microsoft.com/office/drawing/2014/main" id="{13D8D01A-BE3F-43E9-8840-9911F8A404DE}"/>
            </a:ext>
          </a:extLst>
        </xdr:cNvPr>
        <xdr:cNvGrpSpPr/>
      </xdr:nvGrpSpPr>
      <xdr:grpSpPr>
        <a:xfrm>
          <a:off x="4072466" y="2944160"/>
          <a:ext cx="2824479" cy="128694"/>
          <a:chOff x="4031826" y="3578013"/>
          <a:chExt cx="2799079" cy="128694"/>
        </a:xfrm>
      </xdr:grpSpPr>
      <xdr:grpSp>
        <xdr:nvGrpSpPr>
          <xdr:cNvPr id="180" name="Gruppo 179">
            <a:extLst>
              <a:ext uri="{FF2B5EF4-FFF2-40B4-BE49-F238E27FC236}">
                <a16:creationId xmlns:a16="http://schemas.microsoft.com/office/drawing/2014/main" id="{6327D83B-1EBE-492B-08EA-C6D99A75A776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95" name="Elemento grafico 194" descr="Smile di Harvey Ball 0% con riempimento a tinta unita">
              <a:extLst>
                <a:ext uri="{FF2B5EF4-FFF2-40B4-BE49-F238E27FC236}">
                  <a16:creationId xmlns:a16="http://schemas.microsoft.com/office/drawing/2014/main" id="{C33E9362-0531-3E77-0CA5-038A925C3A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6" name="Elemento grafico 195" descr="Smile di Harvey Ball 0% con riempimento a tinta unita">
              <a:extLst>
                <a:ext uri="{FF2B5EF4-FFF2-40B4-BE49-F238E27FC236}">
                  <a16:creationId xmlns:a16="http://schemas.microsoft.com/office/drawing/2014/main" id="{FC21EE60-0380-EA1E-879E-AB04493288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7" name="Elemento grafico 196" descr="Smile di Harvey Ball 0% con riempimento a tinta unita">
              <a:extLst>
                <a:ext uri="{FF2B5EF4-FFF2-40B4-BE49-F238E27FC236}">
                  <a16:creationId xmlns:a16="http://schemas.microsoft.com/office/drawing/2014/main" id="{955DA8A0-ECEA-3D3F-48E1-9BD41B388A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8" name="Elemento grafico 197" descr="Smile di Harvey Ball 0% con riempimento a tinta unita">
              <a:extLst>
                <a:ext uri="{FF2B5EF4-FFF2-40B4-BE49-F238E27FC236}">
                  <a16:creationId xmlns:a16="http://schemas.microsoft.com/office/drawing/2014/main" id="{2C4D4190-D802-3CCA-C690-0E34E8884F7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9" name="Elemento grafico 198" descr="Smile di Harvey Ball 0% con riempimento a tinta unita">
              <a:extLst>
                <a:ext uri="{FF2B5EF4-FFF2-40B4-BE49-F238E27FC236}">
                  <a16:creationId xmlns:a16="http://schemas.microsoft.com/office/drawing/2014/main" id="{3A1B7F78-87C5-7F6C-F1D4-E724124C7B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0" name="Elemento grafico 199" descr="Smile di Harvey Ball 0% con riempimento a tinta unita">
              <a:extLst>
                <a:ext uri="{FF2B5EF4-FFF2-40B4-BE49-F238E27FC236}">
                  <a16:creationId xmlns:a16="http://schemas.microsoft.com/office/drawing/2014/main" id="{AFFAAE95-3F4E-8EFE-8D4A-4427EEC4339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1" name="Gruppo 180">
            <a:extLst>
              <a:ext uri="{FF2B5EF4-FFF2-40B4-BE49-F238E27FC236}">
                <a16:creationId xmlns:a16="http://schemas.microsoft.com/office/drawing/2014/main" id="{53FE4E3D-45AA-9CA6-09BB-E4670073C243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89" name="Elemento grafico 188" descr="Smile di Harvey Ball 0% con riempimento a tinta unita">
              <a:extLst>
                <a:ext uri="{FF2B5EF4-FFF2-40B4-BE49-F238E27FC236}">
                  <a16:creationId xmlns:a16="http://schemas.microsoft.com/office/drawing/2014/main" id="{B8177F37-AEDE-FDCC-DD59-514F08BB08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0" name="Elemento grafico 189" descr="Smile di Harvey Ball 0% con riempimento a tinta unita">
              <a:extLst>
                <a:ext uri="{FF2B5EF4-FFF2-40B4-BE49-F238E27FC236}">
                  <a16:creationId xmlns:a16="http://schemas.microsoft.com/office/drawing/2014/main" id="{8AB15F82-D41D-3F23-79F8-2C0C7F0CFAE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1" name="Elemento grafico 190" descr="Smile di Harvey Ball 0% con riempimento a tinta unita">
              <a:extLst>
                <a:ext uri="{FF2B5EF4-FFF2-40B4-BE49-F238E27FC236}">
                  <a16:creationId xmlns:a16="http://schemas.microsoft.com/office/drawing/2014/main" id="{060EC0E9-3A47-E625-9513-79BA012563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2" name="Elemento grafico 191" descr="Smile di Harvey Ball 0% con riempimento a tinta unita">
              <a:extLst>
                <a:ext uri="{FF2B5EF4-FFF2-40B4-BE49-F238E27FC236}">
                  <a16:creationId xmlns:a16="http://schemas.microsoft.com/office/drawing/2014/main" id="{AF544F65-D1B0-5E04-F916-E8A359C84D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3" name="Elemento grafico 192" descr="Smile di Harvey Ball 0% con riempimento a tinta unita">
              <a:extLst>
                <a:ext uri="{FF2B5EF4-FFF2-40B4-BE49-F238E27FC236}">
                  <a16:creationId xmlns:a16="http://schemas.microsoft.com/office/drawing/2014/main" id="{E4346364-6D0C-BBB8-5915-0B1B033CCE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4" name="Elemento grafico 193" descr="Smile di Harvey Ball 0% con riempimento a tinta unita">
              <a:extLst>
                <a:ext uri="{FF2B5EF4-FFF2-40B4-BE49-F238E27FC236}">
                  <a16:creationId xmlns:a16="http://schemas.microsoft.com/office/drawing/2014/main" id="{91AFA831-C855-9596-D8B7-8C5E692A63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2" name="Gruppo 181">
            <a:extLst>
              <a:ext uri="{FF2B5EF4-FFF2-40B4-BE49-F238E27FC236}">
                <a16:creationId xmlns:a16="http://schemas.microsoft.com/office/drawing/2014/main" id="{06997BF0-291E-DD0E-D9D4-66C08CAD4756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83" name="Elemento grafico 182" descr="Smile di Harvey Ball 0% con riempimento a tinta unita">
              <a:extLst>
                <a:ext uri="{FF2B5EF4-FFF2-40B4-BE49-F238E27FC236}">
                  <a16:creationId xmlns:a16="http://schemas.microsoft.com/office/drawing/2014/main" id="{8C98044D-59AC-B618-24FC-3E9C58EE38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4" name="Elemento grafico 183" descr="Smile di Harvey Ball 0% con riempimento a tinta unita">
              <a:extLst>
                <a:ext uri="{FF2B5EF4-FFF2-40B4-BE49-F238E27FC236}">
                  <a16:creationId xmlns:a16="http://schemas.microsoft.com/office/drawing/2014/main" id="{A2C0C01B-C5E7-5636-D56F-A084C61F6A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5" name="Elemento grafico 184" descr="Smile di Harvey Ball 0% con riempimento a tinta unita">
              <a:extLst>
                <a:ext uri="{FF2B5EF4-FFF2-40B4-BE49-F238E27FC236}">
                  <a16:creationId xmlns:a16="http://schemas.microsoft.com/office/drawing/2014/main" id="{FE28D8D3-8CDF-8060-9D85-593BF2B397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6" name="Elemento grafico 185" descr="Smile di Harvey Ball 0% con riempimento a tinta unita">
              <a:extLst>
                <a:ext uri="{FF2B5EF4-FFF2-40B4-BE49-F238E27FC236}">
                  <a16:creationId xmlns:a16="http://schemas.microsoft.com/office/drawing/2014/main" id="{331FEB4C-D1B0-2A4C-404D-68A4982B66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7" name="Elemento grafico 186" descr="Smile di Harvey Ball 0% con riempimento a tinta unita">
              <a:extLst>
                <a:ext uri="{FF2B5EF4-FFF2-40B4-BE49-F238E27FC236}">
                  <a16:creationId xmlns:a16="http://schemas.microsoft.com/office/drawing/2014/main" id="{15A59FEE-D7FC-D59C-D4DB-DCF61C4B0A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8" name="Elemento grafico 187" descr="Smile di Harvey Ball 0% con riempimento a tinta unita">
              <a:extLst>
                <a:ext uri="{FF2B5EF4-FFF2-40B4-BE49-F238E27FC236}">
                  <a16:creationId xmlns:a16="http://schemas.microsoft.com/office/drawing/2014/main" id="{93A00B05-4E5C-A779-76B1-24E532850D3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8466</xdr:colOff>
      <xdr:row>16</xdr:row>
      <xdr:rowOff>49830</xdr:rowOff>
    </xdr:from>
    <xdr:to>
      <xdr:col>16</xdr:col>
      <xdr:colOff>394545</xdr:colOff>
      <xdr:row>16</xdr:row>
      <xdr:rowOff>178524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5D70751D-3173-4438-92B8-B630DFF9A61D}"/>
            </a:ext>
          </a:extLst>
        </xdr:cNvPr>
        <xdr:cNvGrpSpPr/>
      </xdr:nvGrpSpPr>
      <xdr:grpSpPr>
        <a:xfrm>
          <a:off x="4072466" y="3605830"/>
          <a:ext cx="2824479" cy="128694"/>
          <a:chOff x="4031826" y="3578013"/>
          <a:chExt cx="2799079" cy="128694"/>
        </a:xfrm>
      </xdr:grpSpPr>
      <xdr:grpSp>
        <xdr:nvGrpSpPr>
          <xdr:cNvPr id="3" name="Gruppo 2">
            <a:extLst>
              <a:ext uri="{FF2B5EF4-FFF2-40B4-BE49-F238E27FC236}">
                <a16:creationId xmlns:a16="http://schemas.microsoft.com/office/drawing/2014/main" id="{39B8F83C-CAA6-164A-FD65-43BAE4A4CCE6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8" name="Elemento grafico 17" descr="Smile di Harvey Ball 0% con riempimento a tinta unita">
              <a:extLst>
                <a:ext uri="{FF2B5EF4-FFF2-40B4-BE49-F238E27FC236}">
                  <a16:creationId xmlns:a16="http://schemas.microsoft.com/office/drawing/2014/main" id="{7D9120D6-3DC1-1F3C-CF82-5365D974DA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" name="Elemento grafico 18" descr="Smile di Harvey Ball 0% con riempimento a tinta unita">
              <a:extLst>
                <a:ext uri="{FF2B5EF4-FFF2-40B4-BE49-F238E27FC236}">
                  <a16:creationId xmlns:a16="http://schemas.microsoft.com/office/drawing/2014/main" id="{E6B0146B-894B-2340-3DD1-B25D358C49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" name="Elemento grafico 19" descr="Smile di Harvey Ball 0% con riempimento a tinta unita">
              <a:extLst>
                <a:ext uri="{FF2B5EF4-FFF2-40B4-BE49-F238E27FC236}">
                  <a16:creationId xmlns:a16="http://schemas.microsoft.com/office/drawing/2014/main" id="{1B39F749-1AD2-8933-E7E8-F14C34A5A6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1" name="Elemento grafico 20" descr="Smile di Harvey Ball 0% con riempimento a tinta unita">
              <a:extLst>
                <a:ext uri="{FF2B5EF4-FFF2-40B4-BE49-F238E27FC236}">
                  <a16:creationId xmlns:a16="http://schemas.microsoft.com/office/drawing/2014/main" id="{A2875F40-A5FC-401A-1209-3807D019AE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2" name="Elemento grafico 21" descr="Smile di Harvey Ball 0% con riempimento a tinta unita">
              <a:extLst>
                <a:ext uri="{FF2B5EF4-FFF2-40B4-BE49-F238E27FC236}">
                  <a16:creationId xmlns:a16="http://schemas.microsoft.com/office/drawing/2014/main" id="{B3BC39B5-DD9A-198A-C53D-7C04BC2D86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3" name="Elemento grafico 22" descr="Smile di Harvey Ball 0% con riempimento a tinta unita">
              <a:extLst>
                <a:ext uri="{FF2B5EF4-FFF2-40B4-BE49-F238E27FC236}">
                  <a16:creationId xmlns:a16="http://schemas.microsoft.com/office/drawing/2014/main" id="{D63282F9-557F-53FA-51E5-02CB24970E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" name="Gruppo 3">
            <a:extLst>
              <a:ext uri="{FF2B5EF4-FFF2-40B4-BE49-F238E27FC236}">
                <a16:creationId xmlns:a16="http://schemas.microsoft.com/office/drawing/2014/main" id="{3953F89E-104A-47D2-BEC0-4E13A0A3EBC5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" name="Elemento grafico 11" descr="Smile di Harvey Ball 0% con riempimento a tinta unita">
              <a:extLst>
                <a:ext uri="{FF2B5EF4-FFF2-40B4-BE49-F238E27FC236}">
                  <a16:creationId xmlns:a16="http://schemas.microsoft.com/office/drawing/2014/main" id="{37421800-D4DD-A576-DB28-84FCA4B4D8F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" name="Elemento grafico 12" descr="Smile di Harvey Ball 0% con riempimento a tinta unita">
              <a:extLst>
                <a:ext uri="{FF2B5EF4-FFF2-40B4-BE49-F238E27FC236}">
                  <a16:creationId xmlns:a16="http://schemas.microsoft.com/office/drawing/2014/main" id="{DFC68449-D233-17A1-BDE3-3E33993503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" name="Elemento grafico 13" descr="Smile di Harvey Ball 0% con riempimento a tinta unita">
              <a:extLst>
                <a:ext uri="{FF2B5EF4-FFF2-40B4-BE49-F238E27FC236}">
                  <a16:creationId xmlns:a16="http://schemas.microsoft.com/office/drawing/2014/main" id="{6A9D5050-556C-E80C-8749-BED54EA698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" name="Elemento grafico 14" descr="Smile di Harvey Ball 0% con riempimento a tinta unita">
              <a:extLst>
                <a:ext uri="{FF2B5EF4-FFF2-40B4-BE49-F238E27FC236}">
                  <a16:creationId xmlns:a16="http://schemas.microsoft.com/office/drawing/2014/main" id="{FECA9C99-2C27-8DC1-07EB-53394773649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" name="Elemento grafico 15" descr="Smile di Harvey Ball 0% con riempimento a tinta unita">
              <a:extLst>
                <a:ext uri="{FF2B5EF4-FFF2-40B4-BE49-F238E27FC236}">
                  <a16:creationId xmlns:a16="http://schemas.microsoft.com/office/drawing/2014/main" id="{C7DD8386-6164-F13A-ADF9-F5F8002227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" name="Elemento grafico 16" descr="Smile di Harvey Ball 0% con riempimento a tinta unita">
              <a:extLst>
                <a:ext uri="{FF2B5EF4-FFF2-40B4-BE49-F238E27FC236}">
                  <a16:creationId xmlns:a16="http://schemas.microsoft.com/office/drawing/2014/main" id="{E1487D97-3382-EEB7-3219-894913A15F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5" name="Gruppo 4">
            <a:extLst>
              <a:ext uri="{FF2B5EF4-FFF2-40B4-BE49-F238E27FC236}">
                <a16:creationId xmlns:a16="http://schemas.microsoft.com/office/drawing/2014/main" id="{88C05DB1-20A1-C72C-FDD4-0ACB294FF3E2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6" name="Elemento grafico 5" descr="Smile di Harvey Ball 0% con riempimento a tinta unita">
              <a:extLst>
                <a:ext uri="{FF2B5EF4-FFF2-40B4-BE49-F238E27FC236}">
                  <a16:creationId xmlns:a16="http://schemas.microsoft.com/office/drawing/2014/main" id="{F5DE0913-656D-0820-7F72-520E1CF5350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" name="Elemento grafico 6" descr="Smile di Harvey Ball 0% con riempimento a tinta unita">
              <a:extLst>
                <a:ext uri="{FF2B5EF4-FFF2-40B4-BE49-F238E27FC236}">
                  <a16:creationId xmlns:a16="http://schemas.microsoft.com/office/drawing/2014/main" id="{0292F072-C3A9-080A-92B1-1F38C2ECDD3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" name="Elemento grafico 7" descr="Smile di Harvey Ball 0% con riempimento a tinta unita">
              <a:extLst>
                <a:ext uri="{FF2B5EF4-FFF2-40B4-BE49-F238E27FC236}">
                  <a16:creationId xmlns:a16="http://schemas.microsoft.com/office/drawing/2014/main" id="{75D1683F-C29E-A8B9-3465-CB488E14AF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" name="Elemento grafico 8" descr="Smile di Harvey Ball 0% con riempimento a tinta unita">
              <a:extLst>
                <a:ext uri="{FF2B5EF4-FFF2-40B4-BE49-F238E27FC236}">
                  <a16:creationId xmlns:a16="http://schemas.microsoft.com/office/drawing/2014/main" id="{C1B26C39-C2B6-485E-2A4E-64EB865EC7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" name="Elemento grafico 9" descr="Smile di Harvey Ball 0% con riempimento a tinta unita">
              <a:extLst>
                <a:ext uri="{FF2B5EF4-FFF2-40B4-BE49-F238E27FC236}">
                  <a16:creationId xmlns:a16="http://schemas.microsoft.com/office/drawing/2014/main" id="{42FD7790-C68E-A3EB-BC6C-D2E5F82669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" name="Elemento grafico 10" descr="Smile di Harvey Ball 0% con riempimento a tinta unita">
              <a:extLst>
                <a:ext uri="{FF2B5EF4-FFF2-40B4-BE49-F238E27FC236}">
                  <a16:creationId xmlns:a16="http://schemas.microsoft.com/office/drawing/2014/main" id="{A5E57B06-C050-BA46-AF14-7AE0E50417F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17</xdr:row>
      <xdr:rowOff>49346</xdr:rowOff>
    </xdr:from>
    <xdr:to>
      <xdr:col>16</xdr:col>
      <xdr:colOff>394545</xdr:colOff>
      <xdr:row>17</xdr:row>
      <xdr:rowOff>178040</xdr:rowOff>
    </xdr:to>
    <xdr:grpSp>
      <xdr:nvGrpSpPr>
        <xdr:cNvPr id="24" name="Gruppo 23">
          <a:extLst>
            <a:ext uri="{FF2B5EF4-FFF2-40B4-BE49-F238E27FC236}">
              <a16:creationId xmlns:a16="http://schemas.microsoft.com/office/drawing/2014/main" id="{1EB013A6-0183-4521-A4CE-25D98814DBAC}"/>
            </a:ext>
          </a:extLst>
        </xdr:cNvPr>
        <xdr:cNvGrpSpPr/>
      </xdr:nvGrpSpPr>
      <xdr:grpSpPr>
        <a:xfrm>
          <a:off x="4072466" y="3827596"/>
          <a:ext cx="2824479" cy="128694"/>
          <a:chOff x="4031826" y="3578013"/>
          <a:chExt cx="2799079" cy="128694"/>
        </a:xfrm>
      </xdr:grpSpPr>
      <xdr:grpSp>
        <xdr:nvGrpSpPr>
          <xdr:cNvPr id="25" name="Gruppo 24">
            <a:extLst>
              <a:ext uri="{FF2B5EF4-FFF2-40B4-BE49-F238E27FC236}">
                <a16:creationId xmlns:a16="http://schemas.microsoft.com/office/drawing/2014/main" id="{444A9A97-BC50-1AD2-7290-C11F593D49F6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40" name="Elemento grafico 39" descr="Smile di Harvey Ball 0% con riempimento a tinta unita">
              <a:extLst>
                <a:ext uri="{FF2B5EF4-FFF2-40B4-BE49-F238E27FC236}">
                  <a16:creationId xmlns:a16="http://schemas.microsoft.com/office/drawing/2014/main" id="{AFB6415F-8577-114A-3C03-0875ADB8D77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1" name="Elemento grafico 40" descr="Smile di Harvey Ball 0% con riempimento a tinta unita">
              <a:extLst>
                <a:ext uri="{FF2B5EF4-FFF2-40B4-BE49-F238E27FC236}">
                  <a16:creationId xmlns:a16="http://schemas.microsoft.com/office/drawing/2014/main" id="{3F676F9D-2423-21C7-67E4-BCDA7155808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2" name="Elemento grafico 41" descr="Smile di Harvey Ball 0% con riempimento a tinta unita">
              <a:extLst>
                <a:ext uri="{FF2B5EF4-FFF2-40B4-BE49-F238E27FC236}">
                  <a16:creationId xmlns:a16="http://schemas.microsoft.com/office/drawing/2014/main" id="{1BFB2A38-7ED1-C7AA-06CD-AEDE09898A1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3" name="Elemento grafico 42" descr="Smile di Harvey Ball 0% con riempimento a tinta unita">
              <a:extLst>
                <a:ext uri="{FF2B5EF4-FFF2-40B4-BE49-F238E27FC236}">
                  <a16:creationId xmlns:a16="http://schemas.microsoft.com/office/drawing/2014/main" id="{8A06D983-F5F8-CC6E-27F3-3161BF38B0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4" name="Elemento grafico 43" descr="Smile di Harvey Ball 0% con riempimento a tinta unita">
              <a:extLst>
                <a:ext uri="{FF2B5EF4-FFF2-40B4-BE49-F238E27FC236}">
                  <a16:creationId xmlns:a16="http://schemas.microsoft.com/office/drawing/2014/main" id="{5C2FE35F-9604-216B-6891-E036E90490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5" name="Elemento grafico 44" descr="Smile di Harvey Ball 0% con riempimento a tinta unita">
              <a:extLst>
                <a:ext uri="{FF2B5EF4-FFF2-40B4-BE49-F238E27FC236}">
                  <a16:creationId xmlns:a16="http://schemas.microsoft.com/office/drawing/2014/main" id="{1273CF34-93FA-2005-1DB5-3EC7065AAC1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6" name="Gruppo 25">
            <a:extLst>
              <a:ext uri="{FF2B5EF4-FFF2-40B4-BE49-F238E27FC236}">
                <a16:creationId xmlns:a16="http://schemas.microsoft.com/office/drawing/2014/main" id="{274C20FB-2364-41DE-D9B7-3E22739EA9DF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34" name="Elemento grafico 33" descr="Smile di Harvey Ball 0% con riempimento a tinta unita">
              <a:extLst>
                <a:ext uri="{FF2B5EF4-FFF2-40B4-BE49-F238E27FC236}">
                  <a16:creationId xmlns:a16="http://schemas.microsoft.com/office/drawing/2014/main" id="{75145E7C-F79F-CE1B-4EB9-178B7D989F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5" name="Elemento grafico 34" descr="Smile di Harvey Ball 0% con riempimento a tinta unita">
              <a:extLst>
                <a:ext uri="{FF2B5EF4-FFF2-40B4-BE49-F238E27FC236}">
                  <a16:creationId xmlns:a16="http://schemas.microsoft.com/office/drawing/2014/main" id="{E3202735-A53D-D635-F0B0-DE4967FA438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6" name="Elemento grafico 35" descr="Smile di Harvey Ball 0% con riempimento a tinta unita">
              <a:extLst>
                <a:ext uri="{FF2B5EF4-FFF2-40B4-BE49-F238E27FC236}">
                  <a16:creationId xmlns:a16="http://schemas.microsoft.com/office/drawing/2014/main" id="{3110ECF8-2769-6783-46D1-C48AA01B2F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7" name="Elemento grafico 36" descr="Smile di Harvey Ball 0% con riempimento a tinta unita">
              <a:extLst>
                <a:ext uri="{FF2B5EF4-FFF2-40B4-BE49-F238E27FC236}">
                  <a16:creationId xmlns:a16="http://schemas.microsoft.com/office/drawing/2014/main" id="{DBBC7FB9-1692-8576-498E-477023C854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8" name="Elemento grafico 37" descr="Smile di Harvey Ball 0% con riempimento a tinta unita">
              <a:extLst>
                <a:ext uri="{FF2B5EF4-FFF2-40B4-BE49-F238E27FC236}">
                  <a16:creationId xmlns:a16="http://schemas.microsoft.com/office/drawing/2014/main" id="{2CC3779D-3810-6973-EB25-54DB4509A7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9" name="Elemento grafico 38" descr="Smile di Harvey Ball 0% con riempimento a tinta unita">
              <a:extLst>
                <a:ext uri="{FF2B5EF4-FFF2-40B4-BE49-F238E27FC236}">
                  <a16:creationId xmlns:a16="http://schemas.microsoft.com/office/drawing/2014/main" id="{BE7B73BF-B86C-E92A-E51D-D9C2D6BE8FF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7" name="Gruppo 26">
            <a:extLst>
              <a:ext uri="{FF2B5EF4-FFF2-40B4-BE49-F238E27FC236}">
                <a16:creationId xmlns:a16="http://schemas.microsoft.com/office/drawing/2014/main" id="{49A35621-1510-DF85-E7F3-1A1F32D1815D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28" name="Elemento grafico 27" descr="Smile di Harvey Ball 0% con riempimento a tinta unita">
              <a:extLst>
                <a:ext uri="{FF2B5EF4-FFF2-40B4-BE49-F238E27FC236}">
                  <a16:creationId xmlns:a16="http://schemas.microsoft.com/office/drawing/2014/main" id="{AC35907B-6672-B7D4-A38C-40D17BED5A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9" name="Elemento grafico 28" descr="Smile di Harvey Ball 0% con riempimento a tinta unita">
              <a:extLst>
                <a:ext uri="{FF2B5EF4-FFF2-40B4-BE49-F238E27FC236}">
                  <a16:creationId xmlns:a16="http://schemas.microsoft.com/office/drawing/2014/main" id="{DCA3E9FD-85B0-7CDD-658A-B45942A673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0" name="Elemento grafico 29" descr="Smile di Harvey Ball 0% con riempimento a tinta unita">
              <a:extLst>
                <a:ext uri="{FF2B5EF4-FFF2-40B4-BE49-F238E27FC236}">
                  <a16:creationId xmlns:a16="http://schemas.microsoft.com/office/drawing/2014/main" id="{8033A004-F37E-6498-B7FE-1365DFA8724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1" name="Elemento grafico 30" descr="Smile di Harvey Ball 0% con riempimento a tinta unita">
              <a:extLst>
                <a:ext uri="{FF2B5EF4-FFF2-40B4-BE49-F238E27FC236}">
                  <a16:creationId xmlns:a16="http://schemas.microsoft.com/office/drawing/2014/main" id="{5796990B-7255-C90B-3C17-FC1622CB30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2" name="Elemento grafico 31" descr="Smile di Harvey Ball 0% con riempimento a tinta unita">
              <a:extLst>
                <a:ext uri="{FF2B5EF4-FFF2-40B4-BE49-F238E27FC236}">
                  <a16:creationId xmlns:a16="http://schemas.microsoft.com/office/drawing/2014/main" id="{93DE63F5-9270-914A-FD4A-41EF69494B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3" name="Elemento grafico 32" descr="Smile di Harvey Ball 0% con riempimento a tinta unita">
              <a:extLst>
                <a:ext uri="{FF2B5EF4-FFF2-40B4-BE49-F238E27FC236}">
                  <a16:creationId xmlns:a16="http://schemas.microsoft.com/office/drawing/2014/main" id="{6820DCC7-AED9-28AD-E143-1D1E57A033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20</xdr:row>
      <xdr:rowOff>47896</xdr:rowOff>
    </xdr:from>
    <xdr:to>
      <xdr:col>16</xdr:col>
      <xdr:colOff>394545</xdr:colOff>
      <xdr:row>20</xdr:row>
      <xdr:rowOff>176590</xdr:rowOff>
    </xdr:to>
    <xdr:grpSp>
      <xdr:nvGrpSpPr>
        <xdr:cNvPr id="46" name="Gruppo 45">
          <a:extLst>
            <a:ext uri="{FF2B5EF4-FFF2-40B4-BE49-F238E27FC236}">
              <a16:creationId xmlns:a16="http://schemas.microsoft.com/office/drawing/2014/main" id="{D780EADF-C7AB-4FEF-970A-ADE439C3A91A}"/>
            </a:ext>
          </a:extLst>
        </xdr:cNvPr>
        <xdr:cNvGrpSpPr/>
      </xdr:nvGrpSpPr>
      <xdr:grpSpPr>
        <a:xfrm>
          <a:off x="4072466" y="4492896"/>
          <a:ext cx="2824479" cy="128694"/>
          <a:chOff x="4031826" y="3578013"/>
          <a:chExt cx="2799079" cy="128694"/>
        </a:xfrm>
      </xdr:grpSpPr>
      <xdr:grpSp>
        <xdr:nvGrpSpPr>
          <xdr:cNvPr id="47" name="Gruppo 46">
            <a:extLst>
              <a:ext uri="{FF2B5EF4-FFF2-40B4-BE49-F238E27FC236}">
                <a16:creationId xmlns:a16="http://schemas.microsoft.com/office/drawing/2014/main" id="{DEB5EBD1-2FB3-8011-1ACF-8511B59B9D5F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62" name="Elemento grafico 61" descr="Smile di Harvey Ball 0% con riempimento a tinta unita">
              <a:extLst>
                <a:ext uri="{FF2B5EF4-FFF2-40B4-BE49-F238E27FC236}">
                  <a16:creationId xmlns:a16="http://schemas.microsoft.com/office/drawing/2014/main" id="{29200F0E-0901-89B6-1158-86F2AD5835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3" name="Elemento grafico 62" descr="Smile di Harvey Ball 0% con riempimento a tinta unita">
              <a:extLst>
                <a:ext uri="{FF2B5EF4-FFF2-40B4-BE49-F238E27FC236}">
                  <a16:creationId xmlns:a16="http://schemas.microsoft.com/office/drawing/2014/main" id="{DAD8872C-3FC7-5823-C77D-27789A3FB6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4" name="Elemento grafico 63" descr="Smile di Harvey Ball 0% con riempimento a tinta unita">
              <a:extLst>
                <a:ext uri="{FF2B5EF4-FFF2-40B4-BE49-F238E27FC236}">
                  <a16:creationId xmlns:a16="http://schemas.microsoft.com/office/drawing/2014/main" id="{2381A99C-7F1B-BD7A-68FB-A5DAF77F6D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5" name="Elemento grafico 64" descr="Smile di Harvey Ball 0% con riempimento a tinta unita">
              <a:extLst>
                <a:ext uri="{FF2B5EF4-FFF2-40B4-BE49-F238E27FC236}">
                  <a16:creationId xmlns:a16="http://schemas.microsoft.com/office/drawing/2014/main" id="{AAF77944-70BE-AC95-807C-3A8D057BC4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6" name="Elemento grafico 65" descr="Smile di Harvey Ball 0% con riempimento a tinta unita">
              <a:extLst>
                <a:ext uri="{FF2B5EF4-FFF2-40B4-BE49-F238E27FC236}">
                  <a16:creationId xmlns:a16="http://schemas.microsoft.com/office/drawing/2014/main" id="{BD07C668-AA21-2D73-40B7-40BC2AC707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7" name="Elemento grafico 66" descr="Smile di Harvey Ball 0% con riempimento a tinta unita">
              <a:extLst>
                <a:ext uri="{FF2B5EF4-FFF2-40B4-BE49-F238E27FC236}">
                  <a16:creationId xmlns:a16="http://schemas.microsoft.com/office/drawing/2014/main" id="{A0C99358-8677-6F2D-BDCC-53117553BF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8" name="Gruppo 47">
            <a:extLst>
              <a:ext uri="{FF2B5EF4-FFF2-40B4-BE49-F238E27FC236}">
                <a16:creationId xmlns:a16="http://schemas.microsoft.com/office/drawing/2014/main" id="{FC7DCC05-AFC0-F710-AEA5-7BBFF6900EF4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56" name="Elemento grafico 55" descr="Smile di Harvey Ball 0% con riempimento a tinta unita">
              <a:extLst>
                <a:ext uri="{FF2B5EF4-FFF2-40B4-BE49-F238E27FC236}">
                  <a16:creationId xmlns:a16="http://schemas.microsoft.com/office/drawing/2014/main" id="{5E46036D-9AD6-A6A4-D16F-95704473CE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7" name="Elemento grafico 56" descr="Smile di Harvey Ball 0% con riempimento a tinta unita">
              <a:extLst>
                <a:ext uri="{FF2B5EF4-FFF2-40B4-BE49-F238E27FC236}">
                  <a16:creationId xmlns:a16="http://schemas.microsoft.com/office/drawing/2014/main" id="{B74564EC-8B1D-4881-E954-3E8700A7A5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8" name="Elemento grafico 57" descr="Smile di Harvey Ball 0% con riempimento a tinta unita">
              <a:extLst>
                <a:ext uri="{FF2B5EF4-FFF2-40B4-BE49-F238E27FC236}">
                  <a16:creationId xmlns:a16="http://schemas.microsoft.com/office/drawing/2014/main" id="{BD339379-F7B6-AD65-4BD0-A2F1F2EE02A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9" name="Elemento grafico 58" descr="Smile di Harvey Ball 0% con riempimento a tinta unita">
              <a:extLst>
                <a:ext uri="{FF2B5EF4-FFF2-40B4-BE49-F238E27FC236}">
                  <a16:creationId xmlns:a16="http://schemas.microsoft.com/office/drawing/2014/main" id="{3593A6E5-449D-1EB2-7AE6-2B5EA83901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0" name="Elemento grafico 59" descr="Smile di Harvey Ball 0% con riempimento a tinta unita">
              <a:extLst>
                <a:ext uri="{FF2B5EF4-FFF2-40B4-BE49-F238E27FC236}">
                  <a16:creationId xmlns:a16="http://schemas.microsoft.com/office/drawing/2014/main" id="{65A7CC72-114F-E2DB-7A63-47E9C76441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1" name="Elemento grafico 60" descr="Smile di Harvey Ball 0% con riempimento a tinta unita">
              <a:extLst>
                <a:ext uri="{FF2B5EF4-FFF2-40B4-BE49-F238E27FC236}">
                  <a16:creationId xmlns:a16="http://schemas.microsoft.com/office/drawing/2014/main" id="{5F4C2111-A88A-4105-099B-6F5882C9E3E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9" name="Gruppo 48">
            <a:extLst>
              <a:ext uri="{FF2B5EF4-FFF2-40B4-BE49-F238E27FC236}">
                <a16:creationId xmlns:a16="http://schemas.microsoft.com/office/drawing/2014/main" id="{055BAEF4-35A0-0213-AA8A-1F75C35D4FDD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50" name="Elemento grafico 49" descr="Smile di Harvey Ball 0% con riempimento a tinta unita">
              <a:extLst>
                <a:ext uri="{FF2B5EF4-FFF2-40B4-BE49-F238E27FC236}">
                  <a16:creationId xmlns:a16="http://schemas.microsoft.com/office/drawing/2014/main" id="{C02FC9BA-BAAD-1055-420B-86A9C28836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1" name="Elemento grafico 50" descr="Smile di Harvey Ball 0% con riempimento a tinta unita">
              <a:extLst>
                <a:ext uri="{FF2B5EF4-FFF2-40B4-BE49-F238E27FC236}">
                  <a16:creationId xmlns:a16="http://schemas.microsoft.com/office/drawing/2014/main" id="{9F8B4D3F-1ACF-BA10-7266-02733484756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2" name="Elemento grafico 51" descr="Smile di Harvey Ball 0% con riempimento a tinta unita">
              <a:extLst>
                <a:ext uri="{FF2B5EF4-FFF2-40B4-BE49-F238E27FC236}">
                  <a16:creationId xmlns:a16="http://schemas.microsoft.com/office/drawing/2014/main" id="{5A96DA68-66A7-960E-B02E-833C8C03C4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3" name="Elemento grafico 52" descr="Smile di Harvey Ball 0% con riempimento a tinta unita">
              <a:extLst>
                <a:ext uri="{FF2B5EF4-FFF2-40B4-BE49-F238E27FC236}">
                  <a16:creationId xmlns:a16="http://schemas.microsoft.com/office/drawing/2014/main" id="{03B1CC91-36BB-F7FF-DF5C-420E23AF9A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4" name="Elemento grafico 53" descr="Smile di Harvey Ball 0% con riempimento a tinta unita">
              <a:extLst>
                <a:ext uri="{FF2B5EF4-FFF2-40B4-BE49-F238E27FC236}">
                  <a16:creationId xmlns:a16="http://schemas.microsoft.com/office/drawing/2014/main" id="{15E772DA-3804-ED52-7106-6D7F2EE5A8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5" name="Elemento grafico 54" descr="Smile di Harvey Ball 0% con riempimento a tinta unita">
              <a:extLst>
                <a:ext uri="{FF2B5EF4-FFF2-40B4-BE49-F238E27FC236}">
                  <a16:creationId xmlns:a16="http://schemas.microsoft.com/office/drawing/2014/main" id="{60AA7FF0-83FB-A447-BC6C-937BA0CCE6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21</xdr:row>
      <xdr:rowOff>47414</xdr:rowOff>
    </xdr:from>
    <xdr:to>
      <xdr:col>16</xdr:col>
      <xdr:colOff>394545</xdr:colOff>
      <xdr:row>21</xdr:row>
      <xdr:rowOff>176108</xdr:rowOff>
    </xdr:to>
    <xdr:grpSp>
      <xdr:nvGrpSpPr>
        <xdr:cNvPr id="68" name="Gruppo 67">
          <a:extLst>
            <a:ext uri="{FF2B5EF4-FFF2-40B4-BE49-F238E27FC236}">
              <a16:creationId xmlns:a16="http://schemas.microsoft.com/office/drawing/2014/main" id="{4F5EA8BD-734D-4BCC-BD0A-9B751CE037CF}"/>
            </a:ext>
          </a:extLst>
        </xdr:cNvPr>
        <xdr:cNvGrpSpPr/>
      </xdr:nvGrpSpPr>
      <xdr:grpSpPr>
        <a:xfrm>
          <a:off x="4072466" y="4714664"/>
          <a:ext cx="2824479" cy="128694"/>
          <a:chOff x="4031826" y="3578013"/>
          <a:chExt cx="2799079" cy="128694"/>
        </a:xfrm>
      </xdr:grpSpPr>
      <xdr:grpSp>
        <xdr:nvGrpSpPr>
          <xdr:cNvPr id="69" name="Gruppo 68">
            <a:extLst>
              <a:ext uri="{FF2B5EF4-FFF2-40B4-BE49-F238E27FC236}">
                <a16:creationId xmlns:a16="http://schemas.microsoft.com/office/drawing/2014/main" id="{C91F5EEE-8001-304F-424A-F75BBE5EF7C8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84" name="Elemento grafico 83" descr="Smile di Harvey Ball 0% con riempimento a tinta unita">
              <a:extLst>
                <a:ext uri="{FF2B5EF4-FFF2-40B4-BE49-F238E27FC236}">
                  <a16:creationId xmlns:a16="http://schemas.microsoft.com/office/drawing/2014/main" id="{EC3DF6BF-DEC8-2939-FEDF-6D51056963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5" name="Elemento grafico 84" descr="Smile di Harvey Ball 0% con riempimento a tinta unita">
              <a:extLst>
                <a:ext uri="{FF2B5EF4-FFF2-40B4-BE49-F238E27FC236}">
                  <a16:creationId xmlns:a16="http://schemas.microsoft.com/office/drawing/2014/main" id="{9CD06A35-B0ED-EB99-59D8-7FCE05F97B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6" name="Elemento grafico 85" descr="Smile di Harvey Ball 0% con riempimento a tinta unita">
              <a:extLst>
                <a:ext uri="{FF2B5EF4-FFF2-40B4-BE49-F238E27FC236}">
                  <a16:creationId xmlns:a16="http://schemas.microsoft.com/office/drawing/2014/main" id="{57872E8A-274A-554A-3B15-854B1FFE76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7" name="Elemento grafico 86" descr="Smile di Harvey Ball 0% con riempimento a tinta unita">
              <a:extLst>
                <a:ext uri="{FF2B5EF4-FFF2-40B4-BE49-F238E27FC236}">
                  <a16:creationId xmlns:a16="http://schemas.microsoft.com/office/drawing/2014/main" id="{3DC14CB5-8B6D-3477-F1FB-16CB738ACF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8" name="Elemento grafico 87" descr="Smile di Harvey Ball 0% con riempimento a tinta unita">
              <a:extLst>
                <a:ext uri="{FF2B5EF4-FFF2-40B4-BE49-F238E27FC236}">
                  <a16:creationId xmlns:a16="http://schemas.microsoft.com/office/drawing/2014/main" id="{7C81702E-5490-ED75-C405-E45A8508A6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9" name="Elemento grafico 88" descr="Smile di Harvey Ball 0% con riempimento a tinta unita">
              <a:extLst>
                <a:ext uri="{FF2B5EF4-FFF2-40B4-BE49-F238E27FC236}">
                  <a16:creationId xmlns:a16="http://schemas.microsoft.com/office/drawing/2014/main" id="{D1B61E44-5B8E-B7BB-3568-81E7ECF2A6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0" name="Gruppo 69">
            <a:extLst>
              <a:ext uri="{FF2B5EF4-FFF2-40B4-BE49-F238E27FC236}">
                <a16:creationId xmlns:a16="http://schemas.microsoft.com/office/drawing/2014/main" id="{ED1F998D-9A09-4E34-60A8-E3234FA3062F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78" name="Elemento grafico 77" descr="Smile di Harvey Ball 0% con riempimento a tinta unita">
              <a:extLst>
                <a:ext uri="{FF2B5EF4-FFF2-40B4-BE49-F238E27FC236}">
                  <a16:creationId xmlns:a16="http://schemas.microsoft.com/office/drawing/2014/main" id="{9D4E8AC8-D76F-B8FA-720A-A0EC3476EF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9" name="Elemento grafico 78" descr="Smile di Harvey Ball 0% con riempimento a tinta unita">
              <a:extLst>
                <a:ext uri="{FF2B5EF4-FFF2-40B4-BE49-F238E27FC236}">
                  <a16:creationId xmlns:a16="http://schemas.microsoft.com/office/drawing/2014/main" id="{65B13330-615B-0BFC-6A80-79F9F298222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0" name="Elemento grafico 79" descr="Smile di Harvey Ball 0% con riempimento a tinta unita">
              <a:extLst>
                <a:ext uri="{FF2B5EF4-FFF2-40B4-BE49-F238E27FC236}">
                  <a16:creationId xmlns:a16="http://schemas.microsoft.com/office/drawing/2014/main" id="{BA0016E3-8A0D-8E5E-E1A0-07D7419E7A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1" name="Elemento grafico 80" descr="Smile di Harvey Ball 0% con riempimento a tinta unita">
              <a:extLst>
                <a:ext uri="{FF2B5EF4-FFF2-40B4-BE49-F238E27FC236}">
                  <a16:creationId xmlns:a16="http://schemas.microsoft.com/office/drawing/2014/main" id="{679B2218-A1CE-0B9B-927A-27D97EAE2C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2" name="Elemento grafico 81" descr="Smile di Harvey Ball 0% con riempimento a tinta unita">
              <a:extLst>
                <a:ext uri="{FF2B5EF4-FFF2-40B4-BE49-F238E27FC236}">
                  <a16:creationId xmlns:a16="http://schemas.microsoft.com/office/drawing/2014/main" id="{325EE29A-4F3F-01B7-BA47-161ED09EB0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3" name="Elemento grafico 82" descr="Smile di Harvey Ball 0% con riempimento a tinta unita">
              <a:extLst>
                <a:ext uri="{FF2B5EF4-FFF2-40B4-BE49-F238E27FC236}">
                  <a16:creationId xmlns:a16="http://schemas.microsoft.com/office/drawing/2014/main" id="{469EDC7B-9471-0F8F-31D7-53E58DB7D7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1" name="Gruppo 70">
            <a:extLst>
              <a:ext uri="{FF2B5EF4-FFF2-40B4-BE49-F238E27FC236}">
                <a16:creationId xmlns:a16="http://schemas.microsoft.com/office/drawing/2014/main" id="{D42774F3-DD65-AA48-FE78-C579CD523FD1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72" name="Elemento grafico 71" descr="Smile di Harvey Ball 0% con riempimento a tinta unita">
              <a:extLst>
                <a:ext uri="{FF2B5EF4-FFF2-40B4-BE49-F238E27FC236}">
                  <a16:creationId xmlns:a16="http://schemas.microsoft.com/office/drawing/2014/main" id="{D27F57B6-D8CF-0565-4E53-774A2A9662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3" name="Elemento grafico 72" descr="Smile di Harvey Ball 0% con riempimento a tinta unita">
              <a:extLst>
                <a:ext uri="{FF2B5EF4-FFF2-40B4-BE49-F238E27FC236}">
                  <a16:creationId xmlns:a16="http://schemas.microsoft.com/office/drawing/2014/main" id="{374ED621-2E9D-70B3-0324-0F5C29C8EE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4" name="Elemento grafico 73" descr="Smile di Harvey Ball 0% con riempimento a tinta unita">
              <a:extLst>
                <a:ext uri="{FF2B5EF4-FFF2-40B4-BE49-F238E27FC236}">
                  <a16:creationId xmlns:a16="http://schemas.microsoft.com/office/drawing/2014/main" id="{58BADF01-7F6A-F67B-D495-F9CC7140F6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5" name="Elemento grafico 74" descr="Smile di Harvey Ball 0% con riempimento a tinta unita">
              <a:extLst>
                <a:ext uri="{FF2B5EF4-FFF2-40B4-BE49-F238E27FC236}">
                  <a16:creationId xmlns:a16="http://schemas.microsoft.com/office/drawing/2014/main" id="{13B67B04-066E-8BEC-89B9-5BC5EA1B71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6" name="Elemento grafico 75" descr="Smile di Harvey Ball 0% con riempimento a tinta unita">
              <a:extLst>
                <a:ext uri="{FF2B5EF4-FFF2-40B4-BE49-F238E27FC236}">
                  <a16:creationId xmlns:a16="http://schemas.microsoft.com/office/drawing/2014/main" id="{0370D23C-A136-EE84-156A-22B046B075A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7" name="Elemento grafico 76" descr="Smile di Harvey Ball 0% con riempimento a tinta unita">
              <a:extLst>
                <a:ext uri="{FF2B5EF4-FFF2-40B4-BE49-F238E27FC236}">
                  <a16:creationId xmlns:a16="http://schemas.microsoft.com/office/drawing/2014/main" id="{694E8137-AD1F-1F59-D7C5-CA990ACDC0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18</xdr:row>
      <xdr:rowOff>48863</xdr:rowOff>
    </xdr:from>
    <xdr:to>
      <xdr:col>16</xdr:col>
      <xdr:colOff>394545</xdr:colOff>
      <xdr:row>18</xdr:row>
      <xdr:rowOff>177557</xdr:rowOff>
    </xdr:to>
    <xdr:grpSp>
      <xdr:nvGrpSpPr>
        <xdr:cNvPr id="90" name="Gruppo 89">
          <a:extLst>
            <a:ext uri="{FF2B5EF4-FFF2-40B4-BE49-F238E27FC236}">
              <a16:creationId xmlns:a16="http://schemas.microsoft.com/office/drawing/2014/main" id="{7AA91FAD-6528-44DF-9809-4D2F6FA2A86F}"/>
            </a:ext>
          </a:extLst>
        </xdr:cNvPr>
        <xdr:cNvGrpSpPr/>
      </xdr:nvGrpSpPr>
      <xdr:grpSpPr>
        <a:xfrm>
          <a:off x="4072466" y="4049363"/>
          <a:ext cx="2824479" cy="128694"/>
          <a:chOff x="4031826" y="3578013"/>
          <a:chExt cx="2799079" cy="128694"/>
        </a:xfrm>
      </xdr:grpSpPr>
      <xdr:grpSp>
        <xdr:nvGrpSpPr>
          <xdr:cNvPr id="91" name="Gruppo 90">
            <a:extLst>
              <a:ext uri="{FF2B5EF4-FFF2-40B4-BE49-F238E27FC236}">
                <a16:creationId xmlns:a16="http://schemas.microsoft.com/office/drawing/2014/main" id="{036FDFCA-57A8-12DE-382B-2FAFFCC19FDF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06" name="Elemento grafico 105" descr="Smile di Harvey Ball 0% con riempimento a tinta unita">
              <a:extLst>
                <a:ext uri="{FF2B5EF4-FFF2-40B4-BE49-F238E27FC236}">
                  <a16:creationId xmlns:a16="http://schemas.microsoft.com/office/drawing/2014/main" id="{93189B86-1265-899C-BCBD-7A732DF885B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7" name="Elemento grafico 106" descr="Smile di Harvey Ball 0% con riempimento a tinta unita">
              <a:extLst>
                <a:ext uri="{FF2B5EF4-FFF2-40B4-BE49-F238E27FC236}">
                  <a16:creationId xmlns:a16="http://schemas.microsoft.com/office/drawing/2014/main" id="{8C93F973-8287-0882-2CE2-88D6832A236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8" name="Elemento grafico 107" descr="Smile di Harvey Ball 0% con riempimento a tinta unita">
              <a:extLst>
                <a:ext uri="{FF2B5EF4-FFF2-40B4-BE49-F238E27FC236}">
                  <a16:creationId xmlns:a16="http://schemas.microsoft.com/office/drawing/2014/main" id="{704A0B39-C205-6A6C-35BC-85109F762E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9" name="Elemento grafico 108" descr="Smile di Harvey Ball 0% con riempimento a tinta unita">
              <a:extLst>
                <a:ext uri="{FF2B5EF4-FFF2-40B4-BE49-F238E27FC236}">
                  <a16:creationId xmlns:a16="http://schemas.microsoft.com/office/drawing/2014/main" id="{D9F1C0D5-39A3-1A6C-0160-B5BD2432BF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0" name="Elemento grafico 109" descr="Smile di Harvey Ball 0% con riempimento a tinta unita">
              <a:extLst>
                <a:ext uri="{FF2B5EF4-FFF2-40B4-BE49-F238E27FC236}">
                  <a16:creationId xmlns:a16="http://schemas.microsoft.com/office/drawing/2014/main" id="{1E22481A-EB94-04F3-82DE-9994E798B4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1" name="Elemento grafico 110" descr="Smile di Harvey Ball 0% con riempimento a tinta unita">
              <a:extLst>
                <a:ext uri="{FF2B5EF4-FFF2-40B4-BE49-F238E27FC236}">
                  <a16:creationId xmlns:a16="http://schemas.microsoft.com/office/drawing/2014/main" id="{BC4A1443-E47E-970C-8991-6C7A9FC08B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2" name="Gruppo 91">
            <a:extLst>
              <a:ext uri="{FF2B5EF4-FFF2-40B4-BE49-F238E27FC236}">
                <a16:creationId xmlns:a16="http://schemas.microsoft.com/office/drawing/2014/main" id="{A4489596-0DB5-F4B1-0075-CDBC1340FB8D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00" name="Elemento grafico 99" descr="Smile di Harvey Ball 0% con riempimento a tinta unita">
              <a:extLst>
                <a:ext uri="{FF2B5EF4-FFF2-40B4-BE49-F238E27FC236}">
                  <a16:creationId xmlns:a16="http://schemas.microsoft.com/office/drawing/2014/main" id="{CB3962A5-21CE-D1AE-364A-0FB1423FC1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1" name="Elemento grafico 100" descr="Smile di Harvey Ball 0% con riempimento a tinta unita">
              <a:extLst>
                <a:ext uri="{FF2B5EF4-FFF2-40B4-BE49-F238E27FC236}">
                  <a16:creationId xmlns:a16="http://schemas.microsoft.com/office/drawing/2014/main" id="{FA8F1983-A9C0-4519-DB53-F160E5CC46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2" name="Elemento grafico 101" descr="Smile di Harvey Ball 0% con riempimento a tinta unita">
              <a:extLst>
                <a:ext uri="{FF2B5EF4-FFF2-40B4-BE49-F238E27FC236}">
                  <a16:creationId xmlns:a16="http://schemas.microsoft.com/office/drawing/2014/main" id="{F7D60926-BFF9-9A8B-C98D-B2878E50CA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3" name="Elemento grafico 102" descr="Smile di Harvey Ball 0% con riempimento a tinta unita">
              <a:extLst>
                <a:ext uri="{FF2B5EF4-FFF2-40B4-BE49-F238E27FC236}">
                  <a16:creationId xmlns:a16="http://schemas.microsoft.com/office/drawing/2014/main" id="{762B77FA-B422-C001-49B6-DD5D488BE1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4" name="Elemento grafico 103" descr="Smile di Harvey Ball 0% con riempimento a tinta unita">
              <a:extLst>
                <a:ext uri="{FF2B5EF4-FFF2-40B4-BE49-F238E27FC236}">
                  <a16:creationId xmlns:a16="http://schemas.microsoft.com/office/drawing/2014/main" id="{2AB96591-E78A-B06F-72C0-070CA28F25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5" name="Elemento grafico 104" descr="Smile di Harvey Ball 0% con riempimento a tinta unita">
              <a:extLst>
                <a:ext uri="{FF2B5EF4-FFF2-40B4-BE49-F238E27FC236}">
                  <a16:creationId xmlns:a16="http://schemas.microsoft.com/office/drawing/2014/main" id="{EA466FA0-3A89-8E26-605C-BE40BBE2F61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3" name="Gruppo 92">
            <a:extLst>
              <a:ext uri="{FF2B5EF4-FFF2-40B4-BE49-F238E27FC236}">
                <a16:creationId xmlns:a16="http://schemas.microsoft.com/office/drawing/2014/main" id="{62CD3246-E823-44B1-C2E7-747066C624CD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94" name="Elemento grafico 93" descr="Smile di Harvey Ball 0% con riempimento a tinta unita">
              <a:extLst>
                <a:ext uri="{FF2B5EF4-FFF2-40B4-BE49-F238E27FC236}">
                  <a16:creationId xmlns:a16="http://schemas.microsoft.com/office/drawing/2014/main" id="{238D442A-4C1F-472D-2423-A69A2E9413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5" name="Elemento grafico 94" descr="Smile di Harvey Ball 0% con riempimento a tinta unita">
              <a:extLst>
                <a:ext uri="{FF2B5EF4-FFF2-40B4-BE49-F238E27FC236}">
                  <a16:creationId xmlns:a16="http://schemas.microsoft.com/office/drawing/2014/main" id="{1230A3E6-6D3C-65DB-16AE-AD10F228B8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6" name="Elemento grafico 95" descr="Smile di Harvey Ball 0% con riempimento a tinta unita">
              <a:extLst>
                <a:ext uri="{FF2B5EF4-FFF2-40B4-BE49-F238E27FC236}">
                  <a16:creationId xmlns:a16="http://schemas.microsoft.com/office/drawing/2014/main" id="{9086B1BD-8616-A423-2472-140C5EC0D3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7" name="Elemento grafico 96" descr="Smile di Harvey Ball 0% con riempimento a tinta unita">
              <a:extLst>
                <a:ext uri="{FF2B5EF4-FFF2-40B4-BE49-F238E27FC236}">
                  <a16:creationId xmlns:a16="http://schemas.microsoft.com/office/drawing/2014/main" id="{B7A2D87A-DECF-4AB2-D433-5396DDC6B4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8" name="Elemento grafico 97" descr="Smile di Harvey Ball 0% con riempimento a tinta unita">
              <a:extLst>
                <a:ext uri="{FF2B5EF4-FFF2-40B4-BE49-F238E27FC236}">
                  <a16:creationId xmlns:a16="http://schemas.microsoft.com/office/drawing/2014/main" id="{8560FB59-4F2E-984D-416E-08FAB8CC0D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9" name="Elemento grafico 98" descr="Smile di Harvey Ball 0% con riempimento a tinta unita">
              <a:extLst>
                <a:ext uri="{FF2B5EF4-FFF2-40B4-BE49-F238E27FC236}">
                  <a16:creationId xmlns:a16="http://schemas.microsoft.com/office/drawing/2014/main" id="{BC01D9F8-9C12-185B-EB20-E4C5367BE9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19</xdr:row>
      <xdr:rowOff>48380</xdr:rowOff>
    </xdr:from>
    <xdr:to>
      <xdr:col>16</xdr:col>
      <xdr:colOff>394545</xdr:colOff>
      <xdr:row>19</xdr:row>
      <xdr:rowOff>177074</xdr:rowOff>
    </xdr:to>
    <xdr:grpSp>
      <xdr:nvGrpSpPr>
        <xdr:cNvPr id="112" name="Gruppo 111">
          <a:extLst>
            <a:ext uri="{FF2B5EF4-FFF2-40B4-BE49-F238E27FC236}">
              <a16:creationId xmlns:a16="http://schemas.microsoft.com/office/drawing/2014/main" id="{5A4FE8D0-05BE-4438-B49F-70E5E21824F8}"/>
            </a:ext>
          </a:extLst>
        </xdr:cNvPr>
        <xdr:cNvGrpSpPr/>
      </xdr:nvGrpSpPr>
      <xdr:grpSpPr>
        <a:xfrm>
          <a:off x="4072466" y="4271130"/>
          <a:ext cx="2824479" cy="128694"/>
          <a:chOff x="4031826" y="3578013"/>
          <a:chExt cx="2799079" cy="128694"/>
        </a:xfrm>
      </xdr:grpSpPr>
      <xdr:grpSp>
        <xdr:nvGrpSpPr>
          <xdr:cNvPr id="113" name="Gruppo 112">
            <a:extLst>
              <a:ext uri="{FF2B5EF4-FFF2-40B4-BE49-F238E27FC236}">
                <a16:creationId xmlns:a16="http://schemas.microsoft.com/office/drawing/2014/main" id="{B6122617-E922-9D66-307D-E8CDF732CE2A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28" name="Elemento grafico 127" descr="Smile di Harvey Ball 0% con riempimento a tinta unita">
              <a:extLst>
                <a:ext uri="{FF2B5EF4-FFF2-40B4-BE49-F238E27FC236}">
                  <a16:creationId xmlns:a16="http://schemas.microsoft.com/office/drawing/2014/main" id="{A8BEBD1E-1F0F-F50B-CF3C-81EC6EB7E4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9" name="Elemento grafico 128" descr="Smile di Harvey Ball 0% con riempimento a tinta unita">
              <a:extLst>
                <a:ext uri="{FF2B5EF4-FFF2-40B4-BE49-F238E27FC236}">
                  <a16:creationId xmlns:a16="http://schemas.microsoft.com/office/drawing/2014/main" id="{F84C8667-1A78-8AF4-1726-6855733A7F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0" name="Elemento grafico 129" descr="Smile di Harvey Ball 0% con riempimento a tinta unita">
              <a:extLst>
                <a:ext uri="{FF2B5EF4-FFF2-40B4-BE49-F238E27FC236}">
                  <a16:creationId xmlns:a16="http://schemas.microsoft.com/office/drawing/2014/main" id="{0254A6E0-C44E-84B2-C768-46F055F30C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1" name="Elemento grafico 130" descr="Smile di Harvey Ball 0% con riempimento a tinta unita">
              <a:extLst>
                <a:ext uri="{FF2B5EF4-FFF2-40B4-BE49-F238E27FC236}">
                  <a16:creationId xmlns:a16="http://schemas.microsoft.com/office/drawing/2014/main" id="{BE589346-77F0-AE55-ED40-FCD5C2B997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2" name="Elemento grafico 131" descr="Smile di Harvey Ball 0% con riempimento a tinta unita">
              <a:extLst>
                <a:ext uri="{FF2B5EF4-FFF2-40B4-BE49-F238E27FC236}">
                  <a16:creationId xmlns:a16="http://schemas.microsoft.com/office/drawing/2014/main" id="{A803AED8-EA26-2CBC-D8CE-9EAA94A585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3" name="Elemento grafico 132" descr="Smile di Harvey Ball 0% con riempimento a tinta unita">
              <a:extLst>
                <a:ext uri="{FF2B5EF4-FFF2-40B4-BE49-F238E27FC236}">
                  <a16:creationId xmlns:a16="http://schemas.microsoft.com/office/drawing/2014/main" id="{87BD475B-1941-3C1A-5B88-58D20347F5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4" name="Gruppo 113">
            <a:extLst>
              <a:ext uri="{FF2B5EF4-FFF2-40B4-BE49-F238E27FC236}">
                <a16:creationId xmlns:a16="http://schemas.microsoft.com/office/drawing/2014/main" id="{EFB688FB-E3B2-9A52-F678-79066448C10C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2" name="Elemento grafico 121" descr="Smile di Harvey Ball 0% con riempimento a tinta unita">
              <a:extLst>
                <a:ext uri="{FF2B5EF4-FFF2-40B4-BE49-F238E27FC236}">
                  <a16:creationId xmlns:a16="http://schemas.microsoft.com/office/drawing/2014/main" id="{E220B987-3047-7BBA-1705-0F0E99D006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3" name="Elemento grafico 122" descr="Smile di Harvey Ball 0% con riempimento a tinta unita">
              <a:extLst>
                <a:ext uri="{FF2B5EF4-FFF2-40B4-BE49-F238E27FC236}">
                  <a16:creationId xmlns:a16="http://schemas.microsoft.com/office/drawing/2014/main" id="{82AB3BFD-49B5-D76D-5A17-C31E79BE0C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4" name="Elemento grafico 123" descr="Smile di Harvey Ball 0% con riempimento a tinta unita">
              <a:extLst>
                <a:ext uri="{FF2B5EF4-FFF2-40B4-BE49-F238E27FC236}">
                  <a16:creationId xmlns:a16="http://schemas.microsoft.com/office/drawing/2014/main" id="{367F30BF-40AF-7C66-F3EA-03D3436AB8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5" name="Elemento grafico 124" descr="Smile di Harvey Ball 0% con riempimento a tinta unita">
              <a:extLst>
                <a:ext uri="{FF2B5EF4-FFF2-40B4-BE49-F238E27FC236}">
                  <a16:creationId xmlns:a16="http://schemas.microsoft.com/office/drawing/2014/main" id="{97B3292F-1CCB-3EDF-7982-B5DC34D7FBE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6" name="Elemento grafico 125" descr="Smile di Harvey Ball 0% con riempimento a tinta unita">
              <a:extLst>
                <a:ext uri="{FF2B5EF4-FFF2-40B4-BE49-F238E27FC236}">
                  <a16:creationId xmlns:a16="http://schemas.microsoft.com/office/drawing/2014/main" id="{DEF4EA97-A50D-3921-B393-185A583C58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7" name="Elemento grafico 126" descr="Smile di Harvey Ball 0% con riempimento a tinta unita">
              <a:extLst>
                <a:ext uri="{FF2B5EF4-FFF2-40B4-BE49-F238E27FC236}">
                  <a16:creationId xmlns:a16="http://schemas.microsoft.com/office/drawing/2014/main" id="{C3D8A306-7792-C7B9-0220-B82CBE4604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5" name="Gruppo 114">
            <a:extLst>
              <a:ext uri="{FF2B5EF4-FFF2-40B4-BE49-F238E27FC236}">
                <a16:creationId xmlns:a16="http://schemas.microsoft.com/office/drawing/2014/main" id="{B43C600E-3A48-BADA-1878-3A9C8DAB69B0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16" name="Elemento grafico 115" descr="Smile di Harvey Ball 0% con riempimento a tinta unita">
              <a:extLst>
                <a:ext uri="{FF2B5EF4-FFF2-40B4-BE49-F238E27FC236}">
                  <a16:creationId xmlns:a16="http://schemas.microsoft.com/office/drawing/2014/main" id="{FAAE71F8-8DE0-F7C5-BA5E-1BC43C063D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7" name="Elemento grafico 116" descr="Smile di Harvey Ball 0% con riempimento a tinta unita">
              <a:extLst>
                <a:ext uri="{FF2B5EF4-FFF2-40B4-BE49-F238E27FC236}">
                  <a16:creationId xmlns:a16="http://schemas.microsoft.com/office/drawing/2014/main" id="{BE1E60FF-FDC2-3D74-D18C-997FDA730A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8" name="Elemento grafico 117" descr="Smile di Harvey Ball 0% con riempimento a tinta unita">
              <a:extLst>
                <a:ext uri="{FF2B5EF4-FFF2-40B4-BE49-F238E27FC236}">
                  <a16:creationId xmlns:a16="http://schemas.microsoft.com/office/drawing/2014/main" id="{D276D792-F1B4-6863-AFA4-C2F62CD92E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9" name="Elemento grafico 118" descr="Smile di Harvey Ball 0% con riempimento a tinta unita">
              <a:extLst>
                <a:ext uri="{FF2B5EF4-FFF2-40B4-BE49-F238E27FC236}">
                  <a16:creationId xmlns:a16="http://schemas.microsoft.com/office/drawing/2014/main" id="{87545EE9-BCB9-0C67-9403-465085CE03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0" name="Elemento grafico 119" descr="Smile di Harvey Ball 0% con riempimento a tinta unita">
              <a:extLst>
                <a:ext uri="{FF2B5EF4-FFF2-40B4-BE49-F238E27FC236}">
                  <a16:creationId xmlns:a16="http://schemas.microsoft.com/office/drawing/2014/main" id="{AEB5561C-374B-C1E4-D569-7D4059F491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1" name="Elemento grafico 120" descr="Smile di Harvey Ball 0% con riempimento a tinta unita">
              <a:extLst>
                <a:ext uri="{FF2B5EF4-FFF2-40B4-BE49-F238E27FC236}">
                  <a16:creationId xmlns:a16="http://schemas.microsoft.com/office/drawing/2014/main" id="{07F2D3B5-DE27-1A09-EB80-18BE449717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15</xdr:row>
      <xdr:rowOff>50313</xdr:rowOff>
    </xdr:from>
    <xdr:to>
      <xdr:col>16</xdr:col>
      <xdr:colOff>394545</xdr:colOff>
      <xdr:row>15</xdr:row>
      <xdr:rowOff>179007</xdr:rowOff>
    </xdr:to>
    <xdr:grpSp>
      <xdr:nvGrpSpPr>
        <xdr:cNvPr id="134" name="Gruppo 133">
          <a:extLst>
            <a:ext uri="{FF2B5EF4-FFF2-40B4-BE49-F238E27FC236}">
              <a16:creationId xmlns:a16="http://schemas.microsoft.com/office/drawing/2014/main" id="{B30715B3-8E3F-422E-8F7B-DCA15B0D3ACB}"/>
            </a:ext>
          </a:extLst>
        </xdr:cNvPr>
        <xdr:cNvGrpSpPr/>
      </xdr:nvGrpSpPr>
      <xdr:grpSpPr>
        <a:xfrm>
          <a:off x="4072466" y="3384063"/>
          <a:ext cx="2824479" cy="128694"/>
          <a:chOff x="4031826" y="3578013"/>
          <a:chExt cx="2799079" cy="128694"/>
        </a:xfrm>
      </xdr:grpSpPr>
      <xdr:grpSp>
        <xdr:nvGrpSpPr>
          <xdr:cNvPr id="135" name="Gruppo 134">
            <a:extLst>
              <a:ext uri="{FF2B5EF4-FFF2-40B4-BE49-F238E27FC236}">
                <a16:creationId xmlns:a16="http://schemas.microsoft.com/office/drawing/2014/main" id="{96200D49-7106-E920-5F91-0BDC785844A1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50" name="Elemento grafico 149" descr="Smile di Harvey Ball 0% con riempimento a tinta unita">
              <a:extLst>
                <a:ext uri="{FF2B5EF4-FFF2-40B4-BE49-F238E27FC236}">
                  <a16:creationId xmlns:a16="http://schemas.microsoft.com/office/drawing/2014/main" id="{EFC59462-5D4C-1803-A07B-E99C0F0EB93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1" name="Elemento grafico 150" descr="Smile di Harvey Ball 0% con riempimento a tinta unita">
              <a:extLst>
                <a:ext uri="{FF2B5EF4-FFF2-40B4-BE49-F238E27FC236}">
                  <a16:creationId xmlns:a16="http://schemas.microsoft.com/office/drawing/2014/main" id="{69E8B58C-6F33-6B3C-C21C-2BC43118E9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2" name="Elemento grafico 151" descr="Smile di Harvey Ball 0% con riempimento a tinta unita">
              <a:extLst>
                <a:ext uri="{FF2B5EF4-FFF2-40B4-BE49-F238E27FC236}">
                  <a16:creationId xmlns:a16="http://schemas.microsoft.com/office/drawing/2014/main" id="{D4AACEA4-BCE5-1196-6A02-73BDE13AFF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3" name="Elemento grafico 152" descr="Smile di Harvey Ball 0% con riempimento a tinta unita">
              <a:extLst>
                <a:ext uri="{FF2B5EF4-FFF2-40B4-BE49-F238E27FC236}">
                  <a16:creationId xmlns:a16="http://schemas.microsoft.com/office/drawing/2014/main" id="{49385F4A-FD43-5FDD-EB7E-9E93BC1697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4" name="Elemento grafico 153" descr="Smile di Harvey Ball 0% con riempimento a tinta unita">
              <a:extLst>
                <a:ext uri="{FF2B5EF4-FFF2-40B4-BE49-F238E27FC236}">
                  <a16:creationId xmlns:a16="http://schemas.microsoft.com/office/drawing/2014/main" id="{64F09DB2-7D89-783C-2253-F42ACAF358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5" name="Elemento grafico 154" descr="Smile di Harvey Ball 0% con riempimento a tinta unita">
              <a:extLst>
                <a:ext uri="{FF2B5EF4-FFF2-40B4-BE49-F238E27FC236}">
                  <a16:creationId xmlns:a16="http://schemas.microsoft.com/office/drawing/2014/main" id="{C705BB96-4ACE-3608-BA55-12AD20C1CD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6" name="Gruppo 135">
            <a:extLst>
              <a:ext uri="{FF2B5EF4-FFF2-40B4-BE49-F238E27FC236}">
                <a16:creationId xmlns:a16="http://schemas.microsoft.com/office/drawing/2014/main" id="{D2E31250-1AFA-D3F1-9069-88006E73C549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44" name="Elemento grafico 143" descr="Smile di Harvey Ball 0% con riempimento a tinta unita">
              <a:extLst>
                <a:ext uri="{FF2B5EF4-FFF2-40B4-BE49-F238E27FC236}">
                  <a16:creationId xmlns:a16="http://schemas.microsoft.com/office/drawing/2014/main" id="{E867CF98-A689-7FD6-E050-ADE079DEA6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5" name="Elemento grafico 144" descr="Smile di Harvey Ball 0% con riempimento a tinta unita">
              <a:extLst>
                <a:ext uri="{FF2B5EF4-FFF2-40B4-BE49-F238E27FC236}">
                  <a16:creationId xmlns:a16="http://schemas.microsoft.com/office/drawing/2014/main" id="{ED24E09B-EDF5-4C0D-7837-BE8BA6753B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6" name="Elemento grafico 145" descr="Smile di Harvey Ball 0% con riempimento a tinta unita">
              <a:extLst>
                <a:ext uri="{FF2B5EF4-FFF2-40B4-BE49-F238E27FC236}">
                  <a16:creationId xmlns:a16="http://schemas.microsoft.com/office/drawing/2014/main" id="{0F71E692-6AE3-C1B6-8451-4EF006B490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7" name="Elemento grafico 146" descr="Smile di Harvey Ball 0% con riempimento a tinta unita">
              <a:extLst>
                <a:ext uri="{FF2B5EF4-FFF2-40B4-BE49-F238E27FC236}">
                  <a16:creationId xmlns:a16="http://schemas.microsoft.com/office/drawing/2014/main" id="{47858B70-21DE-51ED-308D-29E1D79E6B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8" name="Elemento grafico 147" descr="Smile di Harvey Ball 0% con riempimento a tinta unita">
              <a:extLst>
                <a:ext uri="{FF2B5EF4-FFF2-40B4-BE49-F238E27FC236}">
                  <a16:creationId xmlns:a16="http://schemas.microsoft.com/office/drawing/2014/main" id="{67D60A7E-A2BB-AF78-4BFF-E9E2F591B1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9" name="Elemento grafico 148" descr="Smile di Harvey Ball 0% con riempimento a tinta unita">
              <a:extLst>
                <a:ext uri="{FF2B5EF4-FFF2-40B4-BE49-F238E27FC236}">
                  <a16:creationId xmlns:a16="http://schemas.microsoft.com/office/drawing/2014/main" id="{17ED43EB-C59D-B50A-F257-313F043E2D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7" name="Gruppo 136">
            <a:extLst>
              <a:ext uri="{FF2B5EF4-FFF2-40B4-BE49-F238E27FC236}">
                <a16:creationId xmlns:a16="http://schemas.microsoft.com/office/drawing/2014/main" id="{C49A2C68-370D-338E-5C15-1E0BF73E1316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38" name="Elemento grafico 137" descr="Smile di Harvey Ball 0% con riempimento a tinta unita">
              <a:extLst>
                <a:ext uri="{FF2B5EF4-FFF2-40B4-BE49-F238E27FC236}">
                  <a16:creationId xmlns:a16="http://schemas.microsoft.com/office/drawing/2014/main" id="{4905CBCA-F612-6511-5BC0-D067AFAC83A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9" name="Elemento grafico 138" descr="Smile di Harvey Ball 0% con riempimento a tinta unita">
              <a:extLst>
                <a:ext uri="{FF2B5EF4-FFF2-40B4-BE49-F238E27FC236}">
                  <a16:creationId xmlns:a16="http://schemas.microsoft.com/office/drawing/2014/main" id="{2C138D83-17C8-D572-EDEF-FE8B2FB8B39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0" name="Elemento grafico 139" descr="Smile di Harvey Ball 0% con riempimento a tinta unita">
              <a:extLst>
                <a:ext uri="{FF2B5EF4-FFF2-40B4-BE49-F238E27FC236}">
                  <a16:creationId xmlns:a16="http://schemas.microsoft.com/office/drawing/2014/main" id="{ABAF24E7-815F-2B40-0596-34BC2669CD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1" name="Elemento grafico 140" descr="Smile di Harvey Ball 0% con riempimento a tinta unita">
              <a:extLst>
                <a:ext uri="{FF2B5EF4-FFF2-40B4-BE49-F238E27FC236}">
                  <a16:creationId xmlns:a16="http://schemas.microsoft.com/office/drawing/2014/main" id="{B38CC268-20CB-6492-1C61-FDC7DF6217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2" name="Elemento grafico 141" descr="Smile di Harvey Ball 0% con riempimento a tinta unita">
              <a:extLst>
                <a:ext uri="{FF2B5EF4-FFF2-40B4-BE49-F238E27FC236}">
                  <a16:creationId xmlns:a16="http://schemas.microsoft.com/office/drawing/2014/main" id="{C4743130-2553-A49E-2D2E-435A8AFD07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3" name="Elemento grafico 142" descr="Smile di Harvey Ball 0% con riempimento a tinta unita">
              <a:extLst>
                <a:ext uri="{FF2B5EF4-FFF2-40B4-BE49-F238E27FC236}">
                  <a16:creationId xmlns:a16="http://schemas.microsoft.com/office/drawing/2014/main" id="{A71F829B-4209-A9FC-4E5E-DAE7397157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14</xdr:row>
      <xdr:rowOff>50796</xdr:rowOff>
    </xdr:from>
    <xdr:to>
      <xdr:col>16</xdr:col>
      <xdr:colOff>394545</xdr:colOff>
      <xdr:row>14</xdr:row>
      <xdr:rowOff>179490</xdr:rowOff>
    </xdr:to>
    <xdr:grpSp>
      <xdr:nvGrpSpPr>
        <xdr:cNvPr id="156" name="Gruppo 155">
          <a:extLst>
            <a:ext uri="{FF2B5EF4-FFF2-40B4-BE49-F238E27FC236}">
              <a16:creationId xmlns:a16="http://schemas.microsoft.com/office/drawing/2014/main" id="{E78DF0D0-7A56-40FA-9E82-C8EEF07DC10C}"/>
            </a:ext>
          </a:extLst>
        </xdr:cNvPr>
        <xdr:cNvGrpSpPr/>
      </xdr:nvGrpSpPr>
      <xdr:grpSpPr>
        <a:xfrm>
          <a:off x="4072466" y="3162296"/>
          <a:ext cx="2824479" cy="128694"/>
          <a:chOff x="4031826" y="3578013"/>
          <a:chExt cx="2799079" cy="128694"/>
        </a:xfrm>
      </xdr:grpSpPr>
      <xdr:grpSp>
        <xdr:nvGrpSpPr>
          <xdr:cNvPr id="157" name="Gruppo 156">
            <a:extLst>
              <a:ext uri="{FF2B5EF4-FFF2-40B4-BE49-F238E27FC236}">
                <a16:creationId xmlns:a16="http://schemas.microsoft.com/office/drawing/2014/main" id="{D51B0AC5-F51A-DCCF-5F27-13135301259C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72" name="Elemento grafico 171" descr="Smile di Harvey Ball 0% con riempimento a tinta unita">
              <a:extLst>
                <a:ext uri="{FF2B5EF4-FFF2-40B4-BE49-F238E27FC236}">
                  <a16:creationId xmlns:a16="http://schemas.microsoft.com/office/drawing/2014/main" id="{97B1AF41-B019-BF5F-F3DB-AD146D9D8B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3" name="Elemento grafico 172" descr="Smile di Harvey Ball 0% con riempimento a tinta unita">
              <a:extLst>
                <a:ext uri="{FF2B5EF4-FFF2-40B4-BE49-F238E27FC236}">
                  <a16:creationId xmlns:a16="http://schemas.microsoft.com/office/drawing/2014/main" id="{91414B1F-1F7D-D6B5-3562-98E79FEE51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4" name="Elemento grafico 173" descr="Smile di Harvey Ball 0% con riempimento a tinta unita">
              <a:extLst>
                <a:ext uri="{FF2B5EF4-FFF2-40B4-BE49-F238E27FC236}">
                  <a16:creationId xmlns:a16="http://schemas.microsoft.com/office/drawing/2014/main" id="{E31C957F-FEF7-337C-94EF-7E0701E1E5C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5" name="Elemento grafico 174" descr="Smile di Harvey Ball 0% con riempimento a tinta unita">
              <a:extLst>
                <a:ext uri="{FF2B5EF4-FFF2-40B4-BE49-F238E27FC236}">
                  <a16:creationId xmlns:a16="http://schemas.microsoft.com/office/drawing/2014/main" id="{A1E75E32-1DF6-CC56-BCE2-F76C17B870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6" name="Elemento grafico 175" descr="Smile di Harvey Ball 0% con riempimento a tinta unita">
              <a:extLst>
                <a:ext uri="{FF2B5EF4-FFF2-40B4-BE49-F238E27FC236}">
                  <a16:creationId xmlns:a16="http://schemas.microsoft.com/office/drawing/2014/main" id="{D5692856-5689-9531-0B33-29318164E0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7" name="Elemento grafico 176" descr="Smile di Harvey Ball 0% con riempimento a tinta unita">
              <a:extLst>
                <a:ext uri="{FF2B5EF4-FFF2-40B4-BE49-F238E27FC236}">
                  <a16:creationId xmlns:a16="http://schemas.microsoft.com/office/drawing/2014/main" id="{4AD68C42-5A24-BFF7-D8E3-7D45AF00C4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8" name="Gruppo 157">
            <a:extLst>
              <a:ext uri="{FF2B5EF4-FFF2-40B4-BE49-F238E27FC236}">
                <a16:creationId xmlns:a16="http://schemas.microsoft.com/office/drawing/2014/main" id="{E062FDA8-24CA-396C-E684-F0FD91A85CBA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66" name="Elemento grafico 165" descr="Smile di Harvey Ball 0% con riempimento a tinta unita">
              <a:extLst>
                <a:ext uri="{FF2B5EF4-FFF2-40B4-BE49-F238E27FC236}">
                  <a16:creationId xmlns:a16="http://schemas.microsoft.com/office/drawing/2014/main" id="{CB136A59-69A9-56BC-82B5-9F42A04627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7" name="Elemento grafico 166" descr="Smile di Harvey Ball 0% con riempimento a tinta unita">
              <a:extLst>
                <a:ext uri="{FF2B5EF4-FFF2-40B4-BE49-F238E27FC236}">
                  <a16:creationId xmlns:a16="http://schemas.microsoft.com/office/drawing/2014/main" id="{0F421CAE-A8E2-2371-BBFB-08B00AFC84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8" name="Elemento grafico 167" descr="Smile di Harvey Ball 0% con riempimento a tinta unita">
              <a:extLst>
                <a:ext uri="{FF2B5EF4-FFF2-40B4-BE49-F238E27FC236}">
                  <a16:creationId xmlns:a16="http://schemas.microsoft.com/office/drawing/2014/main" id="{4897D931-0215-B3A1-7762-7A4C088749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9" name="Elemento grafico 168" descr="Smile di Harvey Ball 0% con riempimento a tinta unita">
              <a:extLst>
                <a:ext uri="{FF2B5EF4-FFF2-40B4-BE49-F238E27FC236}">
                  <a16:creationId xmlns:a16="http://schemas.microsoft.com/office/drawing/2014/main" id="{8819363F-8F5A-0F9C-2AE4-2A04E76CA4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0" name="Elemento grafico 169" descr="Smile di Harvey Ball 0% con riempimento a tinta unita">
              <a:extLst>
                <a:ext uri="{FF2B5EF4-FFF2-40B4-BE49-F238E27FC236}">
                  <a16:creationId xmlns:a16="http://schemas.microsoft.com/office/drawing/2014/main" id="{1A158BAE-D09B-A072-3C1B-D5938599D3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1" name="Elemento grafico 170" descr="Smile di Harvey Ball 0% con riempimento a tinta unita">
              <a:extLst>
                <a:ext uri="{FF2B5EF4-FFF2-40B4-BE49-F238E27FC236}">
                  <a16:creationId xmlns:a16="http://schemas.microsoft.com/office/drawing/2014/main" id="{4E7122A4-2D7C-1CFE-ECB9-22CBCDC00E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9" name="Gruppo 158">
            <a:extLst>
              <a:ext uri="{FF2B5EF4-FFF2-40B4-BE49-F238E27FC236}">
                <a16:creationId xmlns:a16="http://schemas.microsoft.com/office/drawing/2014/main" id="{916F77B8-4017-97D0-1FB8-7B7271797395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60" name="Elemento grafico 159" descr="Smile di Harvey Ball 0% con riempimento a tinta unita">
              <a:extLst>
                <a:ext uri="{FF2B5EF4-FFF2-40B4-BE49-F238E27FC236}">
                  <a16:creationId xmlns:a16="http://schemas.microsoft.com/office/drawing/2014/main" id="{950C897D-C2F3-69B9-1910-131F4A3707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1" name="Elemento grafico 160" descr="Smile di Harvey Ball 0% con riempimento a tinta unita">
              <a:extLst>
                <a:ext uri="{FF2B5EF4-FFF2-40B4-BE49-F238E27FC236}">
                  <a16:creationId xmlns:a16="http://schemas.microsoft.com/office/drawing/2014/main" id="{92887DC5-1823-C874-AC6E-5C6891ABEF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2" name="Elemento grafico 161" descr="Smile di Harvey Ball 0% con riempimento a tinta unita">
              <a:extLst>
                <a:ext uri="{FF2B5EF4-FFF2-40B4-BE49-F238E27FC236}">
                  <a16:creationId xmlns:a16="http://schemas.microsoft.com/office/drawing/2014/main" id="{65904400-AA7C-7B98-4B4B-1E2517B347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3" name="Elemento grafico 162" descr="Smile di Harvey Ball 0% con riempimento a tinta unita">
              <a:extLst>
                <a:ext uri="{FF2B5EF4-FFF2-40B4-BE49-F238E27FC236}">
                  <a16:creationId xmlns:a16="http://schemas.microsoft.com/office/drawing/2014/main" id="{8DDE8867-FD35-5F8D-1F08-53AF964DFA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4" name="Elemento grafico 163" descr="Smile di Harvey Ball 0% con riempimento a tinta unita">
              <a:extLst>
                <a:ext uri="{FF2B5EF4-FFF2-40B4-BE49-F238E27FC236}">
                  <a16:creationId xmlns:a16="http://schemas.microsoft.com/office/drawing/2014/main" id="{03930773-0478-C1E8-AC49-8C9DDBD0B2A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5" name="Elemento grafico 164" descr="Smile di Harvey Ball 0% con riempimento a tinta unita">
              <a:extLst>
                <a:ext uri="{FF2B5EF4-FFF2-40B4-BE49-F238E27FC236}">
                  <a16:creationId xmlns:a16="http://schemas.microsoft.com/office/drawing/2014/main" id="{09E5AC65-0DE8-2227-7D09-74D22022B4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40640</xdr:colOff>
      <xdr:row>22</xdr:row>
      <xdr:rowOff>25400</xdr:rowOff>
    </xdr:from>
    <xdr:to>
      <xdr:col>16</xdr:col>
      <xdr:colOff>173919</xdr:colOff>
      <xdr:row>22</xdr:row>
      <xdr:rowOff>154094</xdr:rowOff>
    </xdr:to>
    <xdr:pic>
      <xdr:nvPicPr>
        <xdr:cNvPr id="178" name="Elemento grafico 177" descr="Smile di Harvey Ball 0% con riempimento a tinta unita">
          <a:extLst>
            <a:ext uri="{FF2B5EF4-FFF2-40B4-BE49-F238E27FC236}">
              <a16:creationId xmlns:a16="http://schemas.microsoft.com/office/drawing/2014/main" id="{F20DAA7B-C2E9-4A07-949F-F7485A837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502400" y="4886960"/>
          <a:ext cx="133279" cy="128694"/>
        </a:xfrm>
        <a:prstGeom prst="rect">
          <a:avLst/>
        </a:prstGeom>
      </xdr:spPr>
    </xdr:pic>
    <xdr:clientData/>
  </xdr:twoCellAnchor>
  <xdr:twoCellAnchor>
    <xdr:from>
      <xdr:col>10</xdr:col>
      <xdr:colOff>8466</xdr:colOff>
      <xdr:row>13</xdr:row>
      <xdr:rowOff>54910</xdr:rowOff>
    </xdr:from>
    <xdr:to>
      <xdr:col>16</xdr:col>
      <xdr:colOff>394545</xdr:colOff>
      <xdr:row>13</xdr:row>
      <xdr:rowOff>183604</xdr:rowOff>
    </xdr:to>
    <xdr:grpSp>
      <xdr:nvGrpSpPr>
        <xdr:cNvPr id="179" name="Gruppo 178">
          <a:extLst>
            <a:ext uri="{FF2B5EF4-FFF2-40B4-BE49-F238E27FC236}">
              <a16:creationId xmlns:a16="http://schemas.microsoft.com/office/drawing/2014/main" id="{74D8A45E-9EA8-4563-97C5-7FBE1407E9CB}"/>
            </a:ext>
          </a:extLst>
        </xdr:cNvPr>
        <xdr:cNvGrpSpPr/>
      </xdr:nvGrpSpPr>
      <xdr:grpSpPr>
        <a:xfrm>
          <a:off x="4072466" y="2944160"/>
          <a:ext cx="2824479" cy="128694"/>
          <a:chOff x="4031826" y="3578013"/>
          <a:chExt cx="2799079" cy="128694"/>
        </a:xfrm>
      </xdr:grpSpPr>
      <xdr:grpSp>
        <xdr:nvGrpSpPr>
          <xdr:cNvPr id="180" name="Gruppo 179">
            <a:extLst>
              <a:ext uri="{FF2B5EF4-FFF2-40B4-BE49-F238E27FC236}">
                <a16:creationId xmlns:a16="http://schemas.microsoft.com/office/drawing/2014/main" id="{FE655B9C-6417-22E9-A37C-6A7F61D0C0D6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95" name="Elemento grafico 194" descr="Smile di Harvey Ball 0% con riempimento a tinta unita">
              <a:extLst>
                <a:ext uri="{FF2B5EF4-FFF2-40B4-BE49-F238E27FC236}">
                  <a16:creationId xmlns:a16="http://schemas.microsoft.com/office/drawing/2014/main" id="{41A38AA9-E366-679F-75BF-43C9C6DB993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6" name="Elemento grafico 195" descr="Smile di Harvey Ball 0% con riempimento a tinta unita">
              <a:extLst>
                <a:ext uri="{FF2B5EF4-FFF2-40B4-BE49-F238E27FC236}">
                  <a16:creationId xmlns:a16="http://schemas.microsoft.com/office/drawing/2014/main" id="{D7E60D9F-9739-0306-8C24-ED2DF1EB51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7" name="Elemento grafico 196" descr="Smile di Harvey Ball 0% con riempimento a tinta unita">
              <a:extLst>
                <a:ext uri="{FF2B5EF4-FFF2-40B4-BE49-F238E27FC236}">
                  <a16:creationId xmlns:a16="http://schemas.microsoft.com/office/drawing/2014/main" id="{083FC9C6-557C-07EC-F5CD-86A7FD1A73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8" name="Elemento grafico 197" descr="Smile di Harvey Ball 0% con riempimento a tinta unita">
              <a:extLst>
                <a:ext uri="{FF2B5EF4-FFF2-40B4-BE49-F238E27FC236}">
                  <a16:creationId xmlns:a16="http://schemas.microsoft.com/office/drawing/2014/main" id="{CDF3CD2D-D979-A593-5899-6AF4A4E0A7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9" name="Elemento grafico 198" descr="Smile di Harvey Ball 0% con riempimento a tinta unita">
              <a:extLst>
                <a:ext uri="{FF2B5EF4-FFF2-40B4-BE49-F238E27FC236}">
                  <a16:creationId xmlns:a16="http://schemas.microsoft.com/office/drawing/2014/main" id="{B7514FC4-8CA0-3017-73F6-4AFDFDABB5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0" name="Elemento grafico 199" descr="Smile di Harvey Ball 0% con riempimento a tinta unita">
              <a:extLst>
                <a:ext uri="{FF2B5EF4-FFF2-40B4-BE49-F238E27FC236}">
                  <a16:creationId xmlns:a16="http://schemas.microsoft.com/office/drawing/2014/main" id="{6C56D77D-2395-9A93-54ED-3F5D5543254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1" name="Gruppo 180">
            <a:extLst>
              <a:ext uri="{FF2B5EF4-FFF2-40B4-BE49-F238E27FC236}">
                <a16:creationId xmlns:a16="http://schemas.microsoft.com/office/drawing/2014/main" id="{E5D9D570-61CC-CCCF-C2CF-7B9198607904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89" name="Elemento grafico 188" descr="Smile di Harvey Ball 0% con riempimento a tinta unita">
              <a:extLst>
                <a:ext uri="{FF2B5EF4-FFF2-40B4-BE49-F238E27FC236}">
                  <a16:creationId xmlns:a16="http://schemas.microsoft.com/office/drawing/2014/main" id="{31FB1111-FCF9-1EBA-C9F8-7F590095EA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0" name="Elemento grafico 189" descr="Smile di Harvey Ball 0% con riempimento a tinta unita">
              <a:extLst>
                <a:ext uri="{FF2B5EF4-FFF2-40B4-BE49-F238E27FC236}">
                  <a16:creationId xmlns:a16="http://schemas.microsoft.com/office/drawing/2014/main" id="{72483AD7-C6E4-0B6D-9C1B-8FA1B5CB9F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1" name="Elemento grafico 190" descr="Smile di Harvey Ball 0% con riempimento a tinta unita">
              <a:extLst>
                <a:ext uri="{FF2B5EF4-FFF2-40B4-BE49-F238E27FC236}">
                  <a16:creationId xmlns:a16="http://schemas.microsoft.com/office/drawing/2014/main" id="{1EB141FB-4048-0029-5DCB-893C7716C80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2" name="Elemento grafico 191" descr="Smile di Harvey Ball 0% con riempimento a tinta unita">
              <a:extLst>
                <a:ext uri="{FF2B5EF4-FFF2-40B4-BE49-F238E27FC236}">
                  <a16:creationId xmlns:a16="http://schemas.microsoft.com/office/drawing/2014/main" id="{D0527582-5073-B3BE-B032-06927833F0B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3" name="Elemento grafico 192" descr="Smile di Harvey Ball 0% con riempimento a tinta unita">
              <a:extLst>
                <a:ext uri="{FF2B5EF4-FFF2-40B4-BE49-F238E27FC236}">
                  <a16:creationId xmlns:a16="http://schemas.microsoft.com/office/drawing/2014/main" id="{426106FB-E789-0EEB-B417-2945ACC99CC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4" name="Elemento grafico 193" descr="Smile di Harvey Ball 0% con riempimento a tinta unita">
              <a:extLst>
                <a:ext uri="{FF2B5EF4-FFF2-40B4-BE49-F238E27FC236}">
                  <a16:creationId xmlns:a16="http://schemas.microsoft.com/office/drawing/2014/main" id="{73401B2D-FC2E-9390-22E8-ADCCD6103C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2" name="Gruppo 181">
            <a:extLst>
              <a:ext uri="{FF2B5EF4-FFF2-40B4-BE49-F238E27FC236}">
                <a16:creationId xmlns:a16="http://schemas.microsoft.com/office/drawing/2014/main" id="{7D6C2933-CB78-41C7-9E36-4CBA1ABFB53C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83" name="Elemento grafico 182" descr="Smile di Harvey Ball 0% con riempimento a tinta unita">
              <a:extLst>
                <a:ext uri="{FF2B5EF4-FFF2-40B4-BE49-F238E27FC236}">
                  <a16:creationId xmlns:a16="http://schemas.microsoft.com/office/drawing/2014/main" id="{4F5A1995-FE04-2788-DE63-2AB3FAB736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4" name="Elemento grafico 183" descr="Smile di Harvey Ball 0% con riempimento a tinta unita">
              <a:extLst>
                <a:ext uri="{FF2B5EF4-FFF2-40B4-BE49-F238E27FC236}">
                  <a16:creationId xmlns:a16="http://schemas.microsoft.com/office/drawing/2014/main" id="{C7387BBB-69F6-6E21-9446-AF5B74C2686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5" name="Elemento grafico 184" descr="Smile di Harvey Ball 0% con riempimento a tinta unita">
              <a:extLst>
                <a:ext uri="{FF2B5EF4-FFF2-40B4-BE49-F238E27FC236}">
                  <a16:creationId xmlns:a16="http://schemas.microsoft.com/office/drawing/2014/main" id="{1A8C889B-1EA5-4320-BD55-C98FE7AE35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6" name="Elemento grafico 185" descr="Smile di Harvey Ball 0% con riempimento a tinta unita">
              <a:extLst>
                <a:ext uri="{FF2B5EF4-FFF2-40B4-BE49-F238E27FC236}">
                  <a16:creationId xmlns:a16="http://schemas.microsoft.com/office/drawing/2014/main" id="{543261E5-B551-CC77-B19F-9FE6C21C49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7" name="Elemento grafico 186" descr="Smile di Harvey Ball 0% con riempimento a tinta unita">
              <a:extLst>
                <a:ext uri="{FF2B5EF4-FFF2-40B4-BE49-F238E27FC236}">
                  <a16:creationId xmlns:a16="http://schemas.microsoft.com/office/drawing/2014/main" id="{71ADE604-3798-F4AD-0E3E-3294072FC8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8" name="Elemento grafico 187" descr="Smile di Harvey Ball 0% con riempimento a tinta unita">
              <a:extLst>
                <a:ext uri="{FF2B5EF4-FFF2-40B4-BE49-F238E27FC236}">
                  <a16:creationId xmlns:a16="http://schemas.microsoft.com/office/drawing/2014/main" id="{8DADDC2B-E884-62D5-5DE3-C63287B3E15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8466</xdr:colOff>
      <xdr:row>16</xdr:row>
      <xdr:rowOff>49830</xdr:rowOff>
    </xdr:from>
    <xdr:to>
      <xdr:col>16</xdr:col>
      <xdr:colOff>394545</xdr:colOff>
      <xdr:row>16</xdr:row>
      <xdr:rowOff>178524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10061DCB-2951-4EDC-B285-B562EED50484}"/>
            </a:ext>
          </a:extLst>
        </xdr:cNvPr>
        <xdr:cNvGrpSpPr/>
      </xdr:nvGrpSpPr>
      <xdr:grpSpPr>
        <a:xfrm>
          <a:off x="4072466" y="3605830"/>
          <a:ext cx="2824479" cy="128694"/>
          <a:chOff x="4031826" y="3578013"/>
          <a:chExt cx="2799079" cy="128694"/>
        </a:xfrm>
      </xdr:grpSpPr>
      <xdr:grpSp>
        <xdr:nvGrpSpPr>
          <xdr:cNvPr id="3" name="Gruppo 2">
            <a:extLst>
              <a:ext uri="{FF2B5EF4-FFF2-40B4-BE49-F238E27FC236}">
                <a16:creationId xmlns:a16="http://schemas.microsoft.com/office/drawing/2014/main" id="{A76FBD76-6351-38B4-F04D-6D772494154E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8" name="Elemento grafico 17" descr="Smile di Harvey Ball 0% con riempimento a tinta unita">
              <a:extLst>
                <a:ext uri="{FF2B5EF4-FFF2-40B4-BE49-F238E27FC236}">
                  <a16:creationId xmlns:a16="http://schemas.microsoft.com/office/drawing/2014/main" id="{FB8AB563-CDC3-EF00-9B80-1BE402BAE49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" name="Elemento grafico 18" descr="Smile di Harvey Ball 0% con riempimento a tinta unita">
              <a:extLst>
                <a:ext uri="{FF2B5EF4-FFF2-40B4-BE49-F238E27FC236}">
                  <a16:creationId xmlns:a16="http://schemas.microsoft.com/office/drawing/2014/main" id="{C0CAB305-53B7-8DB7-7B78-4D31A3C3D6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" name="Elemento grafico 19" descr="Smile di Harvey Ball 0% con riempimento a tinta unita">
              <a:extLst>
                <a:ext uri="{FF2B5EF4-FFF2-40B4-BE49-F238E27FC236}">
                  <a16:creationId xmlns:a16="http://schemas.microsoft.com/office/drawing/2014/main" id="{AFADDA67-0133-CABE-E06B-A0EC9C2CE5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1" name="Elemento grafico 20" descr="Smile di Harvey Ball 0% con riempimento a tinta unita">
              <a:extLst>
                <a:ext uri="{FF2B5EF4-FFF2-40B4-BE49-F238E27FC236}">
                  <a16:creationId xmlns:a16="http://schemas.microsoft.com/office/drawing/2014/main" id="{F92B154E-93D1-9F34-C0DA-18B2F12AC7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2" name="Elemento grafico 21" descr="Smile di Harvey Ball 0% con riempimento a tinta unita">
              <a:extLst>
                <a:ext uri="{FF2B5EF4-FFF2-40B4-BE49-F238E27FC236}">
                  <a16:creationId xmlns:a16="http://schemas.microsoft.com/office/drawing/2014/main" id="{73804081-8A8A-87EA-5219-6EA8F0F083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3" name="Elemento grafico 22" descr="Smile di Harvey Ball 0% con riempimento a tinta unita">
              <a:extLst>
                <a:ext uri="{FF2B5EF4-FFF2-40B4-BE49-F238E27FC236}">
                  <a16:creationId xmlns:a16="http://schemas.microsoft.com/office/drawing/2014/main" id="{72B92A3D-176F-4A77-6B3E-2621291D32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" name="Gruppo 3">
            <a:extLst>
              <a:ext uri="{FF2B5EF4-FFF2-40B4-BE49-F238E27FC236}">
                <a16:creationId xmlns:a16="http://schemas.microsoft.com/office/drawing/2014/main" id="{5DBBB312-C718-3A91-7880-2DAD26C336A6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" name="Elemento grafico 11" descr="Smile di Harvey Ball 0% con riempimento a tinta unita">
              <a:extLst>
                <a:ext uri="{FF2B5EF4-FFF2-40B4-BE49-F238E27FC236}">
                  <a16:creationId xmlns:a16="http://schemas.microsoft.com/office/drawing/2014/main" id="{EA45A125-47A7-62BF-7D7F-CA1568B30F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" name="Elemento grafico 12" descr="Smile di Harvey Ball 0% con riempimento a tinta unita">
              <a:extLst>
                <a:ext uri="{FF2B5EF4-FFF2-40B4-BE49-F238E27FC236}">
                  <a16:creationId xmlns:a16="http://schemas.microsoft.com/office/drawing/2014/main" id="{24CAC69D-556E-F703-6823-B805761DA6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" name="Elemento grafico 13" descr="Smile di Harvey Ball 0% con riempimento a tinta unita">
              <a:extLst>
                <a:ext uri="{FF2B5EF4-FFF2-40B4-BE49-F238E27FC236}">
                  <a16:creationId xmlns:a16="http://schemas.microsoft.com/office/drawing/2014/main" id="{F9188EB4-AC06-5DF0-7BD6-51E080E5E0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" name="Elemento grafico 14" descr="Smile di Harvey Ball 0% con riempimento a tinta unita">
              <a:extLst>
                <a:ext uri="{FF2B5EF4-FFF2-40B4-BE49-F238E27FC236}">
                  <a16:creationId xmlns:a16="http://schemas.microsoft.com/office/drawing/2014/main" id="{29169043-AA85-BDF5-0054-BC1B1AEDB31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" name="Elemento grafico 15" descr="Smile di Harvey Ball 0% con riempimento a tinta unita">
              <a:extLst>
                <a:ext uri="{FF2B5EF4-FFF2-40B4-BE49-F238E27FC236}">
                  <a16:creationId xmlns:a16="http://schemas.microsoft.com/office/drawing/2014/main" id="{DFE8FBA7-9870-304F-3AE8-3491CF2E37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" name="Elemento grafico 16" descr="Smile di Harvey Ball 0% con riempimento a tinta unita">
              <a:extLst>
                <a:ext uri="{FF2B5EF4-FFF2-40B4-BE49-F238E27FC236}">
                  <a16:creationId xmlns:a16="http://schemas.microsoft.com/office/drawing/2014/main" id="{307E8C2B-FFCF-A8CB-00A1-E184481D79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5" name="Gruppo 4">
            <a:extLst>
              <a:ext uri="{FF2B5EF4-FFF2-40B4-BE49-F238E27FC236}">
                <a16:creationId xmlns:a16="http://schemas.microsoft.com/office/drawing/2014/main" id="{15DF76D7-E3DB-A5A4-3D38-206AD45A36E5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6" name="Elemento grafico 5" descr="Smile di Harvey Ball 0% con riempimento a tinta unita">
              <a:extLst>
                <a:ext uri="{FF2B5EF4-FFF2-40B4-BE49-F238E27FC236}">
                  <a16:creationId xmlns:a16="http://schemas.microsoft.com/office/drawing/2014/main" id="{018DA287-8DDA-8F03-7C40-3828A9B902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" name="Elemento grafico 6" descr="Smile di Harvey Ball 0% con riempimento a tinta unita">
              <a:extLst>
                <a:ext uri="{FF2B5EF4-FFF2-40B4-BE49-F238E27FC236}">
                  <a16:creationId xmlns:a16="http://schemas.microsoft.com/office/drawing/2014/main" id="{F20526CE-5890-980D-83D6-6155D71784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" name="Elemento grafico 7" descr="Smile di Harvey Ball 0% con riempimento a tinta unita">
              <a:extLst>
                <a:ext uri="{FF2B5EF4-FFF2-40B4-BE49-F238E27FC236}">
                  <a16:creationId xmlns:a16="http://schemas.microsoft.com/office/drawing/2014/main" id="{503DC790-C6AD-D37B-E310-47ABF1733D8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" name="Elemento grafico 8" descr="Smile di Harvey Ball 0% con riempimento a tinta unita">
              <a:extLst>
                <a:ext uri="{FF2B5EF4-FFF2-40B4-BE49-F238E27FC236}">
                  <a16:creationId xmlns:a16="http://schemas.microsoft.com/office/drawing/2014/main" id="{A56CBC77-449F-25FA-6D86-2883E58D86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" name="Elemento grafico 9" descr="Smile di Harvey Ball 0% con riempimento a tinta unita">
              <a:extLst>
                <a:ext uri="{FF2B5EF4-FFF2-40B4-BE49-F238E27FC236}">
                  <a16:creationId xmlns:a16="http://schemas.microsoft.com/office/drawing/2014/main" id="{7B3306F6-1AA1-B32C-99A3-2F17D06D44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" name="Elemento grafico 10" descr="Smile di Harvey Ball 0% con riempimento a tinta unita">
              <a:extLst>
                <a:ext uri="{FF2B5EF4-FFF2-40B4-BE49-F238E27FC236}">
                  <a16:creationId xmlns:a16="http://schemas.microsoft.com/office/drawing/2014/main" id="{688178C3-2C6F-1E19-E8A6-726D5F530C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17</xdr:row>
      <xdr:rowOff>49346</xdr:rowOff>
    </xdr:from>
    <xdr:to>
      <xdr:col>16</xdr:col>
      <xdr:colOff>394545</xdr:colOff>
      <xdr:row>17</xdr:row>
      <xdr:rowOff>178040</xdr:rowOff>
    </xdr:to>
    <xdr:grpSp>
      <xdr:nvGrpSpPr>
        <xdr:cNvPr id="24" name="Gruppo 23">
          <a:extLst>
            <a:ext uri="{FF2B5EF4-FFF2-40B4-BE49-F238E27FC236}">
              <a16:creationId xmlns:a16="http://schemas.microsoft.com/office/drawing/2014/main" id="{54A194A6-2368-4D5D-B451-717AD49453D5}"/>
            </a:ext>
          </a:extLst>
        </xdr:cNvPr>
        <xdr:cNvGrpSpPr/>
      </xdr:nvGrpSpPr>
      <xdr:grpSpPr>
        <a:xfrm>
          <a:off x="4072466" y="3827596"/>
          <a:ext cx="2824479" cy="128694"/>
          <a:chOff x="4031826" y="3578013"/>
          <a:chExt cx="2799079" cy="128694"/>
        </a:xfrm>
      </xdr:grpSpPr>
      <xdr:grpSp>
        <xdr:nvGrpSpPr>
          <xdr:cNvPr id="25" name="Gruppo 24">
            <a:extLst>
              <a:ext uri="{FF2B5EF4-FFF2-40B4-BE49-F238E27FC236}">
                <a16:creationId xmlns:a16="http://schemas.microsoft.com/office/drawing/2014/main" id="{D9156446-2FE2-0A8E-12C1-1F7FD5DC61DE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40" name="Elemento grafico 39" descr="Smile di Harvey Ball 0% con riempimento a tinta unita">
              <a:extLst>
                <a:ext uri="{FF2B5EF4-FFF2-40B4-BE49-F238E27FC236}">
                  <a16:creationId xmlns:a16="http://schemas.microsoft.com/office/drawing/2014/main" id="{907CDA21-34D9-F2D9-D92B-CC10CE3A1A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1" name="Elemento grafico 40" descr="Smile di Harvey Ball 0% con riempimento a tinta unita">
              <a:extLst>
                <a:ext uri="{FF2B5EF4-FFF2-40B4-BE49-F238E27FC236}">
                  <a16:creationId xmlns:a16="http://schemas.microsoft.com/office/drawing/2014/main" id="{D0D9B526-A610-4D0F-2731-5C3C0AABC6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2" name="Elemento grafico 41" descr="Smile di Harvey Ball 0% con riempimento a tinta unita">
              <a:extLst>
                <a:ext uri="{FF2B5EF4-FFF2-40B4-BE49-F238E27FC236}">
                  <a16:creationId xmlns:a16="http://schemas.microsoft.com/office/drawing/2014/main" id="{E9C9107F-F421-0765-0D08-118756146A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3" name="Elemento grafico 42" descr="Smile di Harvey Ball 0% con riempimento a tinta unita">
              <a:extLst>
                <a:ext uri="{FF2B5EF4-FFF2-40B4-BE49-F238E27FC236}">
                  <a16:creationId xmlns:a16="http://schemas.microsoft.com/office/drawing/2014/main" id="{8F3F4D35-3780-FDE5-3355-37A593949F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4" name="Elemento grafico 43" descr="Smile di Harvey Ball 0% con riempimento a tinta unita">
              <a:extLst>
                <a:ext uri="{FF2B5EF4-FFF2-40B4-BE49-F238E27FC236}">
                  <a16:creationId xmlns:a16="http://schemas.microsoft.com/office/drawing/2014/main" id="{24A418E5-76EA-106D-7ACD-A2E0E649E2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5" name="Elemento grafico 44" descr="Smile di Harvey Ball 0% con riempimento a tinta unita">
              <a:extLst>
                <a:ext uri="{FF2B5EF4-FFF2-40B4-BE49-F238E27FC236}">
                  <a16:creationId xmlns:a16="http://schemas.microsoft.com/office/drawing/2014/main" id="{41525156-FB7B-B884-3CD3-BC0DA08B36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6" name="Gruppo 25">
            <a:extLst>
              <a:ext uri="{FF2B5EF4-FFF2-40B4-BE49-F238E27FC236}">
                <a16:creationId xmlns:a16="http://schemas.microsoft.com/office/drawing/2014/main" id="{E31AB88E-40B8-C954-CE48-5336E17934CE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34" name="Elemento grafico 33" descr="Smile di Harvey Ball 0% con riempimento a tinta unita">
              <a:extLst>
                <a:ext uri="{FF2B5EF4-FFF2-40B4-BE49-F238E27FC236}">
                  <a16:creationId xmlns:a16="http://schemas.microsoft.com/office/drawing/2014/main" id="{DE8FD422-621E-6038-AD50-118AFECB49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5" name="Elemento grafico 34" descr="Smile di Harvey Ball 0% con riempimento a tinta unita">
              <a:extLst>
                <a:ext uri="{FF2B5EF4-FFF2-40B4-BE49-F238E27FC236}">
                  <a16:creationId xmlns:a16="http://schemas.microsoft.com/office/drawing/2014/main" id="{46E4134A-F8D2-501A-E82A-F640B527D0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6" name="Elemento grafico 35" descr="Smile di Harvey Ball 0% con riempimento a tinta unita">
              <a:extLst>
                <a:ext uri="{FF2B5EF4-FFF2-40B4-BE49-F238E27FC236}">
                  <a16:creationId xmlns:a16="http://schemas.microsoft.com/office/drawing/2014/main" id="{CD1CAA48-2285-9404-228B-72EE88BF1C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7" name="Elemento grafico 36" descr="Smile di Harvey Ball 0% con riempimento a tinta unita">
              <a:extLst>
                <a:ext uri="{FF2B5EF4-FFF2-40B4-BE49-F238E27FC236}">
                  <a16:creationId xmlns:a16="http://schemas.microsoft.com/office/drawing/2014/main" id="{C6F76833-C752-F004-1E04-C191A40E41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8" name="Elemento grafico 37" descr="Smile di Harvey Ball 0% con riempimento a tinta unita">
              <a:extLst>
                <a:ext uri="{FF2B5EF4-FFF2-40B4-BE49-F238E27FC236}">
                  <a16:creationId xmlns:a16="http://schemas.microsoft.com/office/drawing/2014/main" id="{13888F1C-0D60-5276-9EEC-7DF15216E2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9" name="Elemento grafico 38" descr="Smile di Harvey Ball 0% con riempimento a tinta unita">
              <a:extLst>
                <a:ext uri="{FF2B5EF4-FFF2-40B4-BE49-F238E27FC236}">
                  <a16:creationId xmlns:a16="http://schemas.microsoft.com/office/drawing/2014/main" id="{96E122B8-7FA8-9D49-EC1A-8FBF9678BA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7" name="Gruppo 26">
            <a:extLst>
              <a:ext uri="{FF2B5EF4-FFF2-40B4-BE49-F238E27FC236}">
                <a16:creationId xmlns:a16="http://schemas.microsoft.com/office/drawing/2014/main" id="{C05EE36C-8105-065C-D296-4909CA575784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28" name="Elemento grafico 27" descr="Smile di Harvey Ball 0% con riempimento a tinta unita">
              <a:extLst>
                <a:ext uri="{FF2B5EF4-FFF2-40B4-BE49-F238E27FC236}">
                  <a16:creationId xmlns:a16="http://schemas.microsoft.com/office/drawing/2014/main" id="{6F39181A-5EB4-21C6-6FCF-349EF76221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9" name="Elemento grafico 28" descr="Smile di Harvey Ball 0% con riempimento a tinta unita">
              <a:extLst>
                <a:ext uri="{FF2B5EF4-FFF2-40B4-BE49-F238E27FC236}">
                  <a16:creationId xmlns:a16="http://schemas.microsoft.com/office/drawing/2014/main" id="{9A4FA38A-E29B-F38D-4A16-D92551DD03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0" name="Elemento grafico 29" descr="Smile di Harvey Ball 0% con riempimento a tinta unita">
              <a:extLst>
                <a:ext uri="{FF2B5EF4-FFF2-40B4-BE49-F238E27FC236}">
                  <a16:creationId xmlns:a16="http://schemas.microsoft.com/office/drawing/2014/main" id="{55F5F716-9753-B2F0-84FC-C4DB5A4703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1" name="Elemento grafico 30" descr="Smile di Harvey Ball 0% con riempimento a tinta unita">
              <a:extLst>
                <a:ext uri="{FF2B5EF4-FFF2-40B4-BE49-F238E27FC236}">
                  <a16:creationId xmlns:a16="http://schemas.microsoft.com/office/drawing/2014/main" id="{2EC45746-C30F-2805-6382-8A056745E0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2" name="Elemento grafico 31" descr="Smile di Harvey Ball 0% con riempimento a tinta unita">
              <a:extLst>
                <a:ext uri="{FF2B5EF4-FFF2-40B4-BE49-F238E27FC236}">
                  <a16:creationId xmlns:a16="http://schemas.microsoft.com/office/drawing/2014/main" id="{A385E262-7681-9363-21DF-92E21DEAE5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3" name="Elemento grafico 32" descr="Smile di Harvey Ball 0% con riempimento a tinta unita">
              <a:extLst>
                <a:ext uri="{FF2B5EF4-FFF2-40B4-BE49-F238E27FC236}">
                  <a16:creationId xmlns:a16="http://schemas.microsoft.com/office/drawing/2014/main" id="{9B3083E0-ED1C-04A6-AD85-C34A3C4EDFB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20</xdr:row>
      <xdr:rowOff>47896</xdr:rowOff>
    </xdr:from>
    <xdr:to>
      <xdr:col>16</xdr:col>
      <xdr:colOff>394545</xdr:colOff>
      <xdr:row>20</xdr:row>
      <xdr:rowOff>176590</xdr:rowOff>
    </xdr:to>
    <xdr:grpSp>
      <xdr:nvGrpSpPr>
        <xdr:cNvPr id="46" name="Gruppo 45">
          <a:extLst>
            <a:ext uri="{FF2B5EF4-FFF2-40B4-BE49-F238E27FC236}">
              <a16:creationId xmlns:a16="http://schemas.microsoft.com/office/drawing/2014/main" id="{1EA5648B-D8F8-48E4-9771-72F1004A3B36}"/>
            </a:ext>
          </a:extLst>
        </xdr:cNvPr>
        <xdr:cNvGrpSpPr/>
      </xdr:nvGrpSpPr>
      <xdr:grpSpPr>
        <a:xfrm>
          <a:off x="4072466" y="4492896"/>
          <a:ext cx="2824479" cy="128694"/>
          <a:chOff x="4031826" y="3578013"/>
          <a:chExt cx="2799079" cy="128694"/>
        </a:xfrm>
      </xdr:grpSpPr>
      <xdr:grpSp>
        <xdr:nvGrpSpPr>
          <xdr:cNvPr id="47" name="Gruppo 46">
            <a:extLst>
              <a:ext uri="{FF2B5EF4-FFF2-40B4-BE49-F238E27FC236}">
                <a16:creationId xmlns:a16="http://schemas.microsoft.com/office/drawing/2014/main" id="{61F10B82-2DAF-1BD4-437B-55E8E54A9813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62" name="Elemento grafico 61" descr="Smile di Harvey Ball 0% con riempimento a tinta unita">
              <a:extLst>
                <a:ext uri="{FF2B5EF4-FFF2-40B4-BE49-F238E27FC236}">
                  <a16:creationId xmlns:a16="http://schemas.microsoft.com/office/drawing/2014/main" id="{17FF223E-7C10-AD5C-190B-0FB69D0334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3" name="Elemento grafico 62" descr="Smile di Harvey Ball 0% con riempimento a tinta unita">
              <a:extLst>
                <a:ext uri="{FF2B5EF4-FFF2-40B4-BE49-F238E27FC236}">
                  <a16:creationId xmlns:a16="http://schemas.microsoft.com/office/drawing/2014/main" id="{56F6C91D-F345-976E-A70B-8A9ED92764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4" name="Elemento grafico 63" descr="Smile di Harvey Ball 0% con riempimento a tinta unita">
              <a:extLst>
                <a:ext uri="{FF2B5EF4-FFF2-40B4-BE49-F238E27FC236}">
                  <a16:creationId xmlns:a16="http://schemas.microsoft.com/office/drawing/2014/main" id="{5FA0793F-1CCA-B9BF-B4CD-C01050B292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5" name="Elemento grafico 64" descr="Smile di Harvey Ball 0% con riempimento a tinta unita">
              <a:extLst>
                <a:ext uri="{FF2B5EF4-FFF2-40B4-BE49-F238E27FC236}">
                  <a16:creationId xmlns:a16="http://schemas.microsoft.com/office/drawing/2014/main" id="{BF212798-20EC-615D-EB87-2059847DBFD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6" name="Elemento grafico 65" descr="Smile di Harvey Ball 0% con riempimento a tinta unita">
              <a:extLst>
                <a:ext uri="{FF2B5EF4-FFF2-40B4-BE49-F238E27FC236}">
                  <a16:creationId xmlns:a16="http://schemas.microsoft.com/office/drawing/2014/main" id="{19A1501E-91C7-3CB2-D1F2-40EE42DBD17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7" name="Elemento grafico 66" descr="Smile di Harvey Ball 0% con riempimento a tinta unita">
              <a:extLst>
                <a:ext uri="{FF2B5EF4-FFF2-40B4-BE49-F238E27FC236}">
                  <a16:creationId xmlns:a16="http://schemas.microsoft.com/office/drawing/2014/main" id="{D0865E7A-235D-4AFD-C85E-C6F7A77B47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8" name="Gruppo 47">
            <a:extLst>
              <a:ext uri="{FF2B5EF4-FFF2-40B4-BE49-F238E27FC236}">
                <a16:creationId xmlns:a16="http://schemas.microsoft.com/office/drawing/2014/main" id="{8DBB9EF7-21C5-28D1-7E8C-DE24CFC8253D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56" name="Elemento grafico 55" descr="Smile di Harvey Ball 0% con riempimento a tinta unita">
              <a:extLst>
                <a:ext uri="{FF2B5EF4-FFF2-40B4-BE49-F238E27FC236}">
                  <a16:creationId xmlns:a16="http://schemas.microsoft.com/office/drawing/2014/main" id="{D0972537-8EF6-8C11-9930-85B7FD4277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7" name="Elemento grafico 56" descr="Smile di Harvey Ball 0% con riempimento a tinta unita">
              <a:extLst>
                <a:ext uri="{FF2B5EF4-FFF2-40B4-BE49-F238E27FC236}">
                  <a16:creationId xmlns:a16="http://schemas.microsoft.com/office/drawing/2014/main" id="{25637748-D4D6-D264-2D42-2272B4268B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8" name="Elemento grafico 57" descr="Smile di Harvey Ball 0% con riempimento a tinta unita">
              <a:extLst>
                <a:ext uri="{FF2B5EF4-FFF2-40B4-BE49-F238E27FC236}">
                  <a16:creationId xmlns:a16="http://schemas.microsoft.com/office/drawing/2014/main" id="{482448A9-162D-D9E7-268B-37B9964984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9" name="Elemento grafico 58" descr="Smile di Harvey Ball 0% con riempimento a tinta unita">
              <a:extLst>
                <a:ext uri="{FF2B5EF4-FFF2-40B4-BE49-F238E27FC236}">
                  <a16:creationId xmlns:a16="http://schemas.microsoft.com/office/drawing/2014/main" id="{08DFC741-2F6E-1F3B-9BA9-DC51E2A268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0" name="Elemento grafico 59" descr="Smile di Harvey Ball 0% con riempimento a tinta unita">
              <a:extLst>
                <a:ext uri="{FF2B5EF4-FFF2-40B4-BE49-F238E27FC236}">
                  <a16:creationId xmlns:a16="http://schemas.microsoft.com/office/drawing/2014/main" id="{E5E7ACAE-2AAD-5480-7EAC-3EF43C48FC6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1" name="Elemento grafico 60" descr="Smile di Harvey Ball 0% con riempimento a tinta unita">
              <a:extLst>
                <a:ext uri="{FF2B5EF4-FFF2-40B4-BE49-F238E27FC236}">
                  <a16:creationId xmlns:a16="http://schemas.microsoft.com/office/drawing/2014/main" id="{DE9372ED-FEA2-8E5C-E2B7-ABA4B6381A3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9" name="Gruppo 48">
            <a:extLst>
              <a:ext uri="{FF2B5EF4-FFF2-40B4-BE49-F238E27FC236}">
                <a16:creationId xmlns:a16="http://schemas.microsoft.com/office/drawing/2014/main" id="{E5AE643D-8A85-2A9D-7E12-61C04938F605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50" name="Elemento grafico 49" descr="Smile di Harvey Ball 0% con riempimento a tinta unita">
              <a:extLst>
                <a:ext uri="{FF2B5EF4-FFF2-40B4-BE49-F238E27FC236}">
                  <a16:creationId xmlns:a16="http://schemas.microsoft.com/office/drawing/2014/main" id="{D1D4D0E6-2492-63A9-684E-8911CD09D2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1" name="Elemento grafico 50" descr="Smile di Harvey Ball 0% con riempimento a tinta unita">
              <a:extLst>
                <a:ext uri="{FF2B5EF4-FFF2-40B4-BE49-F238E27FC236}">
                  <a16:creationId xmlns:a16="http://schemas.microsoft.com/office/drawing/2014/main" id="{DDD689D3-2290-1660-DF40-3EAB7BE3209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2" name="Elemento grafico 51" descr="Smile di Harvey Ball 0% con riempimento a tinta unita">
              <a:extLst>
                <a:ext uri="{FF2B5EF4-FFF2-40B4-BE49-F238E27FC236}">
                  <a16:creationId xmlns:a16="http://schemas.microsoft.com/office/drawing/2014/main" id="{B44EC63C-40FA-38B3-3A09-3B60CA04BA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3" name="Elemento grafico 52" descr="Smile di Harvey Ball 0% con riempimento a tinta unita">
              <a:extLst>
                <a:ext uri="{FF2B5EF4-FFF2-40B4-BE49-F238E27FC236}">
                  <a16:creationId xmlns:a16="http://schemas.microsoft.com/office/drawing/2014/main" id="{5CBAA64F-8A6E-A50B-4885-54C9AA261F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4" name="Elemento grafico 53" descr="Smile di Harvey Ball 0% con riempimento a tinta unita">
              <a:extLst>
                <a:ext uri="{FF2B5EF4-FFF2-40B4-BE49-F238E27FC236}">
                  <a16:creationId xmlns:a16="http://schemas.microsoft.com/office/drawing/2014/main" id="{30D6F562-0F49-8E6B-7181-B2913EE38A4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5" name="Elemento grafico 54" descr="Smile di Harvey Ball 0% con riempimento a tinta unita">
              <a:extLst>
                <a:ext uri="{FF2B5EF4-FFF2-40B4-BE49-F238E27FC236}">
                  <a16:creationId xmlns:a16="http://schemas.microsoft.com/office/drawing/2014/main" id="{5091049B-D17C-9A09-35AE-10C8A698A2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21</xdr:row>
      <xdr:rowOff>47414</xdr:rowOff>
    </xdr:from>
    <xdr:to>
      <xdr:col>16</xdr:col>
      <xdr:colOff>394545</xdr:colOff>
      <xdr:row>21</xdr:row>
      <xdr:rowOff>176108</xdr:rowOff>
    </xdr:to>
    <xdr:grpSp>
      <xdr:nvGrpSpPr>
        <xdr:cNvPr id="68" name="Gruppo 67">
          <a:extLst>
            <a:ext uri="{FF2B5EF4-FFF2-40B4-BE49-F238E27FC236}">
              <a16:creationId xmlns:a16="http://schemas.microsoft.com/office/drawing/2014/main" id="{6634731A-B1A8-408B-9882-BBE0590211B6}"/>
            </a:ext>
          </a:extLst>
        </xdr:cNvPr>
        <xdr:cNvGrpSpPr/>
      </xdr:nvGrpSpPr>
      <xdr:grpSpPr>
        <a:xfrm>
          <a:off x="4072466" y="4714664"/>
          <a:ext cx="2824479" cy="128694"/>
          <a:chOff x="4031826" y="3578013"/>
          <a:chExt cx="2799079" cy="128694"/>
        </a:xfrm>
      </xdr:grpSpPr>
      <xdr:grpSp>
        <xdr:nvGrpSpPr>
          <xdr:cNvPr id="69" name="Gruppo 68">
            <a:extLst>
              <a:ext uri="{FF2B5EF4-FFF2-40B4-BE49-F238E27FC236}">
                <a16:creationId xmlns:a16="http://schemas.microsoft.com/office/drawing/2014/main" id="{9F536808-A4EE-0ADC-1811-8C00E8CB7548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84" name="Elemento grafico 83" descr="Smile di Harvey Ball 0% con riempimento a tinta unita">
              <a:extLst>
                <a:ext uri="{FF2B5EF4-FFF2-40B4-BE49-F238E27FC236}">
                  <a16:creationId xmlns:a16="http://schemas.microsoft.com/office/drawing/2014/main" id="{800C8B0E-4F35-3839-65D5-1089D08771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5" name="Elemento grafico 84" descr="Smile di Harvey Ball 0% con riempimento a tinta unita">
              <a:extLst>
                <a:ext uri="{FF2B5EF4-FFF2-40B4-BE49-F238E27FC236}">
                  <a16:creationId xmlns:a16="http://schemas.microsoft.com/office/drawing/2014/main" id="{1FBAB78B-C237-9B06-6CA6-4EB0CD6112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6" name="Elemento grafico 85" descr="Smile di Harvey Ball 0% con riempimento a tinta unita">
              <a:extLst>
                <a:ext uri="{FF2B5EF4-FFF2-40B4-BE49-F238E27FC236}">
                  <a16:creationId xmlns:a16="http://schemas.microsoft.com/office/drawing/2014/main" id="{9E7FD48A-C2F3-0ABB-C2B2-A6D6C8AC192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7" name="Elemento grafico 86" descr="Smile di Harvey Ball 0% con riempimento a tinta unita">
              <a:extLst>
                <a:ext uri="{FF2B5EF4-FFF2-40B4-BE49-F238E27FC236}">
                  <a16:creationId xmlns:a16="http://schemas.microsoft.com/office/drawing/2014/main" id="{89A724FD-35D2-1DE3-31B7-C0C0971E7D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8" name="Elemento grafico 87" descr="Smile di Harvey Ball 0% con riempimento a tinta unita">
              <a:extLst>
                <a:ext uri="{FF2B5EF4-FFF2-40B4-BE49-F238E27FC236}">
                  <a16:creationId xmlns:a16="http://schemas.microsoft.com/office/drawing/2014/main" id="{8C775CCF-4AE5-298F-184A-37BB47C756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9" name="Elemento grafico 88" descr="Smile di Harvey Ball 0% con riempimento a tinta unita">
              <a:extLst>
                <a:ext uri="{FF2B5EF4-FFF2-40B4-BE49-F238E27FC236}">
                  <a16:creationId xmlns:a16="http://schemas.microsoft.com/office/drawing/2014/main" id="{3B389987-B4C3-7E64-169C-1D16DF0563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0" name="Gruppo 69">
            <a:extLst>
              <a:ext uri="{FF2B5EF4-FFF2-40B4-BE49-F238E27FC236}">
                <a16:creationId xmlns:a16="http://schemas.microsoft.com/office/drawing/2014/main" id="{54C41DCF-0CFF-1648-F426-AC1BFD351471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78" name="Elemento grafico 77" descr="Smile di Harvey Ball 0% con riempimento a tinta unita">
              <a:extLst>
                <a:ext uri="{FF2B5EF4-FFF2-40B4-BE49-F238E27FC236}">
                  <a16:creationId xmlns:a16="http://schemas.microsoft.com/office/drawing/2014/main" id="{E6E854EB-9252-BD16-F9B2-B42F5771FD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9" name="Elemento grafico 78" descr="Smile di Harvey Ball 0% con riempimento a tinta unita">
              <a:extLst>
                <a:ext uri="{FF2B5EF4-FFF2-40B4-BE49-F238E27FC236}">
                  <a16:creationId xmlns:a16="http://schemas.microsoft.com/office/drawing/2014/main" id="{D1959F81-FECD-0A2C-6948-D1D9C45F10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0" name="Elemento grafico 79" descr="Smile di Harvey Ball 0% con riempimento a tinta unita">
              <a:extLst>
                <a:ext uri="{FF2B5EF4-FFF2-40B4-BE49-F238E27FC236}">
                  <a16:creationId xmlns:a16="http://schemas.microsoft.com/office/drawing/2014/main" id="{83FB6FFA-880A-B262-F3D0-85D27FF32A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1" name="Elemento grafico 80" descr="Smile di Harvey Ball 0% con riempimento a tinta unita">
              <a:extLst>
                <a:ext uri="{FF2B5EF4-FFF2-40B4-BE49-F238E27FC236}">
                  <a16:creationId xmlns:a16="http://schemas.microsoft.com/office/drawing/2014/main" id="{7211EB8D-FF97-EDB6-2C66-7588336553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2" name="Elemento grafico 81" descr="Smile di Harvey Ball 0% con riempimento a tinta unita">
              <a:extLst>
                <a:ext uri="{FF2B5EF4-FFF2-40B4-BE49-F238E27FC236}">
                  <a16:creationId xmlns:a16="http://schemas.microsoft.com/office/drawing/2014/main" id="{33282B47-33D4-89D3-C824-CC9B71E183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3" name="Elemento grafico 82" descr="Smile di Harvey Ball 0% con riempimento a tinta unita">
              <a:extLst>
                <a:ext uri="{FF2B5EF4-FFF2-40B4-BE49-F238E27FC236}">
                  <a16:creationId xmlns:a16="http://schemas.microsoft.com/office/drawing/2014/main" id="{D6FC669C-A0A8-4026-8768-A7F8AA00CC7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1" name="Gruppo 70">
            <a:extLst>
              <a:ext uri="{FF2B5EF4-FFF2-40B4-BE49-F238E27FC236}">
                <a16:creationId xmlns:a16="http://schemas.microsoft.com/office/drawing/2014/main" id="{1BA8B495-6A9D-C193-5617-099241175DB2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72" name="Elemento grafico 71" descr="Smile di Harvey Ball 0% con riempimento a tinta unita">
              <a:extLst>
                <a:ext uri="{FF2B5EF4-FFF2-40B4-BE49-F238E27FC236}">
                  <a16:creationId xmlns:a16="http://schemas.microsoft.com/office/drawing/2014/main" id="{D9AF3669-A2D7-E482-AF55-3DDBEF01CB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3" name="Elemento grafico 72" descr="Smile di Harvey Ball 0% con riempimento a tinta unita">
              <a:extLst>
                <a:ext uri="{FF2B5EF4-FFF2-40B4-BE49-F238E27FC236}">
                  <a16:creationId xmlns:a16="http://schemas.microsoft.com/office/drawing/2014/main" id="{2516FA75-064B-8F6C-6FE9-955223C08C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4" name="Elemento grafico 73" descr="Smile di Harvey Ball 0% con riempimento a tinta unita">
              <a:extLst>
                <a:ext uri="{FF2B5EF4-FFF2-40B4-BE49-F238E27FC236}">
                  <a16:creationId xmlns:a16="http://schemas.microsoft.com/office/drawing/2014/main" id="{0E2E40E9-FF86-6914-EEF5-57521671D2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5" name="Elemento grafico 74" descr="Smile di Harvey Ball 0% con riempimento a tinta unita">
              <a:extLst>
                <a:ext uri="{FF2B5EF4-FFF2-40B4-BE49-F238E27FC236}">
                  <a16:creationId xmlns:a16="http://schemas.microsoft.com/office/drawing/2014/main" id="{D74DD22C-BA79-3FEC-B2B8-AD18C6A16F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6" name="Elemento grafico 75" descr="Smile di Harvey Ball 0% con riempimento a tinta unita">
              <a:extLst>
                <a:ext uri="{FF2B5EF4-FFF2-40B4-BE49-F238E27FC236}">
                  <a16:creationId xmlns:a16="http://schemas.microsoft.com/office/drawing/2014/main" id="{877A4621-A74A-8E23-B6B0-C5A71CF7E02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7" name="Elemento grafico 76" descr="Smile di Harvey Ball 0% con riempimento a tinta unita">
              <a:extLst>
                <a:ext uri="{FF2B5EF4-FFF2-40B4-BE49-F238E27FC236}">
                  <a16:creationId xmlns:a16="http://schemas.microsoft.com/office/drawing/2014/main" id="{A92046F3-86AA-11A9-FAF3-B3443926FBA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18</xdr:row>
      <xdr:rowOff>48863</xdr:rowOff>
    </xdr:from>
    <xdr:to>
      <xdr:col>16</xdr:col>
      <xdr:colOff>394545</xdr:colOff>
      <xdr:row>18</xdr:row>
      <xdr:rowOff>177557</xdr:rowOff>
    </xdr:to>
    <xdr:grpSp>
      <xdr:nvGrpSpPr>
        <xdr:cNvPr id="90" name="Gruppo 89">
          <a:extLst>
            <a:ext uri="{FF2B5EF4-FFF2-40B4-BE49-F238E27FC236}">
              <a16:creationId xmlns:a16="http://schemas.microsoft.com/office/drawing/2014/main" id="{A0366825-A406-406A-B3FF-9F5EB684E723}"/>
            </a:ext>
          </a:extLst>
        </xdr:cNvPr>
        <xdr:cNvGrpSpPr/>
      </xdr:nvGrpSpPr>
      <xdr:grpSpPr>
        <a:xfrm>
          <a:off x="4072466" y="4049363"/>
          <a:ext cx="2824479" cy="128694"/>
          <a:chOff x="4031826" y="3578013"/>
          <a:chExt cx="2799079" cy="128694"/>
        </a:xfrm>
      </xdr:grpSpPr>
      <xdr:grpSp>
        <xdr:nvGrpSpPr>
          <xdr:cNvPr id="91" name="Gruppo 90">
            <a:extLst>
              <a:ext uri="{FF2B5EF4-FFF2-40B4-BE49-F238E27FC236}">
                <a16:creationId xmlns:a16="http://schemas.microsoft.com/office/drawing/2014/main" id="{556B741F-44F3-7053-8689-1AA8012EABF4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06" name="Elemento grafico 105" descr="Smile di Harvey Ball 0% con riempimento a tinta unita">
              <a:extLst>
                <a:ext uri="{FF2B5EF4-FFF2-40B4-BE49-F238E27FC236}">
                  <a16:creationId xmlns:a16="http://schemas.microsoft.com/office/drawing/2014/main" id="{00F0B54B-AB25-15D0-2F17-1D1A9AF3F8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7" name="Elemento grafico 106" descr="Smile di Harvey Ball 0% con riempimento a tinta unita">
              <a:extLst>
                <a:ext uri="{FF2B5EF4-FFF2-40B4-BE49-F238E27FC236}">
                  <a16:creationId xmlns:a16="http://schemas.microsoft.com/office/drawing/2014/main" id="{C259C48B-D556-6CA3-C3E4-14C137679F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8" name="Elemento grafico 107" descr="Smile di Harvey Ball 0% con riempimento a tinta unita">
              <a:extLst>
                <a:ext uri="{FF2B5EF4-FFF2-40B4-BE49-F238E27FC236}">
                  <a16:creationId xmlns:a16="http://schemas.microsoft.com/office/drawing/2014/main" id="{378B9DE6-A5E7-2317-1BDC-0510F8F336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9" name="Elemento grafico 108" descr="Smile di Harvey Ball 0% con riempimento a tinta unita">
              <a:extLst>
                <a:ext uri="{FF2B5EF4-FFF2-40B4-BE49-F238E27FC236}">
                  <a16:creationId xmlns:a16="http://schemas.microsoft.com/office/drawing/2014/main" id="{4E8DC0B4-3952-830F-72CA-9D0F59D45A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0" name="Elemento grafico 109" descr="Smile di Harvey Ball 0% con riempimento a tinta unita">
              <a:extLst>
                <a:ext uri="{FF2B5EF4-FFF2-40B4-BE49-F238E27FC236}">
                  <a16:creationId xmlns:a16="http://schemas.microsoft.com/office/drawing/2014/main" id="{E31AD1F9-28F1-2BD2-382C-F38C4BE635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1" name="Elemento grafico 110" descr="Smile di Harvey Ball 0% con riempimento a tinta unita">
              <a:extLst>
                <a:ext uri="{FF2B5EF4-FFF2-40B4-BE49-F238E27FC236}">
                  <a16:creationId xmlns:a16="http://schemas.microsoft.com/office/drawing/2014/main" id="{2C6178A4-6418-EC55-E875-0E4C01B025B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2" name="Gruppo 91">
            <a:extLst>
              <a:ext uri="{FF2B5EF4-FFF2-40B4-BE49-F238E27FC236}">
                <a16:creationId xmlns:a16="http://schemas.microsoft.com/office/drawing/2014/main" id="{29FEFE6F-4B3D-0850-5B5F-CC1DD6FE5B12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00" name="Elemento grafico 99" descr="Smile di Harvey Ball 0% con riempimento a tinta unita">
              <a:extLst>
                <a:ext uri="{FF2B5EF4-FFF2-40B4-BE49-F238E27FC236}">
                  <a16:creationId xmlns:a16="http://schemas.microsoft.com/office/drawing/2014/main" id="{07307C3C-3714-40B9-2AB6-D97F68924B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1" name="Elemento grafico 100" descr="Smile di Harvey Ball 0% con riempimento a tinta unita">
              <a:extLst>
                <a:ext uri="{FF2B5EF4-FFF2-40B4-BE49-F238E27FC236}">
                  <a16:creationId xmlns:a16="http://schemas.microsoft.com/office/drawing/2014/main" id="{7DFD3B4A-354F-8E1A-0310-60BBC187516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2" name="Elemento grafico 101" descr="Smile di Harvey Ball 0% con riempimento a tinta unita">
              <a:extLst>
                <a:ext uri="{FF2B5EF4-FFF2-40B4-BE49-F238E27FC236}">
                  <a16:creationId xmlns:a16="http://schemas.microsoft.com/office/drawing/2014/main" id="{2C8C12A1-8902-A46D-EC2D-281472DD55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3" name="Elemento grafico 102" descr="Smile di Harvey Ball 0% con riempimento a tinta unita">
              <a:extLst>
                <a:ext uri="{FF2B5EF4-FFF2-40B4-BE49-F238E27FC236}">
                  <a16:creationId xmlns:a16="http://schemas.microsoft.com/office/drawing/2014/main" id="{B9B43D46-2834-5F08-0A50-D1D0E3E3E7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4" name="Elemento grafico 103" descr="Smile di Harvey Ball 0% con riempimento a tinta unita">
              <a:extLst>
                <a:ext uri="{FF2B5EF4-FFF2-40B4-BE49-F238E27FC236}">
                  <a16:creationId xmlns:a16="http://schemas.microsoft.com/office/drawing/2014/main" id="{A0AF35BE-BFC2-96E7-A838-D332F043F1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5" name="Elemento grafico 104" descr="Smile di Harvey Ball 0% con riempimento a tinta unita">
              <a:extLst>
                <a:ext uri="{FF2B5EF4-FFF2-40B4-BE49-F238E27FC236}">
                  <a16:creationId xmlns:a16="http://schemas.microsoft.com/office/drawing/2014/main" id="{2D2F6737-996A-E400-6001-3114198C82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3" name="Gruppo 92">
            <a:extLst>
              <a:ext uri="{FF2B5EF4-FFF2-40B4-BE49-F238E27FC236}">
                <a16:creationId xmlns:a16="http://schemas.microsoft.com/office/drawing/2014/main" id="{0AF02BDF-92A1-8D8F-7C77-9F524DB0EB56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94" name="Elemento grafico 93" descr="Smile di Harvey Ball 0% con riempimento a tinta unita">
              <a:extLst>
                <a:ext uri="{FF2B5EF4-FFF2-40B4-BE49-F238E27FC236}">
                  <a16:creationId xmlns:a16="http://schemas.microsoft.com/office/drawing/2014/main" id="{F58C5319-FB7B-B83A-8061-4285458437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5" name="Elemento grafico 94" descr="Smile di Harvey Ball 0% con riempimento a tinta unita">
              <a:extLst>
                <a:ext uri="{FF2B5EF4-FFF2-40B4-BE49-F238E27FC236}">
                  <a16:creationId xmlns:a16="http://schemas.microsoft.com/office/drawing/2014/main" id="{677DC3E1-5E9B-7AE2-93BA-C7D4C518D27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6" name="Elemento grafico 95" descr="Smile di Harvey Ball 0% con riempimento a tinta unita">
              <a:extLst>
                <a:ext uri="{FF2B5EF4-FFF2-40B4-BE49-F238E27FC236}">
                  <a16:creationId xmlns:a16="http://schemas.microsoft.com/office/drawing/2014/main" id="{0A8E5CE8-5BA9-D9BF-B2E1-C7715B1C90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7" name="Elemento grafico 96" descr="Smile di Harvey Ball 0% con riempimento a tinta unita">
              <a:extLst>
                <a:ext uri="{FF2B5EF4-FFF2-40B4-BE49-F238E27FC236}">
                  <a16:creationId xmlns:a16="http://schemas.microsoft.com/office/drawing/2014/main" id="{D3849D29-F8E9-2A30-2EB2-F31370B6F1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8" name="Elemento grafico 97" descr="Smile di Harvey Ball 0% con riempimento a tinta unita">
              <a:extLst>
                <a:ext uri="{FF2B5EF4-FFF2-40B4-BE49-F238E27FC236}">
                  <a16:creationId xmlns:a16="http://schemas.microsoft.com/office/drawing/2014/main" id="{EA82763E-103C-96A5-86F1-E956C8EF45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9" name="Elemento grafico 98" descr="Smile di Harvey Ball 0% con riempimento a tinta unita">
              <a:extLst>
                <a:ext uri="{FF2B5EF4-FFF2-40B4-BE49-F238E27FC236}">
                  <a16:creationId xmlns:a16="http://schemas.microsoft.com/office/drawing/2014/main" id="{67CC559C-3399-7853-DE53-8F09E3AC4B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19</xdr:row>
      <xdr:rowOff>48380</xdr:rowOff>
    </xdr:from>
    <xdr:to>
      <xdr:col>16</xdr:col>
      <xdr:colOff>394545</xdr:colOff>
      <xdr:row>19</xdr:row>
      <xdr:rowOff>177074</xdr:rowOff>
    </xdr:to>
    <xdr:grpSp>
      <xdr:nvGrpSpPr>
        <xdr:cNvPr id="112" name="Gruppo 111">
          <a:extLst>
            <a:ext uri="{FF2B5EF4-FFF2-40B4-BE49-F238E27FC236}">
              <a16:creationId xmlns:a16="http://schemas.microsoft.com/office/drawing/2014/main" id="{589F2C7A-1333-4676-AA53-CAE52862CC77}"/>
            </a:ext>
          </a:extLst>
        </xdr:cNvPr>
        <xdr:cNvGrpSpPr/>
      </xdr:nvGrpSpPr>
      <xdr:grpSpPr>
        <a:xfrm>
          <a:off x="4072466" y="4271130"/>
          <a:ext cx="2824479" cy="128694"/>
          <a:chOff x="4031826" y="3578013"/>
          <a:chExt cx="2799079" cy="128694"/>
        </a:xfrm>
      </xdr:grpSpPr>
      <xdr:grpSp>
        <xdr:nvGrpSpPr>
          <xdr:cNvPr id="113" name="Gruppo 112">
            <a:extLst>
              <a:ext uri="{FF2B5EF4-FFF2-40B4-BE49-F238E27FC236}">
                <a16:creationId xmlns:a16="http://schemas.microsoft.com/office/drawing/2014/main" id="{8A74EA5D-6A37-C317-E791-2848E3FFBB54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28" name="Elemento grafico 127" descr="Smile di Harvey Ball 0% con riempimento a tinta unita">
              <a:extLst>
                <a:ext uri="{FF2B5EF4-FFF2-40B4-BE49-F238E27FC236}">
                  <a16:creationId xmlns:a16="http://schemas.microsoft.com/office/drawing/2014/main" id="{93103891-8C8A-662D-8187-10B7946525B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9" name="Elemento grafico 128" descr="Smile di Harvey Ball 0% con riempimento a tinta unita">
              <a:extLst>
                <a:ext uri="{FF2B5EF4-FFF2-40B4-BE49-F238E27FC236}">
                  <a16:creationId xmlns:a16="http://schemas.microsoft.com/office/drawing/2014/main" id="{2D6D59B7-AD0A-F208-EA7E-DEC6BC7FA9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0" name="Elemento grafico 129" descr="Smile di Harvey Ball 0% con riempimento a tinta unita">
              <a:extLst>
                <a:ext uri="{FF2B5EF4-FFF2-40B4-BE49-F238E27FC236}">
                  <a16:creationId xmlns:a16="http://schemas.microsoft.com/office/drawing/2014/main" id="{BDEDAFCB-BAEB-106A-971F-32F4B2F2DF1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1" name="Elemento grafico 130" descr="Smile di Harvey Ball 0% con riempimento a tinta unita">
              <a:extLst>
                <a:ext uri="{FF2B5EF4-FFF2-40B4-BE49-F238E27FC236}">
                  <a16:creationId xmlns:a16="http://schemas.microsoft.com/office/drawing/2014/main" id="{AD5C9EA1-B132-037D-F717-3E81F8CF75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2" name="Elemento grafico 131" descr="Smile di Harvey Ball 0% con riempimento a tinta unita">
              <a:extLst>
                <a:ext uri="{FF2B5EF4-FFF2-40B4-BE49-F238E27FC236}">
                  <a16:creationId xmlns:a16="http://schemas.microsoft.com/office/drawing/2014/main" id="{ADFEFCC7-D9F7-03EB-EF70-E5C4DACFCC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3" name="Elemento grafico 132" descr="Smile di Harvey Ball 0% con riempimento a tinta unita">
              <a:extLst>
                <a:ext uri="{FF2B5EF4-FFF2-40B4-BE49-F238E27FC236}">
                  <a16:creationId xmlns:a16="http://schemas.microsoft.com/office/drawing/2014/main" id="{323D7274-7489-3F3C-CB83-EAFDA978D8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4" name="Gruppo 113">
            <a:extLst>
              <a:ext uri="{FF2B5EF4-FFF2-40B4-BE49-F238E27FC236}">
                <a16:creationId xmlns:a16="http://schemas.microsoft.com/office/drawing/2014/main" id="{6A06BD9B-E2C9-E4CA-BC1F-8EE7C4789A06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2" name="Elemento grafico 121" descr="Smile di Harvey Ball 0% con riempimento a tinta unita">
              <a:extLst>
                <a:ext uri="{FF2B5EF4-FFF2-40B4-BE49-F238E27FC236}">
                  <a16:creationId xmlns:a16="http://schemas.microsoft.com/office/drawing/2014/main" id="{7126281F-ECA1-886D-ADCB-4BBF5D3D0E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3" name="Elemento grafico 122" descr="Smile di Harvey Ball 0% con riempimento a tinta unita">
              <a:extLst>
                <a:ext uri="{FF2B5EF4-FFF2-40B4-BE49-F238E27FC236}">
                  <a16:creationId xmlns:a16="http://schemas.microsoft.com/office/drawing/2014/main" id="{A0574196-486E-22B3-7E38-86B9924B9E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4" name="Elemento grafico 123" descr="Smile di Harvey Ball 0% con riempimento a tinta unita">
              <a:extLst>
                <a:ext uri="{FF2B5EF4-FFF2-40B4-BE49-F238E27FC236}">
                  <a16:creationId xmlns:a16="http://schemas.microsoft.com/office/drawing/2014/main" id="{125BD15E-A5B7-EC4D-9E82-211E8734E3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5" name="Elemento grafico 124" descr="Smile di Harvey Ball 0% con riempimento a tinta unita">
              <a:extLst>
                <a:ext uri="{FF2B5EF4-FFF2-40B4-BE49-F238E27FC236}">
                  <a16:creationId xmlns:a16="http://schemas.microsoft.com/office/drawing/2014/main" id="{86205B3D-EE47-546B-21A9-A0EC0EBA23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6" name="Elemento grafico 125" descr="Smile di Harvey Ball 0% con riempimento a tinta unita">
              <a:extLst>
                <a:ext uri="{FF2B5EF4-FFF2-40B4-BE49-F238E27FC236}">
                  <a16:creationId xmlns:a16="http://schemas.microsoft.com/office/drawing/2014/main" id="{C7BFFBE3-8A3C-DD54-C891-BFEBDD1D147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7" name="Elemento grafico 126" descr="Smile di Harvey Ball 0% con riempimento a tinta unita">
              <a:extLst>
                <a:ext uri="{FF2B5EF4-FFF2-40B4-BE49-F238E27FC236}">
                  <a16:creationId xmlns:a16="http://schemas.microsoft.com/office/drawing/2014/main" id="{82DAAB56-5D58-2FC9-886B-0B7F9B00BDB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5" name="Gruppo 114">
            <a:extLst>
              <a:ext uri="{FF2B5EF4-FFF2-40B4-BE49-F238E27FC236}">
                <a16:creationId xmlns:a16="http://schemas.microsoft.com/office/drawing/2014/main" id="{0BA62A15-FF40-3D65-4D20-6156256C8E25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16" name="Elemento grafico 115" descr="Smile di Harvey Ball 0% con riempimento a tinta unita">
              <a:extLst>
                <a:ext uri="{FF2B5EF4-FFF2-40B4-BE49-F238E27FC236}">
                  <a16:creationId xmlns:a16="http://schemas.microsoft.com/office/drawing/2014/main" id="{190A9811-4C48-278F-9BA1-960210F0F0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7" name="Elemento grafico 116" descr="Smile di Harvey Ball 0% con riempimento a tinta unita">
              <a:extLst>
                <a:ext uri="{FF2B5EF4-FFF2-40B4-BE49-F238E27FC236}">
                  <a16:creationId xmlns:a16="http://schemas.microsoft.com/office/drawing/2014/main" id="{73C9CBCC-3480-0164-C9B1-FDDEAAF7A2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8" name="Elemento grafico 117" descr="Smile di Harvey Ball 0% con riempimento a tinta unita">
              <a:extLst>
                <a:ext uri="{FF2B5EF4-FFF2-40B4-BE49-F238E27FC236}">
                  <a16:creationId xmlns:a16="http://schemas.microsoft.com/office/drawing/2014/main" id="{739FADCE-53B9-26AA-4289-6CBBD11E144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9" name="Elemento grafico 118" descr="Smile di Harvey Ball 0% con riempimento a tinta unita">
              <a:extLst>
                <a:ext uri="{FF2B5EF4-FFF2-40B4-BE49-F238E27FC236}">
                  <a16:creationId xmlns:a16="http://schemas.microsoft.com/office/drawing/2014/main" id="{449A786B-C205-10CF-790C-7804CFB7C8D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0" name="Elemento grafico 119" descr="Smile di Harvey Ball 0% con riempimento a tinta unita">
              <a:extLst>
                <a:ext uri="{FF2B5EF4-FFF2-40B4-BE49-F238E27FC236}">
                  <a16:creationId xmlns:a16="http://schemas.microsoft.com/office/drawing/2014/main" id="{FE582EE8-1073-C9A4-D819-B3C878E5B5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1" name="Elemento grafico 120" descr="Smile di Harvey Ball 0% con riempimento a tinta unita">
              <a:extLst>
                <a:ext uri="{FF2B5EF4-FFF2-40B4-BE49-F238E27FC236}">
                  <a16:creationId xmlns:a16="http://schemas.microsoft.com/office/drawing/2014/main" id="{CE9DD680-055B-32FA-77D1-AAFCC5A5F8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15</xdr:row>
      <xdr:rowOff>50313</xdr:rowOff>
    </xdr:from>
    <xdr:to>
      <xdr:col>16</xdr:col>
      <xdr:colOff>394545</xdr:colOff>
      <xdr:row>15</xdr:row>
      <xdr:rowOff>179007</xdr:rowOff>
    </xdr:to>
    <xdr:grpSp>
      <xdr:nvGrpSpPr>
        <xdr:cNvPr id="134" name="Gruppo 133">
          <a:extLst>
            <a:ext uri="{FF2B5EF4-FFF2-40B4-BE49-F238E27FC236}">
              <a16:creationId xmlns:a16="http://schemas.microsoft.com/office/drawing/2014/main" id="{0FA3DF2E-989F-407B-8D10-B638DD79004C}"/>
            </a:ext>
          </a:extLst>
        </xdr:cNvPr>
        <xdr:cNvGrpSpPr/>
      </xdr:nvGrpSpPr>
      <xdr:grpSpPr>
        <a:xfrm>
          <a:off x="4072466" y="3384063"/>
          <a:ext cx="2824479" cy="128694"/>
          <a:chOff x="4031826" y="3578013"/>
          <a:chExt cx="2799079" cy="128694"/>
        </a:xfrm>
      </xdr:grpSpPr>
      <xdr:grpSp>
        <xdr:nvGrpSpPr>
          <xdr:cNvPr id="135" name="Gruppo 134">
            <a:extLst>
              <a:ext uri="{FF2B5EF4-FFF2-40B4-BE49-F238E27FC236}">
                <a16:creationId xmlns:a16="http://schemas.microsoft.com/office/drawing/2014/main" id="{D8F4D6F1-4792-8AD6-ADF5-81290A35C430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50" name="Elemento grafico 149" descr="Smile di Harvey Ball 0% con riempimento a tinta unita">
              <a:extLst>
                <a:ext uri="{FF2B5EF4-FFF2-40B4-BE49-F238E27FC236}">
                  <a16:creationId xmlns:a16="http://schemas.microsoft.com/office/drawing/2014/main" id="{351E2B62-D182-955C-5245-77E6612704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1" name="Elemento grafico 150" descr="Smile di Harvey Ball 0% con riempimento a tinta unita">
              <a:extLst>
                <a:ext uri="{FF2B5EF4-FFF2-40B4-BE49-F238E27FC236}">
                  <a16:creationId xmlns:a16="http://schemas.microsoft.com/office/drawing/2014/main" id="{92898C8B-ABDE-21BE-F59F-74156A07E1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2" name="Elemento grafico 151" descr="Smile di Harvey Ball 0% con riempimento a tinta unita">
              <a:extLst>
                <a:ext uri="{FF2B5EF4-FFF2-40B4-BE49-F238E27FC236}">
                  <a16:creationId xmlns:a16="http://schemas.microsoft.com/office/drawing/2014/main" id="{02EC84F0-C2E2-ACFC-4DDD-6AE2388FBD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3" name="Elemento grafico 152" descr="Smile di Harvey Ball 0% con riempimento a tinta unita">
              <a:extLst>
                <a:ext uri="{FF2B5EF4-FFF2-40B4-BE49-F238E27FC236}">
                  <a16:creationId xmlns:a16="http://schemas.microsoft.com/office/drawing/2014/main" id="{3871D2BE-249D-424A-7DD0-0F1A2B5252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4" name="Elemento grafico 153" descr="Smile di Harvey Ball 0% con riempimento a tinta unita">
              <a:extLst>
                <a:ext uri="{FF2B5EF4-FFF2-40B4-BE49-F238E27FC236}">
                  <a16:creationId xmlns:a16="http://schemas.microsoft.com/office/drawing/2014/main" id="{B564E7D9-9BC5-7FA2-D660-06DB3FF9C4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5" name="Elemento grafico 154" descr="Smile di Harvey Ball 0% con riempimento a tinta unita">
              <a:extLst>
                <a:ext uri="{FF2B5EF4-FFF2-40B4-BE49-F238E27FC236}">
                  <a16:creationId xmlns:a16="http://schemas.microsoft.com/office/drawing/2014/main" id="{2A7E08EA-09FB-F0B2-02EF-B173CD05A1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6" name="Gruppo 135">
            <a:extLst>
              <a:ext uri="{FF2B5EF4-FFF2-40B4-BE49-F238E27FC236}">
                <a16:creationId xmlns:a16="http://schemas.microsoft.com/office/drawing/2014/main" id="{7947833F-17EA-2200-0F34-DE34AB897E30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44" name="Elemento grafico 143" descr="Smile di Harvey Ball 0% con riempimento a tinta unita">
              <a:extLst>
                <a:ext uri="{FF2B5EF4-FFF2-40B4-BE49-F238E27FC236}">
                  <a16:creationId xmlns:a16="http://schemas.microsoft.com/office/drawing/2014/main" id="{9715DF1F-B4FA-AE4E-8551-DFC42AAF80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5" name="Elemento grafico 144" descr="Smile di Harvey Ball 0% con riempimento a tinta unita">
              <a:extLst>
                <a:ext uri="{FF2B5EF4-FFF2-40B4-BE49-F238E27FC236}">
                  <a16:creationId xmlns:a16="http://schemas.microsoft.com/office/drawing/2014/main" id="{4EA39316-978F-62AC-D858-8976B2D55E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6" name="Elemento grafico 145" descr="Smile di Harvey Ball 0% con riempimento a tinta unita">
              <a:extLst>
                <a:ext uri="{FF2B5EF4-FFF2-40B4-BE49-F238E27FC236}">
                  <a16:creationId xmlns:a16="http://schemas.microsoft.com/office/drawing/2014/main" id="{7E99F499-ED28-B244-3C33-5EB4D36717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7" name="Elemento grafico 146" descr="Smile di Harvey Ball 0% con riempimento a tinta unita">
              <a:extLst>
                <a:ext uri="{FF2B5EF4-FFF2-40B4-BE49-F238E27FC236}">
                  <a16:creationId xmlns:a16="http://schemas.microsoft.com/office/drawing/2014/main" id="{F327C48F-802A-4CDF-F3E8-CA5BD8E826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8" name="Elemento grafico 147" descr="Smile di Harvey Ball 0% con riempimento a tinta unita">
              <a:extLst>
                <a:ext uri="{FF2B5EF4-FFF2-40B4-BE49-F238E27FC236}">
                  <a16:creationId xmlns:a16="http://schemas.microsoft.com/office/drawing/2014/main" id="{CAB649DF-3DBE-FBD0-B694-BC30B94475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9" name="Elemento grafico 148" descr="Smile di Harvey Ball 0% con riempimento a tinta unita">
              <a:extLst>
                <a:ext uri="{FF2B5EF4-FFF2-40B4-BE49-F238E27FC236}">
                  <a16:creationId xmlns:a16="http://schemas.microsoft.com/office/drawing/2014/main" id="{24211823-9505-ECC6-F112-9267DFEC23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7" name="Gruppo 136">
            <a:extLst>
              <a:ext uri="{FF2B5EF4-FFF2-40B4-BE49-F238E27FC236}">
                <a16:creationId xmlns:a16="http://schemas.microsoft.com/office/drawing/2014/main" id="{5317272A-B10D-E7B5-1B3F-6B56D67597A3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38" name="Elemento grafico 137" descr="Smile di Harvey Ball 0% con riempimento a tinta unita">
              <a:extLst>
                <a:ext uri="{FF2B5EF4-FFF2-40B4-BE49-F238E27FC236}">
                  <a16:creationId xmlns:a16="http://schemas.microsoft.com/office/drawing/2014/main" id="{DC04CA76-4EDF-CB72-A6EF-90120E4011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9" name="Elemento grafico 138" descr="Smile di Harvey Ball 0% con riempimento a tinta unita">
              <a:extLst>
                <a:ext uri="{FF2B5EF4-FFF2-40B4-BE49-F238E27FC236}">
                  <a16:creationId xmlns:a16="http://schemas.microsoft.com/office/drawing/2014/main" id="{236BDEFD-7877-5F5B-7ED1-4EC279AE3A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0" name="Elemento grafico 139" descr="Smile di Harvey Ball 0% con riempimento a tinta unita">
              <a:extLst>
                <a:ext uri="{FF2B5EF4-FFF2-40B4-BE49-F238E27FC236}">
                  <a16:creationId xmlns:a16="http://schemas.microsoft.com/office/drawing/2014/main" id="{5C2F3767-B51B-B6E0-E51D-FF2EA13D15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1" name="Elemento grafico 140" descr="Smile di Harvey Ball 0% con riempimento a tinta unita">
              <a:extLst>
                <a:ext uri="{FF2B5EF4-FFF2-40B4-BE49-F238E27FC236}">
                  <a16:creationId xmlns:a16="http://schemas.microsoft.com/office/drawing/2014/main" id="{68892D9D-1C2A-870D-825E-BAC8B73BB82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2" name="Elemento grafico 141" descr="Smile di Harvey Ball 0% con riempimento a tinta unita">
              <a:extLst>
                <a:ext uri="{FF2B5EF4-FFF2-40B4-BE49-F238E27FC236}">
                  <a16:creationId xmlns:a16="http://schemas.microsoft.com/office/drawing/2014/main" id="{CF73351D-3618-6881-6453-825205C269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3" name="Elemento grafico 142" descr="Smile di Harvey Ball 0% con riempimento a tinta unita">
              <a:extLst>
                <a:ext uri="{FF2B5EF4-FFF2-40B4-BE49-F238E27FC236}">
                  <a16:creationId xmlns:a16="http://schemas.microsoft.com/office/drawing/2014/main" id="{85CDB71C-198A-11A0-DD9B-CF1F187E6D6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14</xdr:row>
      <xdr:rowOff>50796</xdr:rowOff>
    </xdr:from>
    <xdr:to>
      <xdr:col>16</xdr:col>
      <xdr:colOff>394545</xdr:colOff>
      <xdr:row>14</xdr:row>
      <xdr:rowOff>179490</xdr:rowOff>
    </xdr:to>
    <xdr:grpSp>
      <xdr:nvGrpSpPr>
        <xdr:cNvPr id="156" name="Gruppo 155">
          <a:extLst>
            <a:ext uri="{FF2B5EF4-FFF2-40B4-BE49-F238E27FC236}">
              <a16:creationId xmlns:a16="http://schemas.microsoft.com/office/drawing/2014/main" id="{B60FE2A3-1437-49DF-AD85-03741A76EB76}"/>
            </a:ext>
          </a:extLst>
        </xdr:cNvPr>
        <xdr:cNvGrpSpPr/>
      </xdr:nvGrpSpPr>
      <xdr:grpSpPr>
        <a:xfrm>
          <a:off x="4072466" y="3162296"/>
          <a:ext cx="2824479" cy="128694"/>
          <a:chOff x="4031826" y="3578013"/>
          <a:chExt cx="2799079" cy="128694"/>
        </a:xfrm>
      </xdr:grpSpPr>
      <xdr:grpSp>
        <xdr:nvGrpSpPr>
          <xdr:cNvPr id="157" name="Gruppo 156">
            <a:extLst>
              <a:ext uri="{FF2B5EF4-FFF2-40B4-BE49-F238E27FC236}">
                <a16:creationId xmlns:a16="http://schemas.microsoft.com/office/drawing/2014/main" id="{2CF71499-C186-A3B9-8468-DC35EE8707F8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72" name="Elemento grafico 171" descr="Smile di Harvey Ball 0% con riempimento a tinta unita">
              <a:extLst>
                <a:ext uri="{FF2B5EF4-FFF2-40B4-BE49-F238E27FC236}">
                  <a16:creationId xmlns:a16="http://schemas.microsoft.com/office/drawing/2014/main" id="{49DB5B0F-3499-32F9-4DD7-225116E5A7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3" name="Elemento grafico 172" descr="Smile di Harvey Ball 0% con riempimento a tinta unita">
              <a:extLst>
                <a:ext uri="{FF2B5EF4-FFF2-40B4-BE49-F238E27FC236}">
                  <a16:creationId xmlns:a16="http://schemas.microsoft.com/office/drawing/2014/main" id="{83EDFA77-4DA7-C535-0814-C5BF060BDF8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4" name="Elemento grafico 173" descr="Smile di Harvey Ball 0% con riempimento a tinta unita">
              <a:extLst>
                <a:ext uri="{FF2B5EF4-FFF2-40B4-BE49-F238E27FC236}">
                  <a16:creationId xmlns:a16="http://schemas.microsoft.com/office/drawing/2014/main" id="{EAEB59C1-B17E-B3FF-C13E-A9DAD269FA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5" name="Elemento grafico 174" descr="Smile di Harvey Ball 0% con riempimento a tinta unita">
              <a:extLst>
                <a:ext uri="{FF2B5EF4-FFF2-40B4-BE49-F238E27FC236}">
                  <a16:creationId xmlns:a16="http://schemas.microsoft.com/office/drawing/2014/main" id="{F2197BEB-179B-082F-15C5-8F31C6B2C4E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6" name="Elemento grafico 175" descr="Smile di Harvey Ball 0% con riempimento a tinta unita">
              <a:extLst>
                <a:ext uri="{FF2B5EF4-FFF2-40B4-BE49-F238E27FC236}">
                  <a16:creationId xmlns:a16="http://schemas.microsoft.com/office/drawing/2014/main" id="{EFE39F80-6D39-1949-92C3-B548A8335A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7" name="Elemento grafico 176" descr="Smile di Harvey Ball 0% con riempimento a tinta unita">
              <a:extLst>
                <a:ext uri="{FF2B5EF4-FFF2-40B4-BE49-F238E27FC236}">
                  <a16:creationId xmlns:a16="http://schemas.microsoft.com/office/drawing/2014/main" id="{0F7AB8E6-A02E-8A71-CC2F-C7ED67C3AD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8" name="Gruppo 157">
            <a:extLst>
              <a:ext uri="{FF2B5EF4-FFF2-40B4-BE49-F238E27FC236}">
                <a16:creationId xmlns:a16="http://schemas.microsoft.com/office/drawing/2014/main" id="{65F3941D-D908-72F5-99F5-21CBC7176567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66" name="Elemento grafico 165" descr="Smile di Harvey Ball 0% con riempimento a tinta unita">
              <a:extLst>
                <a:ext uri="{FF2B5EF4-FFF2-40B4-BE49-F238E27FC236}">
                  <a16:creationId xmlns:a16="http://schemas.microsoft.com/office/drawing/2014/main" id="{36E3AAED-0531-F4C9-654B-8E69484A0B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7" name="Elemento grafico 166" descr="Smile di Harvey Ball 0% con riempimento a tinta unita">
              <a:extLst>
                <a:ext uri="{FF2B5EF4-FFF2-40B4-BE49-F238E27FC236}">
                  <a16:creationId xmlns:a16="http://schemas.microsoft.com/office/drawing/2014/main" id="{163F1AE5-2856-E9B5-CC45-64E2BD59984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8" name="Elemento grafico 167" descr="Smile di Harvey Ball 0% con riempimento a tinta unita">
              <a:extLst>
                <a:ext uri="{FF2B5EF4-FFF2-40B4-BE49-F238E27FC236}">
                  <a16:creationId xmlns:a16="http://schemas.microsoft.com/office/drawing/2014/main" id="{046ED469-FDB5-CE2B-ABA7-0858EC9FA3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9" name="Elemento grafico 168" descr="Smile di Harvey Ball 0% con riempimento a tinta unita">
              <a:extLst>
                <a:ext uri="{FF2B5EF4-FFF2-40B4-BE49-F238E27FC236}">
                  <a16:creationId xmlns:a16="http://schemas.microsoft.com/office/drawing/2014/main" id="{5580F0FF-5959-F707-7E0E-595F90C6E6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0" name="Elemento grafico 169" descr="Smile di Harvey Ball 0% con riempimento a tinta unita">
              <a:extLst>
                <a:ext uri="{FF2B5EF4-FFF2-40B4-BE49-F238E27FC236}">
                  <a16:creationId xmlns:a16="http://schemas.microsoft.com/office/drawing/2014/main" id="{4578FE5B-03CC-A0A6-25AC-AC938341AF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1" name="Elemento grafico 170" descr="Smile di Harvey Ball 0% con riempimento a tinta unita">
              <a:extLst>
                <a:ext uri="{FF2B5EF4-FFF2-40B4-BE49-F238E27FC236}">
                  <a16:creationId xmlns:a16="http://schemas.microsoft.com/office/drawing/2014/main" id="{93415634-19C5-4A87-D26A-6DC1EDB7ED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9" name="Gruppo 158">
            <a:extLst>
              <a:ext uri="{FF2B5EF4-FFF2-40B4-BE49-F238E27FC236}">
                <a16:creationId xmlns:a16="http://schemas.microsoft.com/office/drawing/2014/main" id="{2ECEE7D4-83C5-0F7F-4E43-4353A1D4EC25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60" name="Elemento grafico 159" descr="Smile di Harvey Ball 0% con riempimento a tinta unita">
              <a:extLst>
                <a:ext uri="{FF2B5EF4-FFF2-40B4-BE49-F238E27FC236}">
                  <a16:creationId xmlns:a16="http://schemas.microsoft.com/office/drawing/2014/main" id="{8C894021-10FB-5700-E18E-C56E7B27DAB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1" name="Elemento grafico 160" descr="Smile di Harvey Ball 0% con riempimento a tinta unita">
              <a:extLst>
                <a:ext uri="{FF2B5EF4-FFF2-40B4-BE49-F238E27FC236}">
                  <a16:creationId xmlns:a16="http://schemas.microsoft.com/office/drawing/2014/main" id="{8115F112-A99E-B090-83A4-C19F190213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2" name="Elemento grafico 161" descr="Smile di Harvey Ball 0% con riempimento a tinta unita">
              <a:extLst>
                <a:ext uri="{FF2B5EF4-FFF2-40B4-BE49-F238E27FC236}">
                  <a16:creationId xmlns:a16="http://schemas.microsoft.com/office/drawing/2014/main" id="{18E397C8-4D83-B10B-1B38-3F4950BE1F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3" name="Elemento grafico 162" descr="Smile di Harvey Ball 0% con riempimento a tinta unita">
              <a:extLst>
                <a:ext uri="{FF2B5EF4-FFF2-40B4-BE49-F238E27FC236}">
                  <a16:creationId xmlns:a16="http://schemas.microsoft.com/office/drawing/2014/main" id="{22A2AA36-C660-CE54-1E96-B3D368098EA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4" name="Elemento grafico 163" descr="Smile di Harvey Ball 0% con riempimento a tinta unita">
              <a:extLst>
                <a:ext uri="{FF2B5EF4-FFF2-40B4-BE49-F238E27FC236}">
                  <a16:creationId xmlns:a16="http://schemas.microsoft.com/office/drawing/2014/main" id="{02F42561-22DE-B8C3-502A-CB487976A5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5" name="Elemento grafico 164" descr="Smile di Harvey Ball 0% con riempimento a tinta unita">
              <a:extLst>
                <a:ext uri="{FF2B5EF4-FFF2-40B4-BE49-F238E27FC236}">
                  <a16:creationId xmlns:a16="http://schemas.microsoft.com/office/drawing/2014/main" id="{CDA0EF4A-155A-A55D-2487-A497E0FA95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40640</xdr:colOff>
      <xdr:row>22</xdr:row>
      <xdr:rowOff>25400</xdr:rowOff>
    </xdr:from>
    <xdr:to>
      <xdr:col>16</xdr:col>
      <xdr:colOff>173919</xdr:colOff>
      <xdr:row>22</xdr:row>
      <xdr:rowOff>154094</xdr:rowOff>
    </xdr:to>
    <xdr:pic>
      <xdr:nvPicPr>
        <xdr:cNvPr id="178" name="Elemento grafico 177" descr="Smile di Harvey Ball 0% con riempimento a tinta unita">
          <a:extLst>
            <a:ext uri="{FF2B5EF4-FFF2-40B4-BE49-F238E27FC236}">
              <a16:creationId xmlns:a16="http://schemas.microsoft.com/office/drawing/2014/main" id="{F0D2C5E5-E574-47A3-BB0B-6581F6783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502400" y="4886960"/>
          <a:ext cx="133279" cy="128694"/>
        </a:xfrm>
        <a:prstGeom prst="rect">
          <a:avLst/>
        </a:prstGeom>
      </xdr:spPr>
    </xdr:pic>
    <xdr:clientData/>
  </xdr:twoCellAnchor>
  <xdr:twoCellAnchor>
    <xdr:from>
      <xdr:col>10</xdr:col>
      <xdr:colOff>8466</xdr:colOff>
      <xdr:row>13</xdr:row>
      <xdr:rowOff>54910</xdr:rowOff>
    </xdr:from>
    <xdr:to>
      <xdr:col>16</xdr:col>
      <xdr:colOff>394545</xdr:colOff>
      <xdr:row>13</xdr:row>
      <xdr:rowOff>183604</xdr:rowOff>
    </xdr:to>
    <xdr:grpSp>
      <xdr:nvGrpSpPr>
        <xdr:cNvPr id="179" name="Gruppo 178">
          <a:extLst>
            <a:ext uri="{FF2B5EF4-FFF2-40B4-BE49-F238E27FC236}">
              <a16:creationId xmlns:a16="http://schemas.microsoft.com/office/drawing/2014/main" id="{E7265042-4AD3-4368-805E-1C863F344A72}"/>
            </a:ext>
          </a:extLst>
        </xdr:cNvPr>
        <xdr:cNvGrpSpPr/>
      </xdr:nvGrpSpPr>
      <xdr:grpSpPr>
        <a:xfrm>
          <a:off x="4072466" y="2944160"/>
          <a:ext cx="2824479" cy="128694"/>
          <a:chOff x="4031826" y="3578013"/>
          <a:chExt cx="2799079" cy="128694"/>
        </a:xfrm>
      </xdr:grpSpPr>
      <xdr:grpSp>
        <xdr:nvGrpSpPr>
          <xdr:cNvPr id="180" name="Gruppo 179">
            <a:extLst>
              <a:ext uri="{FF2B5EF4-FFF2-40B4-BE49-F238E27FC236}">
                <a16:creationId xmlns:a16="http://schemas.microsoft.com/office/drawing/2014/main" id="{A1456819-80A0-8A86-0FEA-6AC35C4AD123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95" name="Elemento grafico 194" descr="Smile di Harvey Ball 0% con riempimento a tinta unita">
              <a:extLst>
                <a:ext uri="{FF2B5EF4-FFF2-40B4-BE49-F238E27FC236}">
                  <a16:creationId xmlns:a16="http://schemas.microsoft.com/office/drawing/2014/main" id="{CDF95F6B-6BC8-2513-7187-FC8B864671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6" name="Elemento grafico 195" descr="Smile di Harvey Ball 0% con riempimento a tinta unita">
              <a:extLst>
                <a:ext uri="{FF2B5EF4-FFF2-40B4-BE49-F238E27FC236}">
                  <a16:creationId xmlns:a16="http://schemas.microsoft.com/office/drawing/2014/main" id="{CBEB634B-859B-CFE0-91A3-E6091228268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7" name="Elemento grafico 196" descr="Smile di Harvey Ball 0% con riempimento a tinta unita">
              <a:extLst>
                <a:ext uri="{FF2B5EF4-FFF2-40B4-BE49-F238E27FC236}">
                  <a16:creationId xmlns:a16="http://schemas.microsoft.com/office/drawing/2014/main" id="{B54FEDD5-1F63-D9D0-2849-D9B32BFD72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8" name="Elemento grafico 197" descr="Smile di Harvey Ball 0% con riempimento a tinta unita">
              <a:extLst>
                <a:ext uri="{FF2B5EF4-FFF2-40B4-BE49-F238E27FC236}">
                  <a16:creationId xmlns:a16="http://schemas.microsoft.com/office/drawing/2014/main" id="{E58EBF69-546A-0D49-631F-BF8A61D75A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9" name="Elemento grafico 198" descr="Smile di Harvey Ball 0% con riempimento a tinta unita">
              <a:extLst>
                <a:ext uri="{FF2B5EF4-FFF2-40B4-BE49-F238E27FC236}">
                  <a16:creationId xmlns:a16="http://schemas.microsoft.com/office/drawing/2014/main" id="{A1DACC55-6E10-E1C0-6723-15C970EAABE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0" name="Elemento grafico 199" descr="Smile di Harvey Ball 0% con riempimento a tinta unita">
              <a:extLst>
                <a:ext uri="{FF2B5EF4-FFF2-40B4-BE49-F238E27FC236}">
                  <a16:creationId xmlns:a16="http://schemas.microsoft.com/office/drawing/2014/main" id="{617CC863-1C17-405F-49B3-D92863C0E0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1" name="Gruppo 180">
            <a:extLst>
              <a:ext uri="{FF2B5EF4-FFF2-40B4-BE49-F238E27FC236}">
                <a16:creationId xmlns:a16="http://schemas.microsoft.com/office/drawing/2014/main" id="{CDD1C548-8AF0-4B09-BA22-FC81B4144354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89" name="Elemento grafico 188" descr="Smile di Harvey Ball 0% con riempimento a tinta unita">
              <a:extLst>
                <a:ext uri="{FF2B5EF4-FFF2-40B4-BE49-F238E27FC236}">
                  <a16:creationId xmlns:a16="http://schemas.microsoft.com/office/drawing/2014/main" id="{A999EBD6-5635-9B1F-18EE-A1C646DE3AF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0" name="Elemento grafico 189" descr="Smile di Harvey Ball 0% con riempimento a tinta unita">
              <a:extLst>
                <a:ext uri="{FF2B5EF4-FFF2-40B4-BE49-F238E27FC236}">
                  <a16:creationId xmlns:a16="http://schemas.microsoft.com/office/drawing/2014/main" id="{B30119AF-C47C-6522-34E5-25987E77133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1" name="Elemento grafico 190" descr="Smile di Harvey Ball 0% con riempimento a tinta unita">
              <a:extLst>
                <a:ext uri="{FF2B5EF4-FFF2-40B4-BE49-F238E27FC236}">
                  <a16:creationId xmlns:a16="http://schemas.microsoft.com/office/drawing/2014/main" id="{6AB0E22D-7C62-CF1B-189B-B4EFB80601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2" name="Elemento grafico 191" descr="Smile di Harvey Ball 0% con riempimento a tinta unita">
              <a:extLst>
                <a:ext uri="{FF2B5EF4-FFF2-40B4-BE49-F238E27FC236}">
                  <a16:creationId xmlns:a16="http://schemas.microsoft.com/office/drawing/2014/main" id="{10CB23D2-9B93-9FC6-440D-FCF1EF8E66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3" name="Elemento grafico 192" descr="Smile di Harvey Ball 0% con riempimento a tinta unita">
              <a:extLst>
                <a:ext uri="{FF2B5EF4-FFF2-40B4-BE49-F238E27FC236}">
                  <a16:creationId xmlns:a16="http://schemas.microsoft.com/office/drawing/2014/main" id="{0A5D5502-2BD7-97BA-D02F-AB10865882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4" name="Elemento grafico 193" descr="Smile di Harvey Ball 0% con riempimento a tinta unita">
              <a:extLst>
                <a:ext uri="{FF2B5EF4-FFF2-40B4-BE49-F238E27FC236}">
                  <a16:creationId xmlns:a16="http://schemas.microsoft.com/office/drawing/2014/main" id="{4A53E35D-D686-6697-F43E-92FACF1F09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2" name="Gruppo 181">
            <a:extLst>
              <a:ext uri="{FF2B5EF4-FFF2-40B4-BE49-F238E27FC236}">
                <a16:creationId xmlns:a16="http://schemas.microsoft.com/office/drawing/2014/main" id="{E15F1255-CF11-3805-709F-7083E1D13EDB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83" name="Elemento grafico 182" descr="Smile di Harvey Ball 0% con riempimento a tinta unita">
              <a:extLst>
                <a:ext uri="{FF2B5EF4-FFF2-40B4-BE49-F238E27FC236}">
                  <a16:creationId xmlns:a16="http://schemas.microsoft.com/office/drawing/2014/main" id="{6F92C2D8-2BB8-5694-DF2C-91A611B7E9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4" name="Elemento grafico 183" descr="Smile di Harvey Ball 0% con riempimento a tinta unita">
              <a:extLst>
                <a:ext uri="{FF2B5EF4-FFF2-40B4-BE49-F238E27FC236}">
                  <a16:creationId xmlns:a16="http://schemas.microsoft.com/office/drawing/2014/main" id="{79F03845-38EF-15A2-8895-E9877692E6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5" name="Elemento grafico 184" descr="Smile di Harvey Ball 0% con riempimento a tinta unita">
              <a:extLst>
                <a:ext uri="{FF2B5EF4-FFF2-40B4-BE49-F238E27FC236}">
                  <a16:creationId xmlns:a16="http://schemas.microsoft.com/office/drawing/2014/main" id="{599732D2-A953-6149-06D2-E00D719C63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6" name="Elemento grafico 185" descr="Smile di Harvey Ball 0% con riempimento a tinta unita">
              <a:extLst>
                <a:ext uri="{FF2B5EF4-FFF2-40B4-BE49-F238E27FC236}">
                  <a16:creationId xmlns:a16="http://schemas.microsoft.com/office/drawing/2014/main" id="{5A3E8853-C6C4-708F-70F1-376ED5B764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7" name="Elemento grafico 186" descr="Smile di Harvey Ball 0% con riempimento a tinta unita">
              <a:extLst>
                <a:ext uri="{FF2B5EF4-FFF2-40B4-BE49-F238E27FC236}">
                  <a16:creationId xmlns:a16="http://schemas.microsoft.com/office/drawing/2014/main" id="{05CB1F52-2839-0CA1-B719-8E3019B17CB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8" name="Elemento grafico 187" descr="Smile di Harvey Ball 0% con riempimento a tinta unita">
              <a:extLst>
                <a:ext uri="{FF2B5EF4-FFF2-40B4-BE49-F238E27FC236}">
                  <a16:creationId xmlns:a16="http://schemas.microsoft.com/office/drawing/2014/main" id="{C03BD984-D60E-9DC5-CB29-A18F6726E9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8466</xdr:colOff>
      <xdr:row>16</xdr:row>
      <xdr:rowOff>49830</xdr:rowOff>
    </xdr:from>
    <xdr:to>
      <xdr:col>16</xdr:col>
      <xdr:colOff>394545</xdr:colOff>
      <xdr:row>16</xdr:row>
      <xdr:rowOff>178524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4E986E22-7D76-4BB8-B9B4-FA1174AF0F03}"/>
            </a:ext>
          </a:extLst>
        </xdr:cNvPr>
        <xdr:cNvGrpSpPr/>
      </xdr:nvGrpSpPr>
      <xdr:grpSpPr>
        <a:xfrm>
          <a:off x="4072466" y="3605830"/>
          <a:ext cx="2824479" cy="128694"/>
          <a:chOff x="4031826" y="3578013"/>
          <a:chExt cx="2799079" cy="128694"/>
        </a:xfrm>
      </xdr:grpSpPr>
      <xdr:grpSp>
        <xdr:nvGrpSpPr>
          <xdr:cNvPr id="3" name="Gruppo 2">
            <a:extLst>
              <a:ext uri="{FF2B5EF4-FFF2-40B4-BE49-F238E27FC236}">
                <a16:creationId xmlns:a16="http://schemas.microsoft.com/office/drawing/2014/main" id="{8AE8C94B-DA9A-0D57-A3FB-E53F65842C58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8" name="Elemento grafico 17" descr="Smile di Harvey Ball 0% con riempimento a tinta unita">
              <a:extLst>
                <a:ext uri="{FF2B5EF4-FFF2-40B4-BE49-F238E27FC236}">
                  <a16:creationId xmlns:a16="http://schemas.microsoft.com/office/drawing/2014/main" id="{22FA1AEF-E694-4018-7062-3A4114AEDF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" name="Elemento grafico 18" descr="Smile di Harvey Ball 0% con riempimento a tinta unita">
              <a:extLst>
                <a:ext uri="{FF2B5EF4-FFF2-40B4-BE49-F238E27FC236}">
                  <a16:creationId xmlns:a16="http://schemas.microsoft.com/office/drawing/2014/main" id="{AB3436A0-0C9E-FE6E-30CA-C435D4460C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" name="Elemento grafico 19" descr="Smile di Harvey Ball 0% con riempimento a tinta unita">
              <a:extLst>
                <a:ext uri="{FF2B5EF4-FFF2-40B4-BE49-F238E27FC236}">
                  <a16:creationId xmlns:a16="http://schemas.microsoft.com/office/drawing/2014/main" id="{241C3F7A-2CAC-32AC-9425-6218AC9D50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1" name="Elemento grafico 20" descr="Smile di Harvey Ball 0% con riempimento a tinta unita">
              <a:extLst>
                <a:ext uri="{FF2B5EF4-FFF2-40B4-BE49-F238E27FC236}">
                  <a16:creationId xmlns:a16="http://schemas.microsoft.com/office/drawing/2014/main" id="{79D6D593-9BB1-BE3D-D36E-FB07EDDDF2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2" name="Elemento grafico 21" descr="Smile di Harvey Ball 0% con riempimento a tinta unita">
              <a:extLst>
                <a:ext uri="{FF2B5EF4-FFF2-40B4-BE49-F238E27FC236}">
                  <a16:creationId xmlns:a16="http://schemas.microsoft.com/office/drawing/2014/main" id="{6311B242-4A17-546C-B6ED-DE2E6C9D1D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3" name="Elemento grafico 22" descr="Smile di Harvey Ball 0% con riempimento a tinta unita">
              <a:extLst>
                <a:ext uri="{FF2B5EF4-FFF2-40B4-BE49-F238E27FC236}">
                  <a16:creationId xmlns:a16="http://schemas.microsoft.com/office/drawing/2014/main" id="{31DB52DD-297B-5A3E-D740-CC908031B7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" name="Gruppo 3">
            <a:extLst>
              <a:ext uri="{FF2B5EF4-FFF2-40B4-BE49-F238E27FC236}">
                <a16:creationId xmlns:a16="http://schemas.microsoft.com/office/drawing/2014/main" id="{3C296AC9-CCB7-8741-9E38-8C0D616A54B1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" name="Elemento grafico 11" descr="Smile di Harvey Ball 0% con riempimento a tinta unita">
              <a:extLst>
                <a:ext uri="{FF2B5EF4-FFF2-40B4-BE49-F238E27FC236}">
                  <a16:creationId xmlns:a16="http://schemas.microsoft.com/office/drawing/2014/main" id="{F874E4FF-8179-8E80-90E6-64080092F3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" name="Elemento grafico 12" descr="Smile di Harvey Ball 0% con riempimento a tinta unita">
              <a:extLst>
                <a:ext uri="{FF2B5EF4-FFF2-40B4-BE49-F238E27FC236}">
                  <a16:creationId xmlns:a16="http://schemas.microsoft.com/office/drawing/2014/main" id="{FCC8B120-FBA8-5256-8A3E-0E45900600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" name="Elemento grafico 13" descr="Smile di Harvey Ball 0% con riempimento a tinta unita">
              <a:extLst>
                <a:ext uri="{FF2B5EF4-FFF2-40B4-BE49-F238E27FC236}">
                  <a16:creationId xmlns:a16="http://schemas.microsoft.com/office/drawing/2014/main" id="{41AA2092-863B-8028-C8B6-EA5A5B4A8D7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" name="Elemento grafico 14" descr="Smile di Harvey Ball 0% con riempimento a tinta unita">
              <a:extLst>
                <a:ext uri="{FF2B5EF4-FFF2-40B4-BE49-F238E27FC236}">
                  <a16:creationId xmlns:a16="http://schemas.microsoft.com/office/drawing/2014/main" id="{49618A8A-9A74-393A-7687-6A59489260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" name="Elemento grafico 15" descr="Smile di Harvey Ball 0% con riempimento a tinta unita">
              <a:extLst>
                <a:ext uri="{FF2B5EF4-FFF2-40B4-BE49-F238E27FC236}">
                  <a16:creationId xmlns:a16="http://schemas.microsoft.com/office/drawing/2014/main" id="{57950469-E2D1-58BE-E1B7-8B90EF827E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" name="Elemento grafico 16" descr="Smile di Harvey Ball 0% con riempimento a tinta unita">
              <a:extLst>
                <a:ext uri="{FF2B5EF4-FFF2-40B4-BE49-F238E27FC236}">
                  <a16:creationId xmlns:a16="http://schemas.microsoft.com/office/drawing/2014/main" id="{81888A02-5B69-8ABA-3D15-BD4F6AC2B4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5" name="Gruppo 4">
            <a:extLst>
              <a:ext uri="{FF2B5EF4-FFF2-40B4-BE49-F238E27FC236}">
                <a16:creationId xmlns:a16="http://schemas.microsoft.com/office/drawing/2014/main" id="{8A8A13E5-BCE0-2FE4-EDD4-0A021E26BD65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6" name="Elemento grafico 5" descr="Smile di Harvey Ball 0% con riempimento a tinta unita">
              <a:extLst>
                <a:ext uri="{FF2B5EF4-FFF2-40B4-BE49-F238E27FC236}">
                  <a16:creationId xmlns:a16="http://schemas.microsoft.com/office/drawing/2014/main" id="{CCD42306-8A3A-DA95-8CDF-352F6312F3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" name="Elemento grafico 6" descr="Smile di Harvey Ball 0% con riempimento a tinta unita">
              <a:extLst>
                <a:ext uri="{FF2B5EF4-FFF2-40B4-BE49-F238E27FC236}">
                  <a16:creationId xmlns:a16="http://schemas.microsoft.com/office/drawing/2014/main" id="{0AF7B13C-5A50-B7BE-579A-FCA75E039B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" name="Elemento grafico 7" descr="Smile di Harvey Ball 0% con riempimento a tinta unita">
              <a:extLst>
                <a:ext uri="{FF2B5EF4-FFF2-40B4-BE49-F238E27FC236}">
                  <a16:creationId xmlns:a16="http://schemas.microsoft.com/office/drawing/2014/main" id="{B5EE9C64-6CA5-7FF7-48FA-9DECDB0A45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" name="Elemento grafico 8" descr="Smile di Harvey Ball 0% con riempimento a tinta unita">
              <a:extLst>
                <a:ext uri="{FF2B5EF4-FFF2-40B4-BE49-F238E27FC236}">
                  <a16:creationId xmlns:a16="http://schemas.microsoft.com/office/drawing/2014/main" id="{E8080DB8-8FF9-78A0-D550-734ADB7A0B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" name="Elemento grafico 9" descr="Smile di Harvey Ball 0% con riempimento a tinta unita">
              <a:extLst>
                <a:ext uri="{FF2B5EF4-FFF2-40B4-BE49-F238E27FC236}">
                  <a16:creationId xmlns:a16="http://schemas.microsoft.com/office/drawing/2014/main" id="{B12219CD-2B05-A246-850E-4B749D8A6D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" name="Elemento grafico 10" descr="Smile di Harvey Ball 0% con riempimento a tinta unita">
              <a:extLst>
                <a:ext uri="{FF2B5EF4-FFF2-40B4-BE49-F238E27FC236}">
                  <a16:creationId xmlns:a16="http://schemas.microsoft.com/office/drawing/2014/main" id="{D41AB3C4-25E8-73CB-1F76-A94EDA0FDF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17</xdr:row>
      <xdr:rowOff>49346</xdr:rowOff>
    </xdr:from>
    <xdr:to>
      <xdr:col>16</xdr:col>
      <xdr:colOff>394545</xdr:colOff>
      <xdr:row>17</xdr:row>
      <xdr:rowOff>178040</xdr:rowOff>
    </xdr:to>
    <xdr:grpSp>
      <xdr:nvGrpSpPr>
        <xdr:cNvPr id="24" name="Gruppo 23">
          <a:extLst>
            <a:ext uri="{FF2B5EF4-FFF2-40B4-BE49-F238E27FC236}">
              <a16:creationId xmlns:a16="http://schemas.microsoft.com/office/drawing/2014/main" id="{ECAE2F17-4357-40A1-8E26-0F6EA1E75130}"/>
            </a:ext>
          </a:extLst>
        </xdr:cNvPr>
        <xdr:cNvGrpSpPr/>
      </xdr:nvGrpSpPr>
      <xdr:grpSpPr>
        <a:xfrm>
          <a:off x="4072466" y="3827596"/>
          <a:ext cx="2824479" cy="128694"/>
          <a:chOff x="4031826" y="3578013"/>
          <a:chExt cx="2799079" cy="128694"/>
        </a:xfrm>
      </xdr:grpSpPr>
      <xdr:grpSp>
        <xdr:nvGrpSpPr>
          <xdr:cNvPr id="25" name="Gruppo 24">
            <a:extLst>
              <a:ext uri="{FF2B5EF4-FFF2-40B4-BE49-F238E27FC236}">
                <a16:creationId xmlns:a16="http://schemas.microsoft.com/office/drawing/2014/main" id="{BA6DDC74-5925-9314-B4CA-2A3867CB0F0F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40" name="Elemento grafico 39" descr="Smile di Harvey Ball 0% con riempimento a tinta unita">
              <a:extLst>
                <a:ext uri="{FF2B5EF4-FFF2-40B4-BE49-F238E27FC236}">
                  <a16:creationId xmlns:a16="http://schemas.microsoft.com/office/drawing/2014/main" id="{093CC39E-4F91-B33E-0756-AC6073D53D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1" name="Elemento grafico 40" descr="Smile di Harvey Ball 0% con riempimento a tinta unita">
              <a:extLst>
                <a:ext uri="{FF2B5EF4-FFF2-40B4-BE49-F238E27FC236}">
                  <a16:creationId xmlns:a16="http://schemas.microsoft.com/office/drawing/2014/main" id="{EEF791C5-4E57-7BDB-B863-D18B9A95E1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2" name="Elemento grafico 41" descr="Smile di Harvey Ball 0% con riempimento a tinta unita">
              <a:extLst>
                <a:ext uri="{FF2B5EF4-FFF2-40B4-BE49-F238E27FC236}">
                  <a16:creationId xmlns:a16="http://schemas.microsoft.com/office/drawing/2014/main" id="{72BA975A-A2B3-04A9-3E27-A09970EAA5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3" name="Elemento grafico 42" descr="Smile di Harvey Ball 0% con riempimento a tinta unita">
              <a:extLst>
                <a:ext uri="{FF2B5EF4-FFF2-40B4-BE49-F238E27FC236}">
                  <a16:creationId xmlns:a16="http://schemas.microsoft.com/office/drawing/2014/main" id="{0BEC1797-3E78-ABAB-5931-6059A50E49A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4" name="Elemento grafico 43" descr="Smile di Harvey Ball 0% con riempimento a tinta unita">
              <a:extLst>
                <a:ext uri="{FF2B5EF4-FFF2-40B4-BE49-F238E27FC236}">
                  <a16:creationId xmlns:a16="http://schemas.microsoft.com/office/drawing/2014/main" id="{97263F8F-938B-DE16-5B94-06DFE685A8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5" name="Elemento grafico 44" descr="Smile di Harvey Ball 0% con riempimento a tinta unita">
              <a:extLst>
                <a:ext uri="{FF2B5EF4-FFF2-40B4-BE49-F238E27FC236}">
                  <a16:creationId xmlns:a16="http://schemas.microsoft.com/office/drawing/2014/main" id="{8617F146-82C3-C1A8-98C3-04BBDCF704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6" name="Gruppo 25">
            <a:extLst>
              <a:ext uri="{FF2B5EF4-FFF2-40B4-BE49-F238E27FC236}">
                <a16:creationId xmlns:a16="http://schemas.microsoft.com/office/drawing/2014/main" id="{82BAC20B-BF53-1BDD-CE40-D253F285DEC6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34" name="Elemento grafico 33" descr="Smile di Harvey Ball 0% con riempimento a tinta unita">
              <a:extLst>
                <a:ext uri="{FF2B5EF4-FFF2-40B4-BE49-F238E27FC236}">
                  <a16:creationId xmlns:a16="http://schemas.microsoft.com/office/drawing/2014/main" id="{4116C5C3-6B37-58C0-ED63-59EB2B9F0B0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5" name="Elemento grafico 34" descr="Smile di Harvey Ball 0% con riempimento a tinta unita">
              <a:extLst>
                <a:ext uri="{FF2B5EF4-FFF2-40B4-BE49-F238E27FC236}">
                  <a16:creationId xmlns:a16="http://schemas.microsoft.com/office/drawing/2014/main" id="{453267AF-99E2-C234-126B-ECB90855DE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6" name="Elemento grafico 35" descr="Smile di Harvey Ball 0% con riempimento a tinta unita">
              <a:extLst>
                <a:ext uri="{FF2B5EF4-FFF2-40B4-BE49-F238E27FC236}">
                  <a16:creationId xmlns:a16="http://schemas.microsoft.com/office/drawing/2014/main" id="{023B3BE5-03E8-B58C-4024-FAF82BA34E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7" name="Elemento grafico 36" descr="Smile di Harvey Ball 0% con riempimento a tinta unita">
              <a:extLst>
                <a:ext uri="{FF2B5EF4-FFF2-40B4-BE49-F238E27FC236}">
                  <a16:creationId xmlns:a16="http://schemas.microsoft.com/office/drawing/2014/main" id="{6BC87409-8D4A-C862-85FE-DD25AD0BF3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8" name="Elemento grafico 37" descr="Smile di Harvey Ball 0% con riempimento a tinta unita">
              <a:extLst>
                <a:ext uri="{FF2B5EF4-FFF2-40B4-BE49-F238E27FC236}">
                  <a16:creationId xmlns:a16="http://schemas.microsoft.com/office/drawing/2014/main" id="{B1A52EDD-835B-73EC-9EBE-89C5DB21E5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9" name="Elemento grafico 38" descr="Smile di Harvey Ball 0% con riempimento a tinta unita">
              <a:extLst>
                <a:ext uri="{FF2B5EF4-FFF2-40B4-BE49-F238E27FC236}">
                  <a16:creationId xmlns:a16="http://schemas.microsoft.com/office/drawing/2014/main" id="{746B060E-DD34-D109-911A-FDBD618817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7" name="Gruppo 26">
            <a:extLst>
              <a:ext uri="{FF2B5EF4-FFF2-40B4-BE49-F238E27FC236}">
                <a16:creationId xmlns:a16="http://schemas.microsoft.com/office/drawing/2014/main" id="{EFDF9B7F-0F78-E09D-C023-67E5CA586154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28" name="Elemento grafico 27" descr="Smile di Harvey Ball 0% con riempimento a tinta unita">
              <a:extLst>
                <a:ext uri="{FF2B5EF4-FFF2-40B4-BE49-F238E27FC236}">
                  <a16:creationId xmlns:a16="http://schemas.microsoft.com/office/drawing/2014/main" id="{38B94DE7-5D84-FA51-3D37-9775590099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9" name="Elemento grafico 28" descr="Smile di Harvey Ball 0% con riempimento a tinta unita">
              <a:extLst>
                <a:ext uri="{FF2B5EF4-FFF2-40B4-BE49-F238E27FC236}">
                  <a16:creationId xmlns:a16="http://schemas.microsoft.com/office/drawing/2014/main" id="{47A9DB65-AA83-46C2-62C0-D295CA8E4E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0" name="Elemento grafico 29" descr="Smile di Harvey Ball 0% con riempimento a tinta unita">
              <a:extLst>
                <a:ext uri="{FF2B5EF4-FFF2-40B4-BE49-F238E27FC236}">
                  <a16:creationId xmlns:a16="http://schemas.microsoft.com/office/drawing/2014/main" id="{F11B26CE-4B31-ECF1-38EB-85FD005DADE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1" name="Elemento grafico 30" descr="Smile di Harvey Ball 0% con riempimento a tinta unita">
              <a:extLst>
                <a:ext uri="{FF2B5EF4-FFF2-40B4-BE49-F238E27FC236}">
                  <a16:creationId xmlns:a16="http://schemas.microsoft.com/office/drawing/2014/main" id="{646A8946-C7FD-9293-B3BE-95DAF84F5C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2" name="Elemento grafico 31" descr="Smile di Harvey Ball 0% con riempimento a tinta unita">
              <a:extLst>
                <a:ext uri="{FF2B5EF4-FFF2-40B4-BE49-F238E27FC236}">
                  <a16:creationId xmlns:a16="http://schemas.microsoft.com/office/drawing/2014/main" id="{C2BB4E5D-C951-235F-53EB-732ED5239B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3" name="Elemento grafico 32" descr="Smile di Harvey Ball 0% con riempimento a tinta unita">
              <a:extLst>
                <a:ext uri="{FF2B5EF4-FFF2-40B4-BE49-F238E27FC236}">
                  <a16:creationId xmlns:a16="http://schemas.microsoft.com/office/drawing/2014/main" id="{4AD66FD8-82E7-5FF1-ACDA-4A7FA230EEE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20</xdr:row>
      <xdr:rowOff>47896</xdr:rowOff>
    </xdr:from>
    <xdr:to>
      <xdr:col>16</xdr:col>
      <xdr:colOff>394545</xdr:colOff>
      <xdr:row>20</xdr:row>
      <xdr:rowOff>176590</xdr:rowOff>
    </xdr:to>
    <xdr:grpSp>
      <xdr:nvGrpSpPr>
        <xdr:cNvPr id="46" name="Gruppo 45">
          <a:extLst>
            <a:ext uri="{FF2B5EF4-FFF2-40B4-BE49-F238E27FC236}">
              <a16:creationId xmlns:a16="http://schemas.microsoft.com/office/drawing/2014/main" id="{1CAF7F52-3475-4921-9776-0A56D2A665BF}"/>
            </a:ext>
          </a:extLst>
        </xdr:cNvPr>
        <xdr:cNvGrpSpPr/>
      </xdr:nvGrpSpPr>
      <xdr:grpSpPr>
        <a:xfrm>
          <a:off x="4072466" y="4492896"/>
          <a:ext cx="2824479" cy="128694"/>
          <a:chOff x="4031826" y="3578013"/>
          <a:chExt cx="2799079" cy="128694"/>
        </a:xfrm>
      </xdr:grpSpPr>
      <xdr:grpSp>
        <xdr:nvGrpSpPr>
          <xdr:cNvPr id="47" name="Gruppo 46">
            <a:extLst>
              <a:ext uri="{FF2B5EF4-FFF2-40B4-BE49-F238E27FC236}">
                <a16:creationId xmlns:a16="http://schemas.microsoft.com/office/drawing/2014/main" id="{417BE2BE-BA78-3699-BC22-F33B0E62229B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62" name="Elemento grafico 61" descr="Smile di Harvey Ball 0% con riempimento a tinta unita">
              <a:extLst>
                <a:ext uri="{FF2B5EF4-FFF2-40B4-BE49-F238E27FC236}">
                  <a16:creationId xmlns:a16="http://schemas.microsoft.com/office/drawing/2014/main" id="{2918B66D-B073-AC1E-5E60-6548EA956F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3" name="Elemento grafico 62" descr="Smile di Harvey Ball 0% con riempimento a tinta unita">
              <a:extLst>
                <a:ext uri="{FF2B5EF4-FFF2-40B4-BE49-F238E27FC236}">
                  <a16:creationId xmlns:a16="http://schemas.microsoft.com/office/drawing/2014/main" id="{F76FAF73-493A-CF2A-76AF-97810527D45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4" name="Elemento grafico 63" descr="Smile di Harvey Ball 0% con riempimento a tinta unita">
              <a:extLst>
                <a:ext uri="{FF2B5EF4-FFF2-40B4-BE49-F238E27FC236}">
                  <a16:creationId xmlns:a16="http://schemas.microsoft.com/office/drawing/2014/main" id="{309B5F28-136B-CDD3-C75F-7F31F19266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5" name="Elemento grafico 64" descr="Smile di Harvey Ball 0% con riempimento a tinta unita">
              <a:extLst>
                <a:ext uri="{FF2B5EF4-FFF2-40B4-BE49-F238E27FC236}">
                  <a16:creationId xmlns:a16="http://schemas.microsoft.com/office/drawing/2014/main" id="{79535A16-956A-1989-14DE-736C153CE5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6" name="Elemento grafico 65" descr="Smile di Harvey Ball 0% con riempimento a tinta unita">
              <a:extLst>
                <a:ext uri="{FF2B5EF4-FFF2-40B4-BE49-F238E27FC236}">
                  <a16:creationId xmlns:a16="http://schemas.microsoft.com/office/drawing/2014/main" id="{03723511-D6AB-6BE9-A855-189F33100A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7" name="Elemento grafico 66" descr="Smile di Harvey Ball 0% con riempimento a tinta unita">
              <a:extLst>
                <a:ext uri="{FF2B5EF4-FFF2-40B4-BE49-F238E27FC236}">
                  <a16:creationId xmlns:a16="http://schemas.microsoft.com/office/drawing/2014/main" id="{70014677-24AD-FE6D-526B-4E6FEE5B1B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8" name="Gruppo 47">
            <a:extLst>
              <a:ext uri="{FF2B5EF4-FFF2-40B4-BE49-F238E27FC236}">
                <a16:creationId xmlns:a16="http://schemas.microsoft.com/office/drawing/2014/main" id="{FB48796C-09A8-513A-7059-E9181BE3059F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56" name="Elemento grafico 55" descr="Smile di Harvey Ball 0% con riempimento a tinta unita">
              <a:extLst>
                <a:ext uri="{FF2B5EF4-FFF2-40B4-BE49-F238E27FC236}">
                  <a16:creationId xmlns:a16="http://schemas.microsoft.com/office/drawing/2014/main" id="{DE915A2B-E80F-D030-A754-90081BC2B5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7" name="Elemento grafico 56" descr="Smile di Harvey Ball 0% con riempimento a tinta unita">
              <a:extLst>
                <a:ext uri="{FF2B5EF4-FFF2-40B4-BE49-F238E27FC236}">
                  <a16:creationId xmlns:a16="http://schemas.microsoft.com/office/drawing/2014/main" id="{7FBC4372-4517-E269-7C8E-B83EE35D67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8" name="Elemento grafico 57" descr="Smile di Harvey Ball 0% con riempimento a tinta unita">
              <a:extLst>
                <a:ext uri="{FF2B5EF4-FFF2-40B4-BE49-F238E27FC236}">
                  <a16:creationId xmlns:a16="http://schemas.microsoft.com/office/drawing/2014/main" id="{7D6073A0-B055-A184-981B-7E3330BAC9F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9" name="Elemento grafico 58" descr="Smile di Harvey Ball 0% con riempimento a tinta unita">
              <a:extLst>
                <a:ext uri="{FF2B5EF4-FFF2-40B4-BE49-F238E27FC236}">
                  <a16:creationId xmlns:a16="http://schemas.microsoft.com/office/drawing/2014/main" id="{484E1AF6-8369-CF3F-38E1-2DF2A0966C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0" name="Elemento grafico 59" descr="Smile di Harvey Ball 0% con riempimento a tinta unita">
              <a:extLst>
                <a:ext uri="{FF2B5EF4-FFF2-40B4-BE49-F238E27FC236}">
                  <a16:creationId xmlns:a16="http://schemas.microsoft.com/office/drawing/2014/main" id="{0B0D5E6E-1DA1-4FDD-C305-703ADB8FE13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1" name="Elemento grafico 60" descr="Smile di Harvey Ball 0% con riempimento a tinta unita">
              <a:extLst>
                <a:ext uri="{FF2B5EF4-FFF2-40B4-BE49-F238E27FC236}">
                  <a16:creationId xmlns:a16="http://schemas.microsoft.com/office/drawing/2014/main" id="{EF368CC8-3E0C-F246-4D85-ED8579F078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9" name="Gruppo 48">
            <a:extLst>
              <a:ext uri="{FF2B5EF4-FFF2-40B4-BE49-F238E27FC236}">
                <a16:creationId xmlns:a16="http://schemas.microsoft.com/office/drawing/2014/main" id="{3E3B6541-990A-BFE5-69A3-FCF09D3BE9BB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50" name="Elemento grafico 49" descr="Smile di Harvey Ball 0% con riempimento a tinta unita">
              <a:extLst>
                <a:ext uri="{FF2B5EF4-FFF2-40B4-BE49-F238E27FC236}">
                  <a16:creationId xmlns:a16="http://schemas.microsoft.com/office/drawing/2014/main" id="{9CF2CEB2-B4F5-5498-D5C0-99C831E998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1" name="Elemento grafico 50" descr="Smile di Harvey Ball 0% con riempimento a tinta unita">
              <a:extLst>
                <a:ext uri="{FF2B5EF4-FFF2-40B4-BE49-F238E27FC236}">
                  <a16:creationId xmlns:a16="http://schemas.microsoft.com/office/drawing/2014/main" id="{3C389BAC-7CA4-2F92-6D28-3E5C366011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2" name="Elemento grafico 51" descr="Smile di Harvey Ball 0% con riempimento a tinta unita">
              <a:extLst>
                <a:ext uri="{FF2B5EF4-FFF2-40B4-BE49-F238E27FC236}">
                  <a16:creationId xmlns:a16="http://schemas.microsoft.com/office/drawing/2014/main" id="{EACA2517-D2F8-B324-035A-2C85A93F60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3" name="Elemento grafico 52" descr="Smile di Harvey Ball 0% con riempimento a tinta unita">
              <a:extLst>
                <a:ext uri="{FF2B5EF4-FFF2-40B4-BE49-F238E27FC236}">
                  <a16:creationId xmlns:a16="http://schemas.microsoft.com/office/drawing/2014/main" id="{C2EE0369-3DF5-EFB6-6B09-B025128F712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4" name="Elemento grafico 53" descr="Smile di Harvey Ball 0% con riempimento a tinta unita">
              <a:extLst>
                <a:ext uri="{FF2B5EF4-FFF2-40B4-BE49-F238E27FC236}">
                  <a16:creationId xmlns:a16="http://schemas.microsoft.com/office/drawing/2014/main" id="{129D33EE-576A-FFA6-EBA5-9660061D2A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5" name="Elemento grafico 54" descr="Smile di Harvey Ball 0% con riempimento a tinta unita">
              <a:extLst>
                <a:ext uri="{FF2B5EF4-FFF2-40B4-BE49-F238E27FC236}">
                  <a16:creationId xmlns:a16="http://schemas.microsoft.com/office/drawing/2014/main" id="{439159C1-86F5-A0B0-50D2-E4A894CB04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21</xdr:row>
      <xdr:rowOff>47414</xdr:rowOff>
    </xdr:from>
    <xdr:to>
      <xdr:col>16</xdr:col>
      <xdr:colOff>394545</xdr:colOff>
      <xdr:row>21</xdr:row>
      <xdr:rowOff>176108</xdr:rowOff>
    </xdr:to>
    <xdr:grpSp>
      <xdr:nvGrpSpPr>
        <xdr:cNvPr id="68" name="Gruppo 67">
          <a:extLst>
            <a:ext uri="{FF2B5EF4-FFF2-40B4-BE49-F238E27FC236}">
              <a16:creationId xmlns:a16="http://schemas.microsoft.com/office/drawing/2014/main" id="{1F426043-D282-40EE-B50C-C4A8FC020C4F}"/>
            </a:ext>
          </a:extLst>
        </xdr:cNvPr>
        <xdr:cNvGrpSpPr/>
      </xdr:nvGrpSpPr>
      <xdr:grpSpPr>
        <a:xfrm>
          <a:off x="4072466" y="4714664"/>
          <a:ext cx="2824479" cy="128694"/>
          <a:chOff x="4031826" y="3578013"/>
          <a:chExt cx="2799079" cy="128694"/>
        </a:xfrm>
      </xdr:grpSpPr>
      <xdr:grpSp>
        <xdr:nvGrpSpPr>
          <xdr:cNvPr id="69" name="Gruppo 68">
            <a:extLst>
              <a:ext uri="{FF2B5EF4-FFF2-40B4-BE49-F238E27FC236}">
                <a16:creationId xmlns:a16="http://schemas.microsoft.com/office/drawing/2014/main" id="{C4C58E16-E869-4DBE-B0F9-D827D9CA9A07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84" name="Elemento grafico 83" descr="Smile di Harvey Ball 0% con riempimento a tinta unita">
              <a:extLst>
                <a:ext uri="{FF2B5EF4-FFF2-40B4-BE49-F238E27FC236}">
                  <a16:creationId xmlns:a16="http://schemas.microsoft.com/office/drawing/2014/main" id="{763B8837-39DC-9696-0DBC-1843506EB6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5" name="Elemento grafico 84" descr="Smile di Harvey Ball 0% con riempimento a tinta unita">
              <a:extLst>
                <a:ext uri="{FF2B5EF4-FFF2-40B4-BE49-F238E27FC236}">
                  <a16:creationId xmlns:a16="http://schemas.microsoft.com/office/drawing/2014/main" id="{C7A3A2F4-76F0-E0D7-2918-8842DBDE5AF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6" name="Elemento grafico 85" descr="Smile di Harvey Ball 0% con riempimento a tinta unita">
              <a:extLst>
                <a:ext uri="{FF2B5EF4-FFF2-40B4-BE49-F238E27FC236}">
                  <a16:creationId xmlns:a16="http://schemas.microsoft.com/office/drawing/2014/main" id="{B25AA512-0511-8E1A-5019-F065353F2E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7" name="Elemento grafico 86" descr="Smile di Harvey Ball 0% con riempimento a tinta unita">
              <a:extLst>
                <a:ext uri="{FF2B5EF4-FFF2-40B4-BE49-F238E27FC236}">
                  <a16:creationId xmlns:a16="http://schemas.microsoft.com/office/drawing/2014/main" id="{E1EC7FD9-9BCE-93B0-F46A-031B240F54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8" name="Elemento grafico 87" descr="Smile di Harvey Ball 0% con riempimento a tinta unita">
              <a:extLst>
                <a:ext uri="{FF2B5EF4-FFF2-40B4-BE49-F238E27FC236}">
                  <a16:creationId xmlns:a16="http://schemas.microsoft.com/office/drawing/2014/main" id="{8AF8D62C-D7C2-E0B2-4F50-767796B55E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9" name="Elemento grafico 88" descr="Smile di Harvey Ball 0% con riempimento a tinta unita">
              <a:extLst>
                <a:ext uri="{FF2B5EF4-FFF2-40B4-BE49-F238E27FC236}">
                  <a16:creationId xmlns:a16="http://schemas.microsoft.com/office/drawing/2014/main" id="{8B959EF5-6149-897C-0207-617B34F03B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0" name="Gruppo 69">
            <a:extLst>
              <a:ext uri="{FF2B5EF4-FFF2-40B4-BE49-F238E27FC236}">
                <a16:creationId xmlns:a16="http://schemas.microsoft.com/office/drawing/2014/main" id="{6A1949D4-7ABA-700F-944E-8435534D2735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78" name="Elemento grafico 77" descr="Smile di Harvey Ball 0% con riempimento a tinta unita">
              <a:extLst>
                <a:ext uri="{FF2B5EF4-FFF2-40B4-BE49-F238E27FC236}">
                  <a16:creationId xmlns:a16="http://schemas.microsoft.com/office/drawing/2014/main" id="{7DF21E81-4232-054B-22AF-BA887C96DB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9" name="Elemento grafico 78" descr="Smile di Harvey Ball 0% con riempimento a tinta unita">
              <a:extLst>
                <a:ext uri="{FF2B5EF4-FFF2-40B4-BE49-F238E27FC236}">
                  <a16:creationId xmlns:a16="http://schemas.microsoft.com/office/drawing/2014/main" id="{54C0FF1B-1F69-958B-0FCF-D975C94F5A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0" name="Elemento grafico 79" descr="Smile di Harvey Ball 0% con riempimento a tinta unita">
              <a:extLst>
                <a:ext uri="{FF2B5EF4-FFF2-40B4-BE49-F238E27FC236}">
                  <a16:creationId xmlns:a16="http://schemas.microsoft.com/office/drawing/2014/main" id="{890FFF50-AC11-ED3C-C1CF-27DCA2D3970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1" name="Elemento grafico 80" descr="Smile di Harvey Ball 0% con riempimento a tinta unita">
              <a:extLst>
                <a:ext uri="{FF2B5EF4-FFF2-40B4-BE49-F238E27FC236}">
                  <a16:creationId xmlns:a16="http://schemas.microsoft.com/office/drawing/2014/main" id="{BA59EF98-2E0D-6014-0C55-6AEB3C9B66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2" name="Elemento grafico 81" descr="Smile di Harvey Ball 0% con riempimento a tinta unita">
              <a:extLst>
                <a:ext uri="{FF2B5EF4-FFF2-40B4-BE49-F238E27FC236}">
                  <a16:creationId xmlns:a16="http://schemas.microsoft.com/office/drawing/2014/main" id="{0A5187A0-32FA-D637-BBC6-D8B7D48BBC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3" name="Elemento grafico 82" descr="Smile di Harvey Ball 0% con riempimento a tinta unita">
              <a:extLst>
                <a:ext uri="{FF2B5EF4-FFF2-40B4-BE49-F238E27FC236}">
                  <a16:creationId xmlns:a16="http://schemas.microsoft.com/office/drawing/2014/main" id="{2DE78A18-F053-A73F-B8BC-16790FFF31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1" name="Gruppo 70">
            <a:extLst>
              <a:ext uri="{FF2B5EF4-FFF2-40B4-BE49-F238E27FC236}">
                <a16:creationId xmlns:a16="http://schemas.microsoft.com/office/drawing/2014/main" id="{A8021769-E2A8-727F-56C8-0DADC287D4E5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72" name="Elemento grafico 71" descr="Smile di Harvey Ball 0% con riempimento a tinta unita">
              <a:extLst>
                <a:ext uri="{FF2B5EF4-FFF2-40B4-BE49-F238E27FC236}">
                  <a16:creationId xmlns:a16="http://schemas.microsoft.com/office/drawing/2014/main" id="{34894AA1-E9E7-63D0-8B79-0904886988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3" name="Elemento grafico 72" descr="Smile di Harvey Ball 0% con riempimento a tinta unita">
              <a:extLst>
                <a:ext uri="{FF2B5EF4-FFF2-40B4-BE49-F238E27FC236}">
                  <a16:creationId xmlns:a16="http://schemas.microsoft.com/office/drawing/2014/main" id="{5E7DBA0A-0984-0DE9-4BC6-503F940868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4" name="Elemento grafico 73" descr="Smile di Harvey Ball 0% con riempimento a tinta unita">
              <a:extLst>
                <a:ext uri="{FF2B5EF4-FFF2-40B4-BE49-F238E27FC236}">
                  <a16:creationId xmlns:a16="http://schemas.microsoft.com/office/drawing/2014/main" id="{F9C7B195-C06B-F277-572E-A4A7AB1E0F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5" name="Elemento grafico 74" descr="Smile di Harvey Ball 0% con riempimento a tinta unita">
              <a:extLst>
                <a:ext uri="{FF2B5EF4-FFF2-40B4-BE49-F238E27FC236}">
                  <a16:creationId xmlns:a16="http://schemas.microsoft.com/office/drawing/2014/main" id="{D8607DFE-0B89-3311-6E81-3DD457EC3E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6" name="Elemento grafico 75" descr="Smile di Harvey Ball 0% con riempimento a tinta unita">
              <a:extLst>
                <a:ext uri="{FF2B5EF4-FFF2-40B4-BE49-F238E27FC236}">
                  <a16:creationId xmlns:a16="http://schemas.microsoft.com/office/drawing/2014/main" id="{83301011-D88A-1795-9ECB-40C6DF8742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7" name="Elemento grafico 76" descr="Smile di Harvey Ball 0% con riempimento a tinta unita">
              <a:extLst>
                <a:ext uri="{FF2B5EF4-FFF2-40B4-BE49-F238E27FC236}">
                  <a16:creationId xmlns:a16="http://schemas.microsoft.com/office/drawing/2014/main" id="{A60CAA1B-A62D-C58D-4DF0-7231ECB94A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18</xdr:row>
      <xdr:rowOff>48863</xdr:rowOff>
    </xdr:from>
    <xdr:to>
      <xdr:col>16</xdr:col>
      <xdr:colOff>394545</xdr:colOff>
      <xdr:row>18</xdr:row>
      <xdr:rowOff>177557</xdr:rowOff>
    </xdr:to>
    <xdr:grpSp>
      <xdr:nvGrpSpPr>
        <xdr:cNvPr id="90" name="Gruppo 89">
          <a:extLst>
            <a:ext uri="{FF2B5EF4-FFF2-40B4-BE49-F238E27FC236}">
              <a16:creationId xmlns:a16="http://schemas.microsoft.com/office/drawing/2014/main" id="{87AD3749-2A1F-45AB-844B-ED92C74886BE}"/>
            </a:ext>
          </a:extLst>
        </xdr:cNvPr>
        <xdr:cNvGrpSpPr/>
      </xdr:nvGrpSpPr>
      <xdr:grpSpPr>
        <a:xfrm>
          <a:off x="4072466" y="4049363"/>
          <a:ext cx="2824479" cy="128694"/>
          <a:chOff x="4031826" y="3578013"/>
          <a:chExt cx="2799079" cy="128694"/>
        </a:xfrm>
      </xdr:grpSpPr>
      <xdr:grpSp>
        <xdr:nvGrpSpPr>
          <xdr:cNvPr id="91" name="Gruppo 90">
            <a:extLst>
              <a:ext uri="{FF2B5EF4-FFF2-40B4-BE49-F238E27FC236}">
                <a16:creationId xmlns:a16="http://schemas.microsoft.com/office/drawing/2014/main" id="{0698DFBE-C951-E4E8-3E00-E3A981058D93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06" name="Elemento grafico 105" descr="Smile di Harvey Ball 0% con riempimento a tinta unita">
              <a:extLst>
                <a:ext uri="{FF2B5EF4-FFF2-40B4-BE49-F238E27FC236}">
                  <a16:creationId xmlns:a16="http://schemas.microsoft.com/office/drawing/2014/main" id="{B9D405F3-DE40-FDE2-2BB4-21483BC751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7" name="Elemento grafico 106" descr="Smile di Harvey Ball 0% con riempimento a tinta unita">
              <a:extLst>
                <a:ext uri="{FF2B5EF4-FFF2-40B4-BE49-F238E27FC236}">
                  <a16:creationId xmlns:a16="http://schemas.microsoft.com/office/drawing/2014/main" id="{7D823C3A-E3B1-A288-A938-009497ACC1A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8" name="Elemento grafico 107" descr="Smile di Harvey Ball 0% con riempimento a tinta unita">
              <a:extLst>
                <a:ext uri="{FF2B5EF4-FFF2-40B4-BE49-F238E27FC236}">
                  <a16:creationId xmlns:a16="http://schemas.microsoft.com/office/drawing/2014/main" id="{FA06367A-C7D4-3523-49A9-3ABB0ABA53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9" name="Elemento grafico 108" descr="Smile di Harvey Ball 0% con riempimento a tinta unita">
              <a:extLst>
                <a:ext uri="{FF2B5EF4-FFF2-40B4-BE49-F238E27FC236}">
                  <a16:creationId xmlns:a16="http://schemas.microsoft.com/office/drawing/2014/main" id="{31CA784B-DAB4-956B-4CD6-6A015FE62A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0" name="Elemento grafico 109" descr="Smile di Harvey Ball 0% con riempimento a tinta unita">
              <a:extLst>
                <a:ext uri="{FF2B5EF4-FFF2-40B4-BE49-F238E27FC236}">
                  <a16:creationId xmlns:a16="http://schemas.microsoft.com/office/drawing/2014/main" id="{E08E7F6C-0860-935C-8B2E-323188B76E3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1" name="Elemento grafico 110" descr="Smile di Harvey Ball 0% con riempimento a tinta unita">
              <a:extLst>
                <a:ext uri="{FF2B5EF4-FFF2-40B4-BE49-F238E27FC236}">
                  <a16:creationId xmlns:a16="http://schemas.microsoft.com/office/drawing/2014/main" id="{FA7F9525-0B7E-3F2E-94E1-7959A56E53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2" name="Gruppo 91">
            <a:extLst>
              <a:ext uri="{FF2B5EF4-FFF2-40B4-BE49-F238E27FC236}">
                <a16:creationId xmlns:a16="http://schemas.microsoft.com/office/drawing/2014/main" id="{B37B818D-E5E2-E3B8-13EF-A1D600224F4A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00" name="Elemento grafico 99" descr="Smile di Harvey Ball 0% con riempimento a tinta unita">
              <a:extLst>
                <a:ext uri="{FF2B5EF4-FFF2-40B4-BE49-F238E27FC236}">
                  <a16:creationId xmlns:a16="http://schemas.microsoft.com/office/drawing/2014/main" id="{53B8164F-5772-D4E6-2B34-54F4CBB218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1" name="Elemento grafico 100" descr="Smile di Harvey Ball 0% con riempimento a tinta unita">
              <a:extLst>
                <a:ext uri="{FF2B5EF4-FFF2-40B4-BE49-F238E27FC236}">
                  <a16:creationId xmlns:a16="http://schemas.microsoft.com/office/drawing/2014/main" id="{954C82F3-792B-8EF7-8700-CB3E4C8CED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2" name="Elemento grafico 101" descr="Smile di Harvey Ball 0% con riempimento a tinta unita">
              <a:extLst>
                <a:ext uri="{FF2B5EF4-FFF2-40B4-BE49-F238E27FC236}">
                  <a16:creationId xmlns:a16="http://schemas.microsoft.com/office/drawing/2014/main" id="{EEE1830D-BDFD-B2D6-F24C-3F94F015BE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3" name="Elemento grafico 102" descr="Smile di Harvey Ball 0% con riempimento a tinta unita">
              <a:extLst>
                <a:ext uri="{FF2B5EF4-FFF2-40B4-BE49-F238E27FC236}">
                  <a16:creationId xmlns:a16="http://schemas.microsoft.com/office/drawing/2014/main" id="{83305BCD-CFFD-A767-A8B3-FDC7F11000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4" name="Elemento grafico 103" descr="Smile di Harvey Ball 0% con riempimento a tinta unita">
              <a:extLst>
                <a:ext uri="{FF2B5EF4-FFF2-40B4-BE49-F238E27FC236}">
                  <a16:creationId xmlns:a16="http://schemas.microsoft.com/office/drawing/2014/main" id="{40A4C4EE-B795-C02E-95DD-5C8BF7D245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5" name="Elemento grafico 104" descr="Smile di Harvey Ball 0% con riempimento a tinta unita">
              <a:extLst>
                <a:ext uri="{FF2B5EF4-FFF2-40B4-BE49-F238E27FC236}">
                  <a16:creationId xmlns:a16="http://schemas.microsoft.com/office/drawing/2014/main" id="{1C6BE8E2-3C12-B22E-F214-4FEA32E0FC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3" name="Gruppo 92">
            <a:extLst>
              <a:ext uri="{FF2B5EF4-FFF2-40B4-BE49-F238E27FC236}">
                <a16:creationId xmlns:a16="http://schemas.microsoft.com/office/drawing/2014/main" id="{08CA98E7-D43E-5F5F-0503-F8AE5FB405EB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94" name="Elemento grafico 93" descr="Smile di Harvey Ball 0% con riempimento a tinta unita">
              <a:extLst>
                <a:ext uri="{FF2B5EF4-FFF2-40B4-BE49-F238E27FC236}">
                  <a16:creationId xmlns:a16="http://schemas.microsoft.com/office/drawing/2014/main" id="{BB38E030-48E4-D2FE-C5AC-FC4D302AA68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5" name="Elemento grafico 94" descr="Smile di Harvey Ball 0% con riempimento a tinta unita">
              <a:extLst>
                <a:ext uri="{FF2B5EF4-FFF2-40B4-BE49-F238E27FC236}">
                  <a16:creationId xmlns:a16="http://schemas.microsoft.com/office/drawing/2014/main" id="{585785AF-443F-9ACC-401F-1BAE728323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6" name="Elemento grafico 95" descr="Smile di Harvey Ball 0% con riempimento a tinta unita">
              <a:extLst>
                <a:ext uri="{FF2B5EF4-FFF2-40B4-BE49-F238E27FC236}">
                  <a16:creationId xmlns:a16="http://schemas.microsoft.com/office/drawing/2014/main" id="{053DEACB-7028-21DC-502C-AE17563DF0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7" name="Elemento grafico 96" descr="Smile di Harvey Ball 0% con riempimento a tinta unita">
              <a:extLst>
                <a:ext uri="{FF2B5EF4-FFF2-40B4-BE49-F238E27FC236}">
                  <a16:creationId xmlns:a16="http://schemas.microsoft.com/office/drawing/2014/main" id="{481EEA54-07EA-A3F5-F4EF-49D32341D8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8" name="Elemento grafico 97" descr="Smile di Harvey Ball 0% con riempimento a tinta unita">
              <a:extLst>
                <a:ext uri="{FF2B5EF4-FFF2-40B4-BE49-F238E27FC236}">
                  <a16:creationId xmlns:a16="http://schemas.microsoft.com/office/drawing/2014/main" id="{2F64874D-989B-33F0-3A74-D2E612D12A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9" name="Elemento grafico 98" descr="Smile di Harvey Ball 0% con riempimento a tinta unita">
              <a:extLst>
                <a:ext uri="{FF2B5EF4-FFF2-40B4-BE49-F238E27FC236}">
                  <a16:creationId xmlns:a16="http://schemas.microsoft.com/office/drawing/2014/main" id="{10F207E1-E6E4-71FF-8E4A-07A99AFA3D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19</xdr:row>
      <xdr:rowOff>48380</xdr:rowOff>
    </xdr:from>
    <xdr:to>
      <xdr:col>16</xdr:col>
      <xdr:colOff>394545</xdr:colOff>
      <xdr:row>19</xdr:row>
      <xdr:rowOff>177074</xdr:rowOff>
    </xdr:to>
    <xdr:grpSp>
      <xdr:nvGrpSpPr>
        <xdr:cNvPr id="112" name="Gruppo 111">
          <a:extLst>
            <a:ext uri="{FF2B5EF4-FFF2-40B4-BE49-F238E27FC236}">
              <a16:creationId xmlns:a16="http://schemas.microsoft.com/office/drawing/2014/main" id="{B42C5615-25D3-4B25-AE31-D510C8D27134}"/>
            </a:ext>
          </a:extLst>
        </xdr:cNvPr>
        <xdr:cNvGrpSpPr/>
      </xdr:nvGrpSpPr>
      <xdr:grpSpPr>
        <a:xfrm>
          <a:off x="4072466" y="4271130"/>
          <a:ext cx="2824479" cy="128694"/>
          <a:chOff x="4031826" y="3578013"/>
          <a:chExt cx="2799079" cy="128694"/>
        </a:xfrm>
      </xdr:grpSpPr>
      <xdr:grpSp>
        <xdr:nvGrpSpPr>
          <xdr:cNvPr id="113" name="Gruppo 112">
            <a:extLst>
              <a:ext uri="{FF2B5EF4-FFF2-40B4-BE49-F238E27FC236}">
                <a16:creationId xmlns:a16="http://schemas.microsoft.com/office/drawing/2014/main" id="{C1BD7520-483D-8F0B-439D-3BC3F9EB1397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28" name="Elemento grafico 127" descr="Smile di Harvey Ball 0% con riempimento a tinta unita">
              <a:extLst>
                <a:ext uri="{FF2B5EF4-FFF2-40B4-BE49-F238E27FC236}">
                  <a16:creationId xmlns:a16="http://schemas.microsoft.com/office/drawing/2014/main" id="{73F50572-368E-2A83-4588-449F32C27F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9" name="Elemento grafico 128" descr="Smile di Harvey Ball 0% con riempimento a tinta unita">
              <a:extLst>
                <a:ext uri="{FF2B5EF4-FFF2-40B4-BE49-F238E27FC236}">
                  <a16:creationId xmlns:a16="http://schemas.microsoft.com/office/drawing/2014/main" id="{5243E971-0A13-86AB-EDA7-B5520C5D1E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0" name="Elemento grafico 129" descr="Smile di Harvey Ball 0% con riempimento a tinta unita">
              <a:extLst>
                <a:ext uri="{FF2B5EF4-FFF2-40B4-BE49-F238E27FC236}">
                  <a16:creationId xmlns:a16="http://schemas.microsoft.com/office/drawing/2014/main" id="{EA8F711E-0C16-2341-3354-5C3D9D79117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1" name="Elemento grafico 130" descr="Smile di Harvey Ball 0% con riempimento a tinta unita">
              <a:extLst>
                <a:ext uri="{FF2B5EF4-FFF2-40B4-BE49-F238E27FC236}">
                  <a16:creationId xmlns:a16="http://schemas.microsoft.com/office/drawing/2014/main" id="{410D256C-286F-EFFE-4D78-280DB4C9E2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2" name="Elemento grafico 131" descr="Smile di Harvey Ball 0% con riempimento a tinta unita">
              <a:extLst>
                <a:ext uri="{FF2B5EF4-FFF2-40B4-BE49-F238E27FC236}">
                  <a16:creationId xmlns:a16="http://schemas.microsoft.com/office/drawing/2014/main" id="{3634E0AB-14D5-580C-DBC2-118558C080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3" name="Elemento grafico 132" descr="Smile di Harvey Ball 0% con riempimento a tinta unita">
              <a:extLst>
                <a:ext uri="{FF2B5EF4-FFF2-40B4-BE49-F238E27FC236}">
                  <a16:creationId xmlns:a16="http://schemas.microsoft.com/office/drawing/2014/main" id="{87EE120E-0542-5D2E-9383-FCB06FC642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4" name="Gruppo 113">
            <a:extLst>
              <a:ext uri="{FF2B5EF4-FFF2-40B4-BE49-F238E27FC236}">
                <a16:creationId xmlns:a16="http://schemas.microsoft.com/office/drawing/2014/main" id="{92AE40DD-6180-6F1E-DD5E-FF089263955D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2" name="Elemento grafico 121" descr="Smile di Harvey Ball 0% con riempimento a tinta unita">
              <a:extLst>
                <a:ext uri="{FF2B5EF4-FFF2-40B4-BE49-F238E27FC236}">
                  <a16:creationId xmlns:a16="http://schemas.microsoft.com/office/drawing/2014/main" id="{8A81B25E-B15A-BB0B-3622-80DA777643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3" name="Elemento grafico 122" descr="Smile di Harvey Ball 0% con riempimento a tinta unita">
              <a:extLst>
                <a:ext uri="{FF2B5EF4-FFF2-40B4-BE49-F238E27FC236}">
                  <a16:creationId xmlns:a16="http://schemas.microsoft.com/office/drawing/2014/main" id="{B74BA851-64BD-66F3-E5C9-E473BC3541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4" name="Elemento grafico 123" descr="Smile di Harvey Ball 0% con riempimento a tinta unita">
              <a:extLst>
                <a:ext uri="{FF2B5EF4-FFF2-40B4-BE49-F238E27FC236}">
                  <a16:creationId xmlns:a16="http://schemas.microsoft.com/office/drawing/2014/main" id="{E2C4FA8F-4298-1717-CF80-7643819729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5" name="Elemento grafico 124" descr="Smile di Harvey Ball 0% con riempimento a tinta unita">
              <a:extLst>
                <a:ext uri="{FF2B5EF4-FFF2-40B4-BE49-F238E27FC236}">
                  <a16:creationId xmlns:a16="http://schemas.microsoft.com/office/drawing/2014/main" id="{E832D2E2-9F9E-7626-D66C-9C8595D186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6" name="Elemento grafico 125" descr="Smile di Harvey Ball 0% con riempimento a tinta unita">
              <a:extLst>
                <a:ext uri="{FF2B5EF4-FFF2-40B4-BE49-F238E27FC236}">
                  <a16:creationId xmlns:a16="http://schemas.microsoft.com/office/drawing/2014/main" id="{34B2DC90-DB55-E719-32FA-6650A306DA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7" name="Elemento grafico 126" descr="Smile di Harvey Ball 0% con riempimento a tinta unita">
              <a:extLst>
                <a:ext uri="{FF2B5EF4-FFF2-40B4-BE49-F238E27FC236}">
                  <a16:creationId xmlns:a16="http://schemas.microsoft.com/office/drawing/2014/main" id="{84BEC595-34FB-2371-01D0-FDC1C6AAA3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5" name="Gruppo 114">
            <a:extLst>
              <a:ext uri="{FF2B5EF4-FFF2-40B4-BE49-F238E27FC236}">
                <a16:creationId xmlns:a16="http://schemas.microsoft.com/office/drawing/2014/main" id="{86A079A4-8590-33B3-8FF1-4A84C67F934B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16" name="Elemento grafico 115" descr="Smile di Harvey Ball 0% con riempimento a tinta unita">
              <a:extLst>
                <a:ext uri="{FF2B5EF4-FFF2-40B4-BE49-F238E27FC236}">
                  <a16:creationId xmlns:a16="http://schemas.microsoft.com/office/drawing/2014/main" id="{A686D81A-F8B0-31B1-EBE2-5B14E4A650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7" name="Elemento grafico 116" descr="Smile di Harvey Ball 0% con riempimento a tinta unita">
              <a:extLst>
                <a:ext uri="{FF2B5EF4-FFF2-40B4-BE49-F238E27FC236}">
                  <a16:creationId xmlns:a16="http://schemas.microsoft.com/office/drawing/2014/main" id="{62A6F4A9-4E3F-5CD8-7CB9-4BAF593E70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8" name="Elemento grafico 117" descr="Smile di Harvey Ball 0% con riempimento a tinta unita">
              <a:extLst>
                <a:ext uri="{FF2B5EF4-FFF2-40B4-BE49-F238E27FC236}">
                  <a16:creationId xmlns:a16="http://schemas.microsoft.com/office/drawing/2014/main" id="{947AC276-17F8-D312-39ED-201F024EB7A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9" name="Elemento grafico 118" descr="Smile di Harvey Ball 0% con riempimento a tinta unita">
              <a:extLst>
                <a:ext uri="{FF2B5EF4-FFF2-40B4-BE49-F238E27FC236}">
                  <a16:creationId xmlns:a16="http://schemas.microsoft.com/office/drawing/2014/main" id="{8074F51C-60D1-4F84-3F24-CE297E3F8A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0" name="Elemento grafico 119" descr="Smile di Harvey Ball 0% con riempimento a tinta unita">
              <a:extLst>
                <a:ext uri="{FF2B5EF4-FFF2-40B4-BE49-F238E27FC236}">
                  <a16:creationId xmlns:a16="http://schemas.microsoft.com/office/drawing/2014/main" id="{799CD9B2-4E26-698F-EE56-44BC81184B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1" name="Elemento grafico 120" descr="Smile di Harvey Ball 0% con riempimento a tinta unita">
              <a:extLst>
                <a:ext uri="{FF2B5EF4-FFF2-40B4-BE49-F238E27FC236}">
                  <a16:creationId xmlns:a16="http://schemas.microsoft.com/office/drawing/2014/main" id="{999ED4A1-AC98-EBC3-8672-C5107C493E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15</xdr:row>
      <xdr:rowOff>50313</xdr:rowOff>
    </xdr:from>
    <xdr:to>
      <xdr:col>16</xdr:col>
      <xdr:colOff>394545</xdr:colOff>
      <xdr:row>15</xdr:row>
      <xdr:rowOff>179007</xdr:rowOff>
    </xdr:to>
    <xdr:grpSp>
      <xdr:nvGrpSpPr>
        <xdr:cNvPr id="134" name="Gruppo 133">
          <a:extLst>
            <a:ext uri="{FF2B5EF4-FFF2-40B4-BE49-F238E27FC236}">
              <a16:creationId xmlns:a16="http://schemas.microsoft.com/office/drawing/2014/main" id="{13A0D797-5A84-455B-9D1A-4E8D5696E9A3}"/>
            </a:ext>
          </a:extLst>
        </xdr:cNvPr>
        <xdr:cNvGrpSpPr/>
      </xdr:nvGrpSpPr>
      <xdr:grpSpPr>
        <a:xfrm>
          <a:off x="4072466" y="3384063"/>
          <a:ext cx="2824479" cy="128694"/>
          <a:chOff x="4031826" y="3578013"/>
          <a:chExt cx="2799079" cy="128694"/>
        </a:xfrm>
      </xdr:grpSpPr>
      <xdr:grpSp>
        <xdr:nvGrpSpPr>
          <xdr:cNvPr id="135" name="Gruppo 134">
            <a:extLst>
              <a:ext uri="{FF2B5EF4-FFF2-40B4-BE49-F238E27FC236}">
                <a16:creationId xmlns:a16="http://schemas.microsoft.com/office/drawing/2014/main" id="{1B93AD31-4F1E-A76E-D899-2744D00B82C4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50" name="Elemento grafico 149" descr="Smile di Harvey Ball 0% con riempimento a tinta unita">
              <a:extLst>
                <a:ext uri="{FF2B5EF4-FFF2-40B4-BE49-F238E27FC236}">
                  <a16:creationId xmlns:a16="http://schemas.microsoft.com/office/drawing/2014/main" id="{6FFD84EC-909E-AB9F-7A44-418735A1C4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1" name="Elemento grafico 150" descr="Smile di Harvey Ball 0% con riempimento a tinta unita">
              <a:extLst>
                <a:ext uri="{FF2B5EF4-FFF2-40B4-BE49-F238E27FC236}">
                  <a16:creationId xmlns:a16="http://schemas.microsoft.com/office/drawing/2014/main" id="{67D714EF-DFC4-E5D5-52DB-13C551E4D2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2" name="Elemento grafico 151" descr="Smile di Harvey Ball 0% con riempimento a tinta unita">
              <a:extLst>
                <a:ext uri="{FF2B5EF4-FFF2-40B4-BE49-F238E27FC236}">
                  <a16:creationId xmlns:a16="http://schemas.microsoft.com/office/drawing/2014/main" id="{FDDFFD32-A2E2-6466-17BF-96FD90768E9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3" name="Elemento grafico 152" descr="Smile di Harvey Ball 0% con riempimento a tinta unita">
              <a:extLst>
                <a:ext uri="{FF2B5EF4-FFF2-40B4-BE49-F238E27FC236}">
                  <a16:creationId xmlns:a16="http://schemas.microsoft.com/office/drawing/2014/main" id="{16C9A42D-CD5D-A92D-5F29-E90CC2F3EF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4" name="Elemento grafico 153" descr="Smile di Harvey Ball 0% con riempimento a tinta unita">
              <a:extLst>
                <a:ext uri="{FF2B5EF4-FFF2-40B4-BE49-F238E27FC236}">
                  <a16:creationId xmlns:a16="http://schemas.microsoft.com/office/drawing/2014/main" id="{52EF8A1F-B3E2-6C53-24BB-5F3AA64A8B1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5" name="Elemento grafico 154" descr="Smile di Harvey Ball 0% con riempimento a tinta unita">
              <a:extLst>
                <a:ext uri="{FF2B5EF4-FFF2-40B4-BE49-F238E27FC236}">
                  <a16:creationId xmlns:a16="http://schemas.microsoft.com/office/drawing/2014/main" id="{F49283E0-F845-CCD4-822F-D5DF6C3EEC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6" name="Gruppo 135">
            <a:extLst>
              <a:ext uri="{FF2B5EF4-FFF2-40B4-BE49-F238E27FC236}">
                <a16:creationId xmlns:a16="http://schemas.microsoft.com/office/drawing/2014/main" id="{2C2D81DF-A235-37E1-E795-2911B3B8F833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44" name="Elemento grafico 143" descr="Smile di Harvey Ball 0% con riempimento a tinta unita">
              <a:extLst>
                <a:ext uri="{FF2B5EF4-FFF2-40B4-BE49-F238E27FC236}">
                  <a16:creationId xmlns:a16="http://schemas.microsoft.com/office/drawing/2014/main" id="{437B6979-A4A2-F004-6B2B-30DDD32092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5" name="Elemento grafico 144" descr="Smile di Harvey Ball 0% con riempimento a tinta unita">
              <a:extLst>
                <a:ext uri="{FF2B5EF4-FFF2-40B4-BE49-F238E27FC236}">
                  <a16:creationId xmlns:a16="http://schemas.microsoft.com/office/drawing/2014/main" id="{57BD8C78-3570-D81A-0881-5B33857EC5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6" name="Elemento grafico 145" descr="Smile di Harvey Ball 0% con riempimento a tinta unita">
              <a:extLst>
                <a:ext uri="{FF2B5EF4-FFF2-40B4-BE49-F238E27FC236}">
                  <a16:creationId xmlns:a16="http://schemas.microsoft.com/office/drawing/2014/main" id="{1D75B889-083D-95DD-EA8D-F31CF3B18B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7" name="Elemento grafico 146" descr="Smile di Harvey Ball 0% con riempimento a tinta unita">
              <a:extLst>
                <a:ext uri="{FF2B5EF4-FFF2-40B4-BE49-F238E27FC236}">
                  <a16:creationId xmlns:a16="http://schemas.microsoft.com/office/drawing/2014/main" id="{EE17CC19-D5CB-3589-B096-6D88625E6C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8" name="Elemento grafico 147" descr="Smile di Harvey Ball 0% con riempimento a tinta unita">
              <a:extLst>
                <a:ext uri="{FF2B5EF4-FFF2-40B4-BE49-F238E27FC236}">
                  <a16:creationId xmlns:a16="http://schemas.microsoft.com/office/drawing/2014/main" id="{CEB86E00-30CE-10A9-FC78-D332B1AE367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9" name="Elemento grafico 148" descr="Smile di Harvey Ball 0% con riempimento a tinta unita">
              <a:extLst>
                <a:ext uri="{FF2B5EF4-FFF2-40B4-BE49-F238E27FC236}">
                  <a16:creationId xmlns:a16="http://schemas.microsoft.com/office/drawing/2014/main" id="{21E46C56-582F-C316-EF9E-DFB3987403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7" name="Gruppo 136">
            <a:extLst>
              <a:ext uri="{FF2B5EF4-FFF2-40B4-BE49-F238E27FC236}">
                <a16:creationId xmlns:a16="http://schemas.microsoft.com/office/drawing/2014/main" id="{9D96836E-94D1-B187-BDBE-C868BFBA4851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38" name="Elemento grafico 137" descr="Smile di Harvey Ball 0% con riempimento a tinta unita">
              <a:extLst>
                <a:ext uri="{FF2B5EF4-FFF2-40B4-BE49-F238E27FC236}">
                  <a16:creationId xmlns:a16="http://schemas.microsoft.com/office/drawing/2014/main" id="{463735FB-0D78-9013-40B3-008FF8E721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9" name="Elemento grafico 138" descr="Smile di Harvey Ball 0% con riempimento a tinta unita">
              <a:extLst>
                <a:ext uri="{FF2B5EF4-FFF2-40B4-BE49-F238E27FC236}">
                  <a16:creationId xmlns:a16="http://schemas.microsoft.com/office/drawing/2014/main" id="{FCC3DC3D-2119-52C4-63B9-34CDAC9CB5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0" name="Elemento grafico 139" descr="Smile di Harvey Ball 0% con riempimento a tinta unita">
              <a:extLst>
                <a:ext uri="{FF2B5EF4-FFF2-40B4-BE49-F238E27FC236}">
                  <a16:creationId xmlns:a16="http://schemas.microsoft.com/office/drawing/2014/main" id="{D16FBE68-C67B-1275-5D6F-53219D98C3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1" name="Elemento grafico 140" descr="Smile di Harvey Ball 0% con riempimento a tinta unita">
              <a:extLst>
                <a:ext uri="{FF2B5EF4-FFF2-40B4-BE49-F238E27FC236}">
                  <a16:creationId xmlns:a16="http://schemas.microsoft.com/office/drawing/2014/main" id="{61CCDF6A-7C9B-79CA-EF33-EAA0A30CF3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2" name="Elemento grafico 141" descr="Smile di Harvey Ball 0% con riempimento a tinta unita">
              <a:extLst>
                <a:ext uri="{FF2B5EF4-FFF2-40B4-BE49-F238E27FC236}">
                  <a16:creationId xmlns:a16="http://schemas.microsoft.com/office/drawing/2014/main" id="{51AD9121-2A92-A5A5-8A08-D10C6A82452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3" name="Elemento grafico 142" descr="Smile di Harvey Ball 0% con riempimento a tinta unita">
              <a:extLst>
                <a:ext uri="{FF2B5EF4-FFF2-40B4-BE49-F238E27FC236}">
                  <a16:creationId xmlns:a16="http://schemas.microsoft.com/office/drawing/2014/main" id="{3F1D11DB-C1FA-EB9D-F8B8-1A4B77AEC2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14</xdr:row>
      <xdr:rowOff>50796</xdr:rowOff>
    </xdr:from>
    <xdr:to>
      <xdr:col>16</xdr:col>
      <xdr:colOff>394545</xdr:colOff>
      <xdr:row>14</xdr:row>
      <xdr:rowOff>179490</xdr:rowOff>
    </xdr:to>
    <xdr:grpSp>
      <xdr:nvGrpSpPr>
        <xdr:cNvPr id="156" name="Gruppo 155">
          <a:extLst>
            <a:ext uri="{FF2B5EF4-FFF2-40B4-BE49-F238E27FC236}">
              <a16:creationId xmlns:a16="http://schemas.microsoft.com/office/drawing/2014/main" id="{0533D1E7-7D1D-48F2-92B6-DB503AB884B7}"/>
            </a:ext>
          </a:extLst>
        </xdr:cNvPr>
        <xdr:cNvGrpSpPr/>
      </xdr:nvGrpSpPr>
      <xdr:grpSpPr>
        <a:xfrm>
          <a:off x="4072466" y="3162296"/>
          <a:ext cx="2824479" cy="128694"/>
          <a:chOff x="4031826" y="3578013"/>
          <a:chExt cx="2799079" cy="128694"/>
        </a:xfrm>
      </xdr:grpSpPr>
      <xdr:grpSp>
        <xdr:nvGrpSpPr>
          <xdr:cNvPr id="157" name="Gruppo 156">
            <a:extLst>
              <a:ext uri="{FF2B5EF4-FFF2-40B4-BE49-F238E27FC236}">
                <a16:creationId xmlns:a16="http://schemas.microsoft.com/office/drawing/2014/main" id="{45CC3A94-BA6A-085A-246D-6D736E2B20B6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72" name="Elemento grafico 171" descr="Smile di Harvey Ball 0% con riempimento a tinta unita">
              <a:extLst>
                <a:ext uri="{FF2B5EF4-FFF2-40B4-BE49-F238E27FC236}">
                  <a16:creationId xmlns:a16="http://schemas.microsoft.com/office/drawing/2014/main" id="{7BAACCD0-F948-658D-7B61-9DE95C95E7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3" name="Elemento grafico 172" descr="Smile di Harvey Ball 0% con riempimento a tinta unita">
              <a:extLst>
                <a:ext uri="{FF2B5EF4-FFF2-40B4-BE49-F238E27FC236}">
                  <a16:creationId xmlns:a16="http://schemas.microsoft.com/office/drawing/2014/main" id="{90C42F8B-6C8C-F945-30C9-7E38EFAA2E9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4" name="Elemento grafico 173" descr="Smile di Harvey Ball 0% con riempimento a tinta unita">
              <a:extLst>
                <a:ext uri="{FF2B5EF4-FFF2-40B4-BE49-F238E27FC236}">
                  <a16:creationId xmlns:a16="http://schemas.microsoft.com/office/drawing/2014/main" id="{AC1157E1-8AA7-9094-33E8-CD0A4870D0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5" name="Elemento grafico 174" descr="Smile di Harvey Ball 0% con riempimento a tinta unita">
              <a:extLst>
                <a:ext uri="{FF2B5EF4-FFF2-40B4-BE49-F238E27FC236}">
                  <a16:creationId xmlns:a16="http://schemas.microsoft.com/office/drawing/2014/main" id="{CE6E84F7-F9AA-655F-06C4-FCB338F9DF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6" name="Elemento grafico 175" descr="Smile di Harvey Ball 0% con riempimento a tinta unita">
              <a:extLst>
                <a:ext uri="{FF2B5EF4-FFF2-40B4-BE49-F238E27FC236}">
                  <a16:creationId xmlns:a16="http://schemas.microsoft.com/office/drawing/2014/main" id="{C5DD5995-6E7B-A43E-125A-556BD822F4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7" name="Elemento grafico 176" descr="Smile di Harvey Ball 0% con riempimento a tinta unita">
              <a:extLst>
                <a:ext uri="{FF2B5EF4-FFF2-40B4-BE49-F238E27FC236}">
                  <a16:creationId xmlns:a16="http://schemas.microsoft.com/office/drawing/2014/main" id="{09D0A396-CF82-3F0C-4027-E506C959F4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8" name="Gruppo 157">
            <a:extLst>
              <a:ext uri="{FF2B5EF4-FFF2-40B4-BE49-F238E27FC236}">
                <a16:creationId xmlns:a16="http://schemas.microsoft.com/office/drawing/2014/main" id="{994A716A-34E7-D835-F08A-3FA924A6B0C1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66" name="Elemento grafico 165" descr="Smile di Harvey Ball 0% con riempimento a tinta unita">
              <a:extLst>
                <a:ext uri="{FF2B5EF4-FFF2-40B4-BE49-F238E27FC236}">
                  <a16:creationId xmlns:a16="http://schemas.microsoft.com/office/drawing/2014/main" id="{1940FFC9-FF94-CF0A-9A2A-DB0C2FF9D8C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7" name="Elemento grafico 166" descr="Smile di Harvey Ball 0% con riempimento a tinta unita">
              <a:extLst>
                <a:ext uri="{FF2B5EF4-FFF2-40B4-BE49-F238E27FC236}">
                  <a16:creationId xmlns:a16="http://schemas.microsoft.com/office/drawing/2014/main" id="{0FD30B92-25F2-6FF7-B84C-FE0BFD5B1D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8" name="Elemento grafico 167" descr="Smile di Harvey Ball 0% con riempimento a tinta unita">
              <a:extLst>
                <a:ext uri="{FF2B5EF4-FFF2-40B4-BE49-F238E27FC236}">
                  <a16:creationId xmlns:a16="http://schemas.microsoft.com/office/drawing/2014/main" id="{9BA25135-D918-9ECB-3016-D26991BD74E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9" name="Elemento grafico 168" descr="Smile di Harvey Ball 0% con riempimento a tinta unita">
              <a:extLst>
                <a:ext uri="{FF2B5EF4-FFF2-40B4-BE49-F238E27FC236}">
                  <a16:creationId xmlns:a16="http://schemas.microsoft.com/office/drawing/2014/main" id="{562CE4EC-AD3B-D871-1C02-1DB4E0BF1BB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0" name="Elemento grafico 169" descr="Smile di Harvey Ball 0% con riempimento a tinta unita">
              <a:extLst>
                <a:ext uri="{FF2B5EF4-FFF2-40B4-BE49-F238E27FC236}">
                  <a16:creationId xmlns:a16="http://schemas.microsoft.com/office/drawing/2014/main" id="{ED95BCF8-9D20-3B9B-0168-47B7E96BBB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1" name="Elemento grafico 170" descr="Smile di Harvey Ball 0% con riempimento a tinta unita">
              <a:extLst>
                <a:ext uri="{FF2B5EF4-FFF2-40B4-BE49-F238E27FC236}">
                  <a16:creationId xmlns:a16="http://schemas.microsoft.com/office/drawing/2014/main" id="{69611963-E25C-C4F5-84F7-3BEA470798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9" name="Gruppo 158">
            <a:extLst>
              <a:ext uri="{FF2B5EF4-FFF2-40B4-BE49-F238E27FC236}">
                <a16:creationId xmlns:a16="http://schemas.microsoft.com/office/drawing/2014/main" id="{0DA42462-1781-BF0B-C699-051E04B329EA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60" name="Elemento grafico 159" descr="Smile di Harvey Ball 0% con riempimento a tinta unita">
              <a:extLst>
                <a:ext uri="{FF2B5EF4-FFF2-40B4-BE49-F238E27FC236}">
                  <a16:creationId xmlns:a16="http://schemas.microsoft.com/office/drawing/2014/main" id="{DA605BFC-9848-05C7-FDF8-5D2A169A11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1" name="Elemento grafico 160" descr="Smile di Harvey Ball 0% con riempimento a tinta unita">
              <a:extLst>
                <a:ext uri="{FF2B5EF4-FFF2-40B4-BE49-F238E27FC236}">
                  <a16:creationId xmlns:a16="http://schemas.microsoft.com/office/drawing/2014/main" id="{195C7AB7-D5A0-D1AD-9653-CC5E372E45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2" name="Elemento grafico 161" descr="Smile di Harvey Ball 0% con riempimento a tinta unita">
              <a:extLst>
                <a:ext uri="{FF2B5EF4-FFF2-40B4-BE49-F238E27FC236}">
                  <a16:creationId xmlns:a16="http://schemas.microsoft.com/office/drawing/2014/main" id="{EA83C84D-F925-E61B-17EE-ABF2281A55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3" name="Elemento grafico 162" descr="Smile di Harvey Ball 0% con riempimento a tinta unita">
              <a:extLst>
                <a:ext uri="{FF2B5EF4-FFF2-40B4-BE49-F238E27FC236}">
                  <a16:creationId xmlns:a16="http://schemas.microsoft.com/office/drawing/2014/main" id="{663B4905-AFB1-6344-1FED-E33DBDCF71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4" name="Elemento grafico 163" descr="Smile di Harvey Ball 0% con riempimento a tinta unita">
              <a:extLst>
                <a:ext uri="{FF2B5EF4-FFF2-40B4-BE49-F238E27FC236}">
                  <a16:creationId xmlns:a16="http://schemas.microsoft.com/office/drawing/2014/main" id="{056CA615-78B7-93CE-EBE8-6F67AB6123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5" name="Elemento grafico 164" descr="Smile di Harvey Ball 0% con riempimento a tinta unita">
              <a:extLst>
                <a:ext uri="{FF2B5EF4-FFF2-40B4-BE49-F238E27FC236}">
                  <a16:creationId xmlns:a16="http://schemas.microsoft.com/office/drawing/2014/main" id="{68B3710C-2B28-0EF7-5B48-891BC12A14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40640</xdr:colOff>
      <xdr:row>22</xdr:row>
      <xdr:rowOff>25400</xdr:rowOff>
    </xdr:from>
    <xdr:to>
      <xdr:col>16</xdr:col>
      <xdr:colOff>173919</xdr:colOff>
      <xdr:row>22</xdr:row>
      <xdr:rowOff>154094</xdr:rowOff>
    </xdr:to>
    <xdr:pic>
      <xdr:nvPicPr>
        <xdr:cNvPr id="178" name="Elemento grafico 177" descr="Smile di Harvey Ball 0% con riempimento a tinta unita">
          <a:extLst>
            <a:ext uri="{FF2B5EF4-FFF2-40B4-BE49-F238E27FC236}">
              <a16:creationId xmlns:a16="http://schemas.microsoft.com/office/drawing/2014/main" id="{0A4D92DB-EE22-4987-8B87-D4A3E91BC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502400" y="4886960"/>
          <a:ext cx="133279" cy="128694"/>
        </a:xfrm>
        <a:prstGeom prst="rect">
          <a:avLst/>
        </a:prstGeom>
      </xdr:spPr>
    </xdr:pic>
    <xdr:clientData/>
  </xdr:twoCellAnchor>
  <xdr:twoCellAnchor>
    <xdr:from>
      <xdr:col>10</xdr:col>
      <xdr:colOff>8466</xdr:colOff>
      <xdr:row>13</xdr:row>
      <xdr:rowOff>54910</xdr:rowOff>
    </xdr:from>
    <xdr:to>
      <xdr:col>16</xdr:col>
      <xdr:colOff>394545</xdr:colOff>
      <xdr:row>13</xdr:row>
      <xdr:rowOff>183604</xdr:rowOff>
    </xdr:to>
    <xdr:grpSp>
      <xdr:nvGrpSpPr>
        <xdr:cNvPr id="179" name="Gruppo 178">
          <a:extLst>
            <a:ext uri="{FF2B5EF4-FFF2-40B4-BE49-F238E27FC236}">
              <a16:creationId xmlns:a16="http://schemas.microsoft.com/office/drawing/2014/main" id="{B3A0FF50-D89A-47AE-A739-AABC9B2AC82D}"/>
            </a:ext>
          </a:extLst>
        </xdr:cNvPr>
        <xdr:cNvGrpSpPr/>
      </xdr:nvGrpSpPr>
      <xdr:grpSpPr>
        <a:xfrm>
          <a:off x="4072466" y="2944160"/>
          <a:ext cx="2824479" cy="128694"/>
          <a:chOff x="4031826" y="3578013"/>
          <a:chExt cx="2799079" cy="128694"/>
        </a:xfrm>
      </xdr:grpSpPr>
      <xdr:grpSp>
        <xdr:nvGrpSpPr>
          <xdr:cNvPr id="180" name="Gruppo 179">
            <a:extLst>
              <a:ext uri="{FF2B5EF4-FFF2-40B4-BE49-F238E27FC236}">
                <a16:creationId xmlns:a16="http://schemas.microsoft.com/office/drawing/2014/main" id="{DD75268A-3271-8C86-8106-424E85B80C3A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95" name="Elemento grafico 194" descr="Smile di Harvey Ball 0% con riempimento a tinta unita">
              <a:extLst>
                <a:ext uri="{FF2B5EF4-FFF2-40B4-BE49-F238E27FC236}">
                  <a16:creationId xmlns:a16="http://schemas.microsoft.com/office/drawing/2014/main" id="{C2A76352-97C5-1CF4-7F4E-B286606EFA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6" name="Elemento grafico 195" descr="Smile di Harvey Ball 0% con riempimento a tinta unita">
              <a:extLst>
                <a:ext uri="{FF2B5EF4-FFF2-40B4-BE49-F238E27FC236}">
                  <a16:creationId xmlns:a16="http://schemas.microsoft.com/office/drawing/2014/main" id="{00EC3804-4F7B-53CE-F260-5144A42348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7" name="Elemento grafico 196" descr="Smile di Harvey Ball 0% con riempimento a tinta unita">
              <a:extLst>
                <a:ext uri="{FF2B5EF4-FFF2-40B4-BE49-F238E27FC236}">
                  <a16:creationId xmlns:a16="http://schemas.microsoft.com/office/drawing/2014/main" id="{0FDF92C9-79AE-4D66-188F-A04245DB38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8" name="Elemento grafico 197" descr="Smile di Harvey Ball 0% con riempimento a tinta unita">
              <a:extLst>
                <a:ext uri="{FF2B5EF4-FFF2-40B4-BE49-F238E27FC236}">
                  <a16:creationId xmlns:a16="http://schemas.microsoft.com/office/drawing/2014/main" id="{C1661491-9CA0-3AFA-2575-9643B6BF1F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9" name="Elemento grafico 198" descr="Smile di Harvey Ball 0% con riempimento a tinta unita">
              <a:extLst>
                <a:ext uri="{FF2B5EF4-FFF2-40B4-BE49-F238E27FC236}">
                  <a16:creationId xmlns:a16="http://schemas.microsoft.com/office/drawing/2014/main" id="{0B2E6CA8-F753-A663-9FF0-363C7FF8A0A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0" name="Elemento grafico 199" descr="Smile di Harvey Ball 0% con riempimento a tinta unita">
              <a:extLst>
                <a:ext uri="{FF2B5EF4-FFF2-40B4-BE49-F238E27FC236}">
                  <a16:creationId xmlns:a16="http://schemas.microsoft.com/office/drawing/2014/main" id="{C570EFD7-806F-3D31-5D25-466A8B0556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1" name="Gruppo 180">
            <a:extLst>
              <a:ext uri="{FF2B5EF4-FFF2-40B4-BE49-F238E27FC236}">
                <a16:creationId xmlns:a16="http://schemas.microsoft.com/office/drawing/2014/main" id="{C40594D8-BB34-8A9B-E9EB-4605DF466E30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89" name="Elemento grafico 188" descr="Smile di Harvey Ball 0% con riempimento a tinta unita">
              <a:extLst>
                <a:ext uri="{FF2B5EF4-FFF2-40B4-BE49-F238E27FC236}">
                  <a16:creationId xmlns:a16="http://schemas.microsoft.com/office/drawing/2014/main" id="{E59881DD-6003-DC89-4925-13B01A9CC0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0" name="Elemento grafico 189" descr="Smile di Harvey Ball 0% con riempimento a tinta unita">
              <a:extLst>
                <a:ext uri="{FF2B5EF4-FFF2-40B4-BE49-F238E27FC236}">
                  <a16:creationId xmlns:a16="http://schemas.microsoft.com/office/drawing/2014/main" id="{CA05838F-2FC8-CD82-1640-019A84DD6D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1" name="Elemento grafico 190" descr="Smile di Harvey Ball 0% con riempimento a tinta unita">
              <a:extLst>
                <a:ext uri="{FF2B5EF4-FFF2-40B4-BE49-F238E27FC236}">
                  <a16:creationId xmlns:a16="http://schemas.microsoft.com/office/drawing/2014/main" id="{771275F9-7793-4710-51EC-37AE18B52A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2" name="Elemento grafico 191" descr="Smile di Harvey Ball 0% con riempimento a tinta unita">
              <a:extLst>
                <a:ext uri="{FF2B5EF4-FFF2-40B4-BE49-F238E27FC236}">
                  <a16:creationId xmlns:a16="http://schemas.microsoft.com/office/drawing/2014/main" id="{A92AABCF-3A27-0F93-123B-BAA0213B0F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3" name="Elemento grafico 192" descr="Smile di Harvey Ball 0% con riempimento a tinta unita">
              <a:extLst>
                <a:ext uri="{FF2B5EF4-FFF2-40B4-BE49-F238E27FC236}">
                  <a16:creationId xmlns:a16="http://schemas.microsoft.com/office/drawing/2014/main" id="{01F25748-19DE-E16A-183F-58068CAD83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4" name="Elemento grafico 193" descr="Smile di Harvey Ball 0% con riempimento a tinta unita">
              <a:extLst>
                <a:ext uri="{FF2B5EF4-FFF2-40B4-BE49-F238E27FC236}">
                  <a16:creationId xmlns:a16="http://schemas.microsoft.com/office/drawing/2014/main" id="{3E984452-FA26-FC63-55D7-8DBB3CFC40D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2" name="Gruppo 181">
            <a:extLst>
              <a:ext uri="{FF2B5EF4-FFF2-40B4-BE49-F238E27FC236}">
                <a16:creationId xmlns:a16="http://schemas.microsoft.com/office/drawing/2014/main" id="{C31D2A9C-5610-2EA5-3E02-372D32987EF2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83" name="Elemento grafico 182" descr="Smile di Harvey Ball 0% con riempimento a tinta unita">
              <a:extLst>
                <a:ext uri="{FF2B5EF4-FFF2-40B4-BE49-F238E27FC236}">
                  <a16:creationId xmlns:a16="http://schemas.microsoft.com/office/drawing/2014/main" id="{E8910D1E-CF74-ABB9-0020-3560F4C82B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4" name="Elemento grafico 183" descr="Smile di Harvey Ball 0% con riempimento a tinta unita">
              <a:extLst>
                <a:ext uri="{FF2B5EF4-FFF2-40B4-BE49-F238E27FC236}">
                  <a16:creationId xmlns:a16="http://schemas.microsoft.com/office/drawing/2014/main" id="{B5163633-3083-899F-EDD9-E493DD8B4C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5" name="Elemento grafico 184" descr="Smile di Harvey Ball 0% con riempimento a tinta unita">
              <a:extLst>
                <a:ext uri="{FF2B5EF4-FFF2-40B4-BE49-F238E27FC236}">
                  <a16:creationId xmlns:a16="http://schemas.microsoft.com/office/drawing/2014/main" id="{26A34AC6-76B4-0352-A69C-6C9CDF3F70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6" name="Elemento grafico 185" descr="Smile di Harvey Ball 0% con riempimento a tinta unita">
              <a:extLst>
                <a:ext uri="{FF2B5EF4-FFF2-40B4-BE49-F238E27FC236}">
                  <a16:creationId xmlns:a16="http://schemas.microsoft.com/office/drawing/2014/main" id="{ED868994-7753-CBE0-19E7-349B891BEA8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7" name="Elemento grafico 186" descr="Smile di Harvey Ball 0% con riempimento a tinta unita">
              <a:extLst>
                <a:ext uri="{FF2B5EF4-FFF2-40B4-BE49-F238E27FC236}">
                  <a16:creationId xmlns:a16="http://schemas.microsoft.com/office/drawing/2014/main" id="{C3386B3E-63F7-CF72-7A45-D731DFA8F4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8" name="Elemento grafico 187" descr="Smile di Harvey Ball 0% con riempimento a tinta unita">
              <a:extLst>
                <a:ext uri="{FF2B5EF4-FFF2-40B4-BE49-F238E27FC236}">
                  <a16:creationId xmlns:a16="http://schemas.microsoft.com/office/drawing/2014/main" id="{A7125AB6-9B27-F728-DE7B-EDF7E64423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8466</xdr:colOff>
      <xdr:row>16</xdr:row>
      <xdr:rowOff>49830</xdr:rowOff>
    </xdr:from>
    <xdr:to>
      <xdr:col>16</xdr:col>
      <xdr:colOff>394545</xdr:colOff>
      <xdr:row>16</xdr:row>
      <xdr:rowOff>178524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ABF018DD-52EA-45E1-B069-033BEDF77F8F}"/>
            </a:ext>
          </a:extLst>
        </xdr:cNvPr>
        <xdr:cNvGrpSpPr/>
      </xdr:nvGrpSpPr>
      <xdr:grpSpPr>
        <a:xfrm>
          <a:off x="4072466" y="3605830"/>
          <a:ext cx="2824479" cy="128694"/>
          <a:chOff x="4031826" y="3578013"/>
          <a:chExt cx="2799079" cy="128694"/>
        </a:xfrm>
      </xdr:grpSpPr>
      <xdr:grpSp>
        <xdr:nvGrpSpPr>
          <xdr:cNvPr id="3" name="Gruppo 2">
            <a:extLst>
              <a:ext uri="{FF2B5EF4-FFF2-40B4-BE49-F238E27FC236}">
                <a16:creationId xmlns:a16="http://schemas.microsoft.com/office/drawing/2014/main" id="{C248214C-7773-F183-2641-32229B37E5F3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8" name="Elemento grafico 17" descr="Smile di Harvey Ball 0% con riempimento a tinta unita">
              <a:extLst>
                <a:ext uri="{FF2B5EF4-FFF2-40B4-BE49-F238E27FC236}">
                  <a16:creationId xmlns:a16="http://schemas.microsoft.com/office/drawing/2014/main" id="{D22E04BE-15C0-14AB-3B24-94FC87FAF8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" name="Elemento grafico 18" descr="Smile di Harvey Ball 0% con riempimento a tinta unita">
              <a:extLst>
                <a:ext uri="{FF2B5EF4-FFF2-40B4-BE49-F238E27FC236}">
                  <a16:creationId xmlns:a16="http://schemas.microsoft.com/office/drawing/2014/main" id="{87DBE3A2-AF8B-A372-AC7D-844A243ABA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" name="Elemento grafico 19" descr="Smile di Harvey Ball 0% con riempimento a tinta unita">
              <a:extLst>
                <a:ext uri="{FF2B5EF4-FFF2-40B4-BE49-F238E27FC236}">
                  <a16:creationId xmlns:a16="http://schemas.microsoft.com/office/drawing/2014/main" id="{ECE5BCE1-BC70-CB93-63CD-32E3F19A8A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1" name="Elemento grafico 20" descr="Smile di Harvey Ball 0% con riempimento a tinta unita">
              <a:extLst>
                <a:ext uri="{FF2B5EF4-FFF2-40B4-BE49-F238E27FC236}">
                  <a16:creationId xmlns:a16="http://schemas.microsoft.com/office/drawing/2014/main" id="{B91D8321-C4B1-42DE-FFBA-B041192596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2" name="Elemento grafico 21" descr="Smile di Harvey Ball 0% con riempimento a tinta unita">
              <a:extLst>
                <a:ext uri="{FF2B5EF4-FFF2-40B4-BE49-F238E27FC236}">
                  <a16:creationId xmlns:a16="http://schemas.microsoft.com/office/drawing/2014/main" id="{F7A87D56-FAB0-13E9-A1B4-AC16D73F20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3" name="Elemento grafico 22" descr="Smile di Harvey Ball 0% con riempimento a tinta unita">
              <a:extLst>
                <a:ext uri="{FF2B5EF4-FFF2-40B4-BE49-F238E27FC236}">
                  <a16:creationId xmlns:a16="http://schemas.microsoft.com/office/drawing/2014/main" id="{EF2EF7FA-4D7C-FC54-8C89-9102B65E3F6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" name="Gruppo 3">
            <a:extLst>
              <a:ext uri="{FF2B5EF4-FFF2-40B4-BE49-F238E27FC236}">
                <a16:creationId xmlns:a16="http://schemas.microsoft.com/office/drawing/2014/main" id="{06838A93-4DB1-8B0B-3710-2EF6AF7AC0A9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" name="Elemento grafico 11" descr="Smile di Harvey Ball 0% con riempimento a tinta unita">
              <a:extLst>
                <a:ext uri="{FF2B5EF4-FFF2-40B4-BE49-F238E27FC236}">
                  <a16:creationId xmlns:a16="http://schemas.microsoft.com/office/drawing/2014/main" id="{7DB5CB87-1B44-3F0C-233F-ADAFF1590E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" name="Elemento grafico 12" descr="Smile di Harvey Ball 0% con riempimento a tinta unita">
              <a:extLst>
                <a:ext uri="{FF2B5EF4-FFF2-40B4-BE49-F238E27FC236}">
                  <a16:creationId xmlns:a16="http://schemas.microsoft.com/office/drawing/2014/main" id="{5D294B38-0CB4-F8A6-1589-EF5A6BE4CB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" name="Elemento grafico 13" descr="Smile di Harvey Ball 0% con riempimento a tinta unita">
              <a:extLst>
                <a:ext uri="{FF2B5EF4-FFF2-40B4-BE49-F238E27FC236}">
                  <a16:creationId xmlns:a16="http://schemas.microsoft.com/office/drawing/2014/main" id="{06D317A4-94A9-57F1-A70B-1756F5EF6F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" name="Elemento grafico 14" descr="Smile di Harvey Ball 0% con riempimento a tinta unita">
              <a:extLst>
                <a:ext uri="{FF2B5EF4-FFF2-40B4-BE49-F238E27FC236}">
                  <a16:creationId xmlns:a16="http://schemas.microsoft.com/office/drawing/2014/main" id="{9F5B796D-CD27-E078-850D-D08C840701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" name="Elemento grafico 15" descr="Smile di Harvey Ball 0% con riempimento a tinta unita">
              <a:extLst>
                <a:ext uri="{FF2B5EF4-FFF2-40B4-BE49-F238E27FC236}">
                  <a16:creationId xmlns:a16="http://schemas.microsoft.com/office/drawing/2014/main" id="{41F4B52B-67AC-4419-52C0-B249F86EDA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" name="Elemento grafico 16" descr="Smile di Harvey Ball 0% con riempimento a tinta unita">
              <a:extLst>
                <a:ext uri="{FF2B5EF4-FFF2-40B4-BE49-F238E27FC236}">
                  <a16:creationId xmlns:a16="http://schemas.microsoft.com/office/drawing/2014/main" id="{826CB0CE-B696-E9D5-7FB8-6219DE56A19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5" name="Gruppo 4">
            <a:extLst>
              <a:ext uri="{FF2B5EF4-FFF2-40B4-BE49-F238E27FC236}">
                <a16:creationId xmlns:a16="http://schemas.microsoft.com/office/drawing/2014/main" id="{938A1BA8-F939-B577-7D7A-DB9C75A41E89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6" name="Elemento grafico 5" descr="Smile di Harvey Ball 0% con riempimento a tinta unita">
              <a:extLst>
                <a:ext uri="{FF2B5EF4-FFF2-40B4-BE49-F238E27FC236}">
                  <a16:creationId xmlns:a16="http://schemas.microsoft.com/office/drawing/2014/main" id="{865650B2-F066-DAE1-81FE-E16340E9AE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" name="Elemento grafico 6" descr="Smile di Harvey Ball 0% con riempimento a tinta unita">
              <a:extLst>
                <a:ext uri="{FF2B5EF4-FFF2-40B4-BE49-F238E27FC236}">
                  <a16:creationId xmlns:a16="http://schemas.microsoft.com/office/drawing/2014/main" id="{896872DD-A15C-1C60-1AC8-D91FEC18B40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" name="Elemento grafico 7" descr="Smile di Harvey Ball 0% con riempimento a tinta unita">
              <a:extLst>
                <a:ext uri="{FF2B5EF4-FFF2-40B4-BE49-F238E27FC236}">
                  <a16:creationId xmlns:a16="http://schemas.microsoft.com/office/drawing/2014/main" id="{83F0CDF9-6A8E-D1B8-6413-A84616C2B5F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" name="Elemento grafico 8" descr="Smile di Harvey Ball 0% con riempimento a tinta unita">
              <a:extLst>
                <a:ext uri="{FF2B5EF4-FFF2-40B4-BE49-F238E27FC236}">
                  <a16:creationId xmlns:a16="http://schemas.microsoft.com/office/drawing/2014/main" id="{A31CEE44-FAC8-E9B5-88B9-39B227724B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" name="Elemento grafico 9" descr="Smile di Harvey Ball 0% con riempimento a tinta unita">
              <a:extLst>
                <a:ext uri="{FF2B5EF4-FFF2-40B4-BE49-F238E27FC236}">
                  <a16:creationId xmlns:a16="http://schemas.microsoft.com/office/drawing/2014/main" id="{B16C0E5E-B8D9-8A3B-BEE6-31C2BB5FDB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" name="Elemento grafico 10" descr="Smile di Harvey Ball 0% con riempimento a tinta unita">
              <a:extLst>
                <a:ext uri="{FF2B5EF4-FFF2-40B4-BE49-F238E27FC236}">
                  <a16:creationId xmlns:a16="http://schemas.microsoft.com/office/drawing/2014/main" id="{7785B9C5-55A0-AE61-345E-882EECFC2C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17</xdr:row>
      <xdr:rowOff>49346</xdr:rowOff>
    </xdr:from>
    <xdr:to>
      <xdr:col>16</xdr:col>
      <xdr:colOff>394545</xdr:colOff>
      <xdr:row>17</xdr:row>
      <xdr:rowOff>178040</xdr:rowOff>
    </xdr:to>
    <xdr:grpSp>
      <xdr:nvGrpSpPr>
        <xdr:cNvPr id="24" name="Gruppo 23">
          <a:extLst>
            <a:ext uri="{FF2B5EF4-FFF2-40B4-BE49-F238E27FC236}">
              <a16:creationId xmlns:a16="http://schemas.microsoft.com/office/drawing/2014/main" id="{490711E4-43C6-4FB2-BBDC-388E4319FA0D}"/>
            </a:ext>
          </a:extLst>
        </xdr:cNvPr>
        <xdr:cNvGrpSpPr/>
      </xdr:nvGrpSpPr>
      <xdr:grpSpPr>
        <a:xfrm>
          <a:off x="4072466" y="3827596"/>
          <a:ext cx="2824479" cy="128694"/>
          <a:chOff x="4031826" y="3578013"/>
          <a:chExt cx="2799079" cy="128694"/>
        </a:xfrm>
      </xdr:grpSpPr>
      <xdr:grpSp>
        <xdr:nvGrpSpPr>
          <xdr:cNvPr id="25" name="Gruppo 24">
            <a:extLst>
              <a:ext uri="{FF2B5EF4-FFF2-40B4-BE49-F238E27FC236}">
                <a16:creationId xmlns:a16="http://schemas.microsoft.com/office/drawing/2014/main" id="{7B00CA5F-DF50-774C-0803-526AD3755058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40" name="Elemento grafico 39" descr="Smile di Harvey Ball 0% con riempimento a tinta unita">
              <a:extLst>
                <a:ext uri="{FF2B5EF4-FFF2-40B4-BE49-F238E27FC236}">
                  <a16:creationId xmlns:a16="http://schemas.microsoft.com/office/drawing/2014/main" id="{00334B80-3060-4EA6-B5CC-BDCAA87C31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1" name="Elemento grafico 40" descr="Smile di Harvey Ball 0% con riempimento a tinta unita">
              <a:extLst>
                <a:ext uri="{FF2B5EF4-FFF2-40B4-BE49-F238E27FC236}">
                  <a16:creationId xmlns:a16="http://schemas.microsoft.com/office/drawing/2014/main" id="{F5CFDFDD-5342-CC1D-27F8-2D91A1150C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2" name="Elemento grafico 41" descr="Smile di Harvey Ball 0% con riempimento a tinta unita">
              <a:extLst>
                <a:ext uri="{FF2B5EF4-FFF2-40B4-BE49-F238E27FC236}">
                  <a16:creationId xmlns:a16="http://schemas.microsoft.com/office/drawing/2014/main" id="{8EF5AA61-D266-3A3A-82BD-67675FED68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3" name="Elemento grafico 42" descr="Smile di Harvey Ball 0% con riempimento a tinta unita">
              <a:extLst>
                <a:ext uri="{FF2B5EF4-FFF2-40B4-BE49-F238E27FC236}">
                  <a16:creationId xmlns:a16="http://schemas.microsoft.com/office/drawing/2014/main" id="{87B6ADC3-5A87-B381-8A42-C2ABA54CA1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4" name="Elemento grafico 43" descr="Smile di Harvey Ball 0% con riempimento a tinta unita">
              <a:extLst>
                <a:ext uri="{FF2B5EF4-FFF2-40B4-BE49-F238E27FC236}">
                  <a16:creationId xmlns:a16="http://schemas.microsoft.com/office/drawing/2014/main" id="{05106C4E-9DDC-595E-D22B-0DA9380649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5" name="Elemento grafico 44" descr="Smile di Harvey Ball 0% con riempimento a tinta unita">
              <a:extLst>
                <a:ext uri="{FF2B5EF4-FFF2-40B4-BE49-F238E27FC236}">
                  <a16:creationId xmlns:a16="http://schemas.microsoft.com/office/drawing/2014/main" id="{9E894E59-845B-4064-1FB6-276A4620CE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6" name="Gruppo 25">
            <a:extLst>
              <a:ext uri="{FF2B5EF4-FFF2-40B4-BE49-F238E27FC236}">
                <a16:creationId xmlns:a16="http://schemas.microsoft.com/office/drawing/2014/main" id="{BCAD8B9E-B269-6072-A554-11AD69DC12CE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34" name="Elemento grafico 33" descr="Smile di Harvey Ball 0% con riempimento a tinta unita">
              <a:extLst>
                <a:ext uri="{FF2B5EF4-FFF2-40B4-BE49-F238E27FC236}">
                  <a16:creationId xmlns:a16="http://schemas.microsoft.com/office/drawing/2014/main" id="{AA238BDD-760B-430B-B733-86F73C645F2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5" name="Elemento grafico 34" descr="Smile di Harvey Ball 0% con riempimento a tinta unita">
              <a:extLst>
                <a:ext uri="{FF2B5EF4-FFF2-40B4-BE49-F238E27FC236}">
                  <a16:creationId xmlns:a16="http://schemas.microsoft.com/office/drawing/2014/main" id="{9DB20795-5B9D-5D1A-3FB1-A9B6117A5F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6" name="Elemento grafico 35" descr="Smile di Harvey Ball 0% con riempimento a tinta unita">
              <a:extLst>
                <a:ext uri="{FF2B5EF4-FFF2-40B4-BE49-F238E27FC236}">
                  <a16:creationId xmlns:a16="http://schemas.microsoft.com/office/drawing/2014/main" id="{A047F743-0C0A-717A-4CCE-ED2B4E385C5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7" name="Elemento grafico 36" descr="Smile di Harvey Ball 0% con riempimento a tinta unita">
              <a:extLst>
                <a:ext uri="{FF2B5EF4-FFF2-40B4-BE49-F238E27FC236}">
                  <a16:creationId xmlns:a16="http://schemas.microsoft.com/office/drawing/2014/main" id="{FA71223C-0460-A9C5-ED67-1B2040D8D7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8" name="Elemento grafico 37" descr="Smile di Harvey Ball 0% con riempimento a tinta unita">
              <a:extLst>
                <a:ext uri="{FF2B5EF4-FFF2-40B4-BE49-F238E27FC236}">
                  <a16:creationId xmlns:a16="http://schemas.microsoft.com/office/drawing/2014/main" id="{D55D50FE-2926-F71F-A4AB-BDF22E8436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9" name="Elemento grafico 38" descr="Smile di Harvey Ball 0% con riempimento a tinta unita">
              <a:extLst>
                <a:ext uri="{FF2B5EF4-FFF2-40B4-BE49-F238E27FC236}">
                  <a16:creationId xmlns:a16="http://schemas.microsoft.com/office/drawing/2014/main" id="{F83A02F4-3871-5AE0-BCAD-C8540D473E1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7" name="Gruppo 26">
            <a:extLst>
              <a:ext uri="{FF2B5EF4-FFF2-40B4-BE49-F238E27FC236}">
                <a16:creationId xmlns:a16="http://schemas.microsoft.com/office/drawing/2014/main" id="{61A81715-A259-47D9-409A-0B391CE39F17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28" name="Elemento grafico 27" descr="Smile di Harvey Ball 0% con riempimento a tinta unita">
              <a:extLst>
                <a:ext uri="{FF2B5EF4-FFF2-40B4-BE49-F238E27FC236}">
                  <a16:creationId xmlns:a16="http://schemas.microsoft.com/office/drawing/2014/main" id="{C00B525D-6DD5-231C-16A5-26AB63135B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9" name="Elemento grafico 28" descr="Smile di Harvey Ball 0% con riempimento a tinta unita">
              <a:extLst>
                <a:ext uri="{FF2B5EF4-FFF2-40B4-BE49-F238E27FC236}">
                  <a16:creationId xmlns:a16="http://schemas.microsoft.com/office/drawing/2014/main" id="{B2111405-3A86-D03C-A8E2-44FCE6E791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0" name="Elemento grafico 29" descr="Smile di Harvey Ball 0% con riempimento a tinta unita">
              <a:extLst>
                <a:ext uri="{FF2B5EF4-FFF2-40B4-BE49-F238E27FC236}">
                  <a16:creationId xmlns:a16="http://schemas.microsoft.com/office/drawing/2014/main" id="{94816755-6024-AD2A-AF56-22C476F5524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1" name="Elemento grafico 30" descr="Smile di Harvey Ball 0% con riempimento a tinta unita">
              <a:extLst>
                <a:ext uri="{FF2B5EF4-FFF2-40B4-BE49-F238E27FC236}">
                  <a16:creationId xmlns:a16="http://schemas.microsoft.com/office/drawing/2014/main" id="{ACF23016-D9D1-DFB2-42CE-F7442DAB88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2" name="Elemento grafico 31" descr="Smile di Harvey Ball 0% con riempimento a tinta unita">
              <a:extLst>
                <a:ext uri="{FF2B5EF4-FFF2-40B4-BE49-F238E27FC236}">
                  <a16:creationId xmlns:a16="http://schemas.microsoft.com/office/drawing/2014/main" id="{269DB1FA-645D-9F4A-5D8B-E53923ADBD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3" name="Elemento grafico 32" descr="Smile di Harvey Ball 0% con riempimento a tinta unita">
              <a:extLst>
                <a:ext uri="{FF2B5EF4-FFF2-40B4-BE49-F238E27FC236}">
                  <a16:creationId xmlns:a16="http://schemas.microsoft.com/office/drawing/2014/main" id="{5357F444-4D87-3D05-317D-01D2BA5F3B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20</xdr:row>
      <xdr:rowOff>47896</xdr:rowOff>
    </xdr:from>
    <xdr:to>
      <xdr:col>16</xdr:col>
      <xdr:colOff>394545</xdr:colOff>
      <xdr:row>20</xdr:row>
      <xdr:rowOff>176590</xdr:rowOff>
    </xdr:to>
    <xdr:grpSp>
      <xdr:nvGrpSpPr>
        <xdr:cNvPr id="46" name="Gruppo 45">
          <a:extLst>
            <a:ext uri="{FF2B5EF4-FFF2-40B4-BE49-F238E27FC236}">
              <a16:creationId xmlns:a16="http://schemas.microsoft.com/office/drawing/2014/main" id="{055D3977-FD12-490D-A77B-E23813BF99C5}"/>
            </a:ext>
          </a:extLst>
        </xdr:cNvPr>
        <xdr:cNvGrpSpPr/>
      </xdr:nvGrpSpPr>
      <xdr:grpSpPr>
        <a:xfrm>
          <a:off x="4072466" y="4492896"/>
          <a:ext cx="2824479" cy="128694"/>
          <a:chOff x="4031826" y="3578013"/>
          <a:chExt cx="2799079" cy="128694"/>
        </a:xfrm>
      </xdr:grpSpPr>
      <xdr:grpSp>
        <xdr:nvGrpSpPr>
          <xdr:cNvPr id="47" name="Gruppo 46">
            <a:extLst>
              <a:ext uri="{FF2B5EF4-FFF2-40B4-BE49-F238E27FC236}">
                <a16:creationId xmlns:a16="http://schemas.microsoft.com/office/drawing/2014/main" id="{2F0D2917-C00D-1A8B-2731-A554C1BFFE47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62" name="Elemento grafico 61" descr="Smile di Harvey Ball 0% con riempimento a tinta unita">
              <a:extLst>
                <a:ext uri="{FF2B5EF4-FFF2-40B4-BE49-F238E27FC236}">
                  <a16:creationId xmlns:a16="http://schemas.microsoft.com/office/drawing/2014/main" id="{8303EA56-F386-0C68-1684-CA0B3F73AC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3" name="Elemento grafico 62" descr="Smile di Harvey Ball 0% con riempimento a tinta unita">
              <a:extLst>
                <a:ext uri="{FF2B5EF4-FFF2-40B4-BE49-F238E27FC236}">
                  <a16:creationId xmlns:a16="http://schemas.microsoft.com/office/drawing/2014/main" id="{0CE2CB0A-EEBE-A052-E935-6D28952CC1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4" name="Elemento grafico 63" descr="Smile di Harvey Ball 0% con riempimento a tinta unita">
              <a:extLst>
                <a:ext uri="{FF2B5EF4-FFF2-40B4-BE49-F238E27FC236}">
                  <a16:creationId xmlns:a16="http://schemas.microsoft.com/office/drawing/2014/main" id="{05BE0299-98E1-B8A1-B2FB-1A67B5BAD67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5" name="Elemento grafico 64" descr="Smile di Harvey Ball 0% con riempimento a tinta unita">
              <a:extLst>
                <a:ext uri="{FF2B5EF4-FFF2-40B4-BE49-F238E27FC236}">
                  <a16:creationId xmlns:a16="http://schemas.microsoft.com/office/drawing/2014/main" id="{B0226450-B6E9-9225-E2E0-129380F9D90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6" name="Elemento grafico 65" descr="Smile di Harvey Ball 0% con riempimento a tinta unita">
              <a:extLst>
                <a:ext uri="{FF2B5EF4-FFF2-40B4-BE49-F238E27FC236}">
                  <a16:creationId xmlns:a16="http://schemas.microsoft.com/office/drawing/2014/main" id="{3FC12EA7-8F09-F0DA-C5CB-EFB1FF748A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7" name="Elemento grafico 66" descr="Smile di Harvey Ball 0% con riempimento a tinta unita">
              <a:extLst>
                <a:ext uri="{FF2B5EF4-FFF2-40B4-BE49-F238E27FC236}">
                  <a16:creationId xmlns:a16="http://schemas.microsoft.com/office/drawing/2014/main" id="{43D254DB-FD41-6DB4-DD66-2E171F717D6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8" name="Gruppo 47">
            <a:extLst>
              <a:ext uri="{FF2B5EF4-FFF2-40B4-BE49-F238E27FC236}">
                <a16:creationId xmlns:a16="http://schemas.microsoft.com/office/drawing/2014/main" id="{9A3BAD93-B00E-1DA3-F51D-14377A2E78C9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56" name="Elemento grafico 55" descr="Smile di Harvey Ball 0% con riempimento a tinta unita">
              <a:extLst>
                <a:ext uri="{FF2B5EF4-FFF2-40B4-BE49-F238E27FC236}">
                  <a16:creationId xmlns:a16="http://schemas.microsoft.com/office/drawing/2014/main" id="{2ACB5FAB-BDC3-88C6-42F0-B539CFDD07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7" name="Elemento grafico 56" descr="Smile di Harvey Ball 0% con riempimento a tinta unita">
              <a:extLst>
                <a:ext uri="{FF2B5EF4-FFF2-40B4-BE49-F238E27FC236}">
                  <a16:creationId xmlns:a16="http://schemas.microsoft.com/office/drawing/2014/main" id="{1D3A0938-0562-6514-3119-B4379AEB6FD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8" name="Elemento grafico 57" descr="Smile di Harvey Ball 0% con riempimento a tinta unita">
              <a:extLst>
                <a:ext uri="{FF2B5EF4-FFF2-40B4-BE49-F238E27FC236}">
                  <a16:creationId xmlns:a16="http://schemas.microsoft.com/office/drawing/2014/main" id="{3A50C783-2F99-1235-10AB-0D351E2996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9" name="Elemento grafico 58" descr="Smile di Harvey Ball 0% con riempimento a tinta unita">
              <a:extLst>
                <a:ext uri="{FF2B5EF4-FFF2-40B4-BE49-F238E27FC236}">
                  <a16:creationId xmlns:a16="http://schemas.microsoft.com/office/drawing/2014/main" id="{FA105228-50CC-F130-2D43-DB83B48C0A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0" name="Elemento grafico 59" descr="Smile di Harvey Ball 0% con riempimento a tinta unita">
              <a:extLst>
                <a:ext uri="{FF2B5EF4-FFF2-40B4-BE49-F238E27FC236}">
                  <a16:creationId xmlns:a16="http://schemas.microsoft.com/office/drawing/2014/main" id="{2EF7292D-30AE-7AFB-2F12-7A1D3FAF32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1" name="Elemento grafico 60" descr="Smile di Harvey Ball 0% con riempimento a tinta unita">
              <a:extLst>
                <a:ext uri="{FF2B5EF4-FFF2-40B4-BE49-F238E27FC236}">
                  <a16:creationId xmlns:a16="http://schemas.microsoft.com/office/drawing/2014/main" id="{4222E47D-C5AC-6758-1EB9-53FC80648B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9" name="Gruppo 48">
            <a:extLst>
              <a:ext uri="{FF2B5EF4-FFF2-40B4-BE49-F238E27FC236}">
                <a16:creationId xmlns:a16="http://schemas.microsoft.com/office/drawing/2014/main" id="{CD747AAC-70C5-B91B-FC07-3137307E28F7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50" name="Elemento grafico 49" descr="Smile di Harvey Ball 0% con riempimento a tinta unita">
              <a:extLst>
                <a:ext uri="{FF2B5EF4-FFF2-40B4-BE49-F238E27FC236}">
                  <a16:creationId xmlns:a16="http://schemas.microsoft.com/office/drawing/2014/main" id="{9612E720-612B-EA63-E886-49B18D2255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1" name="Elemento grafico 50" descr="Smile di Harvey Ball 0% con riempimento a tinta unita">
              <a:extLst>
                <a:ext uri="{FF2B5EF4-FFF2-40B4-BE49-F238E27FC236}">
                  <a16:creationId xmlns:a16="http://schemas.microsoft.com/office/drawing/2014/main" id="{3EF0A505-3403-6C8A-809E-3BCD14D061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2" name="Elemento grafico 51" descr="Smile di Harvey Ball 0% con riempimento a tinta unita">
              <a:extLst>
                <a:ext uri="{FF2B5EF4-FFF2-40B4-BE49-F238E27FC236}">
                  <a16:creationId xmlns:a16="http://schemas.microsoft.com/office/drawing/2014/main" id="{C6EAD790-689F-5864-D37E-FD782D8031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3" name="Elemento grafico 52" descr="Smile di Harvey Ball 0% con riempimento a tinta unita">
              <a:extLst>
                <a:ext uri="{FF2B5EF4-FFF2-40B4-BE49-F238E27FC236}">
                  <a16:creationId xmlns:a16="http://schemas.microsoft.com/office/drawing/2014/main" id="{572B7814-1844-863F-D461-FE2CEEF7EA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4" name="Elemento grafico 53" descr="Smile di Harvey Ball 0% con riempimento a tinta unita">
              <a:extLst>
                <a:ext uri="{FF2B5EF4-FFF2-40B4-BE49-F238E27FC236}">
                  <a16:creationId xmlns:a16="http://schemas.microsoft.com/office/drawing/2014/main" id="{A182A72C-6EE1-AA2B-9572-22BC6BAD75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5" name="Elemento grafico 54" descr="Smile di Harvey Ball 0% con riempimento a tinta unita">
              <a:extLst>
                <a:ext uri="{FF2B5EF4-FFF2-40B4-BE49-F238E27FC236}">
                  <a16:creationId xmlns:a16="http://schemas.microsoft.com/office/drawing/2014/main" id="{A11B6AD0-D54C-2FF7-7784-37B6090F04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21</xdr:row>
      <xdr:rowOff>47414</xdr:rowOff>
    </xdr:from>
    <xdr:to>
      <xdr:col>16</xdr:col>
      <xdr:colOff>394545</xdr:colOff>
      <xdr:row>21</xdr:row>
      <xdr:rowOff>176108</xdr:rowOff>
    </xdr:to>
    <xdr:grpSp>
      <xdr:nvGrpSpPr>
        <xdr:cNvPr id="68" name="Gruppo 67">
          <a:extLst>
            <a:ext uri="{FF2B5EF4-FFF2-40B4-BE49-F238E27FC236}">
              <a16:creationId xmlns:a16="http://schemas.microsoft.com/office/drawing/2014/main" id="{B6B1C7BA-89FE-4C56-8EA6-CDC621164666}"/>
            </a:ext>
          </a:extLst>
        </xdr:cNvPr>
        <xdr:cNvGrpSpPr/>
      </xdr:nvGrpSpPr>
      <xdr:grpSpPr>
        <a:xfrm>
          <a:off x="4072466" y="4714664"/>
          <a:ext cx="2824479" cy="128694"/>
          <a:chOff x="4031826" y="3578013"/>
          <a:chExt cx="2799079" cy="128694"/>
        </a:xfrm>
      </xdr:grpSpPr>
      <xdr:grpSp>
        <xdr:nvGrpSpPr>
          <xdr:cNvPr id="69" name="Gruppo 68">
            <a:extLst>
              <a:ext uri="{FF2B5EF4-FFF2-40B4-BE49-F238E27FC236}">
                <a16:creationId xmlns:a16="http://schemas.microsoft.com/office/drawing/2014/main" id="{0681A01F-3509-6C9A-C54D-2443750E5AB2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84" name="Elemento grafico 83" descr="Smile di Harvey Ball 0% con riempimento a tinta unita">
              <a:extLst>
                <a:ext uri="{FF2B5EF4-FFF2-40B4-BE49-F238E27FC236}">
                  <a16:creationId xmlns:a16="http://schemas.microsoft.com/office/drawing/2014/main" id="{2AF08BB3-A95A-409C-466B-C02F095093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5" name="Elemento grafico 84" descr="Smile di Harvey Ball 0% con riempimento a tinta unita">
              <a:extLst>
                <a:ext uri="{FF2B5EF4-FFF2-40B4-BE49-F238E27FC236}">
                  <a16:creationId xmlns:a16="http://schemas.microsoft.com/office/drawing/2014/main" id="{58C6E0DF-65FC-0C5A-FAF4-3B6E543BFD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6" name="Elemento grafico 85" descr="Smile di Harvey Ball 0% con riempimento a tinta unita">
              <a:extLst>
                <a:ext uri="{FF2B5EF4-FFF2-40B4-BE49-F238E27FC236}">
                  <a16:creationId xmlns:a16="http://schemas.microsoft.com/office/drawing/2014/main" id="{BD233095-9A87-2C19-B75B-00CB91237F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7" name="Elemento grafico 86" descr="Smile di Harvey Ball 0% con riempimento a tinta unita">
              <a:extLst>
                <a:ext uri="{FF2B5EF4-FFF2-40B4-BE49-F238E27FC236}">
                  <a16:creationId xmlns:a16="http://schemas.microsoft.com/office/drawing/2014/main" id="{DBAC32BF-0372-A9FD-14CE-DA7EADACAA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8" name="Elemento grafico 87" descr="Smile di Harvey Ball 0% con riempimento a tinta unita">
              <a:extLst>
                <a:ext uri="{FF2B5EF4-FFF2-40B4-BE49-F238E27FC236}">
                  <a16:creationId xmlns:a16="http://schemas.microsoft.com/office/drawing/2014/main" id="{88739B31-E901-7B99-D1DA-14D85D30CA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9" name="Elemento grafico 88" descr="Smile di Harvey Ball 0% con riempimento a tinta unita">
              <a:extLst>
                <a:ext uri="{FF2B5EF4-FFF2-40B4-BE49-F238E27FC236}">
                  <a16:creationId xmlns:a16="http://schemas.microsoft.com/office/drawing/2014/main" id="{8DFC92A4-AD6E-2D3F-B04B-AE4B893C18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0" name="Gruppo 69">
            <a:extLst>
              <a:ext uri="{FF2B5EF4-FFF2-40B4-BE49-F238E27FC236}">
                <a16:creationId xmlns:a16="http://schemas.microsoft.com/office/drawing/2014/main" id="{684FFD28-D662-6E6B-AC32-C17D967F62E9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78" name="Elemento grafico 77" descr="Smile di Harvey Ball 0% con riempimento a tinta unita">
              <a:extLst>
                <a:ext uri="{FF2B5EF4-FFF2-40B4-BE49-F238E27FC236}">
                  <a16:creationId xmlns:a16="http://schemas.microsoft.com/office/drawing/2014/main" id="{734EB38C-9F69-9888-A9E1-EEFC9A503C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9" name="Elemento grafico 78" descr="Smile di Harvey Ball 0% con riempimento a tinta unita">
              <a:extLst>
                <a:ext uri="{FF2B5EF4-FFF2-40B4-BE49-F238E27FC236}">
                  <a16:creationId xmlns:a16="http://schemas.microsoft.com/office/drawing/2014/main" id="{F18D6E12-040C-CA13-63B2-ED570B189A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0" name="Elemento grafico 79" descr="Smile di Harvey Ball 0% con riempimento a tinta unita">
              <a:extLst>
                <a:ext uri="{FF2B5EF4-FFF2-40B4-BE49-F238E27FC236}">
                  <a16:creationId xmlns:a16="http://schemas.microsoft.com/office/drawing/2014/main" id="{002697D2-B4A7-DC27-5E71-8A4432D295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1" name="Elemento grafico 80" descr="Smile di Harvey Ball 0% con riempimento a tinta unita">
              <a:extLst>
                <a:ext uri="{FF2B5EF4-FFF2-40B4-BE49-F238E27FC236}">
                  <a16:creationId xmlns:a16="http://schemas.microsoft.com/office/drawing/2014/main" id="{BB2C747C-99E7-CF97-5B37-669FB42466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2" name="Elemento grafico 81" descr="Smile di Harvey Ball 0% con riempimento a tinta unita">
              <a:extLst>
                <a:ext uri="{FF2B5EF4-FFF2-40B4-BE49-F238E27FC236}">
                  <a16:creationId xmlns:a16="http://schemas.microsoft.com/office/drawing/2014/main" id="{BF8582DD-BEA0-B98D-73EA-8D1BB5F146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3" name="Elemento grafico 82" descr="Smile di Harvey Ball 0% con riempimento a tinta unita">
              <a:extLst>
                <a:ext uri="{FF2B5EF4-FFF2-40B4-BE49-F238E27FC236}">
                  <a16:creationId xmlns:a16="http://schemas.microsoft.com/office/drawing/2014/main" id="{8E9A9A21-3737-7306-63CC-7A071BCE09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1" name="Gruppo 70">
            <a:extLst>
              <a:ext uri="{FF2B5EF4-FFF2-40B4-BE49-F238E27FC236}">
                <a16:creationId xmlns:a16="http://schemas.microsoft.com/office/drawing/2014/main" id="{20E8627A-290A-0FF4-67CF-C90A7B764B72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72" name="Elemento grafico 71" descr="Smile di Harvey Ball 0% con riempimento a tinta unita">
              <a:extLst>
                <a:ext uri="{FF2B5EF4-FFF2-40B4-BE49-F238E27FC236}">
                  <a16:creationId xmlns:a16="http://schemas.microsoft.com/office/drawing/2014/main" id="{0CEC855D-A97D-F38C-AA10-2730B8F343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3" name="Elemento grafico 72" descr="Smile di Harvey Ball 0% con riempimento a tinta unita">
              <a:extLst>
                <a:ext uri="{FF2B5EF4-FFF2-40B4-BE49-F238E27FC236}">
                  <a16:creationId xmlns:a16="http://schemas.microsoft.com/office/drawing/2014/main" id="{61B42853-477B-67EE-FE16-DD28DDCF0D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4" name="Elemento grafico 73" descr="Smile di Harvey Ball 0% con riempimento a tinta unita">
              <a:extLst>
                <a:ext uri="{FF2B5EF4-FFF2-40B4-BE49-F238E27FC236}">
                  <a16:creationId xmlns:a16="http://schemas.microsoft.com/office/drawing/2014/main" id="{FE9BD060-EA77-2F74-4497-F53E91D7FE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5" name="Elemento grafico 74" descr="Smile di Harvey Ball 0% con riempimento a tinta unita">
              <a:extLst>
                <a:ext uri="{FF2B5EF4-FFF2-40B4-BE49-F238E27FC236}">
                  <a16:creationId xmlns:a16="http://schemas.microsoft.com/office/drawing/2014/main" id="{2F5F2ABB-49AC-890C-7C6E-C9E2FF5548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6" name="Elemento grafico 75" descr="Smile di Harvey Ball 0% con riempimento a tinta unita">
              <a:extLst>
                <a:ext uri="{FF2B5EF4-FFF2-40B4-BE49-F238E27FC236}">
                  <a16:creationId xmlns:a16="http://schemas.microsoft.com/office/drawing/2014/main" id="{31E83A06-FC72-BAA5-B816-BA88DF3226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7" name="Elemento grafico 76" descr="Smile di Harvey Ball 0% con riempimento a tinta unita">
              <a:extLst>
                <a:ext uri="{FF2B5EF4-FFF2-40B4-BE49-F238E27FC236}">
                  <a16:creationId xmlns:a16="http://schemas.microsoft.com/office/drawing/2014/main" id="{D7CD9DE0-8F6D-03FF-9D75-B21E1CE3F1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18</xdr:row>
      <xdr:rowOff>48863</xdr:rowOff>
    </xdr:from>
    <xdr:to>
      <xdr:col>16</xdr:col>
      <xdr:colOff>394545</xdr:colOff>
      <xdr:row>18</xdr:row>
      <xdr:rowOff>177557</xdr:rowOff>
    </xdr:to>
    <xdr:grpSp>
      <xdr:nvGrpSpPr>
        <xdr:cNvPr id="90" name="Gruppo 89">
          <a:extLst>
            <a:ext uri="{FF2B5EF4-FFF2-40B4-BE49-F238E27FC236}">
              <a16:creationId xmlns:a16="http://schemas.microsoft.com/office/drawing/2014/main" id="{B263F1A3-6BC3-4424-B487-E9DD540ACE1D}"/>
            </a:ext>
          </a:extLst>
        </xdr:cNvPr>
        <xdr:cNvGrpSpPr/>
      </xdr:nvGrpSpPr>
      <xdr:grpSpPr>
        <a:xfrm>
          <a:off x="4072466" y="4049363"/>
          <a:ext cx="2824479" cy="128694"/>
          <a:chOff x="4031826" y="3578013"/>
          <a:chExt cx="2799079" cy="128694"/>
        </a:xfrm>
      </xdr:grpSpPr>
      <xdr:grpSp>
        <xdr:nvGrpSpPr>
          <xdr:cNvPr id="91" name="Gruppo 90">
            <a:extLst>
              <a:ext uri="{FF2B5EF4-FFF2-40B4-BE49-F238E27FC236}">
                <a16:creationId xmlns:a16="http://schemas.microsoft.com/office/drawing/2014/main" id="{471A0E9E-B994-A6D5-C8D5-77143B24088C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06" name="Elemento grafico 105" descr="Smile di Harvey Ball 0% con riempimento a tinta unita">
              <a:extLst>
                <a:ext uri="{FF2B5EF4-FFF2-40B4-BE49-F238E27FC236}">
                  <a16:creationId xmlns:a16="http://schemas.microsoft.com/office/drawing/2014/main" id="{9ECE0DF9-7C75-76E6-CA10-A0E81F5038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7" name="Elemento grafico 106" descr="Smile di Harvey Ball 0% con riempimento a tinta unita">
              <a:extLst>
                <a:ext uri="{FF2B5EF4-FFF2-40B4-BE49-F238E27FC236}">
                  <a16:creationId xmlns:a16="http://schemas.microsoft.com/office/drawing/2014/main" id="{D18ADDB8-8C80-F2DB-4190-2B002F0DD1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8" name="Elemento grafico 107" descr="Smile di Harvey Ball 0% con riempimento a tinta unita">
              <a:extLst>
                <a:ext uri="{FF2B5EF4-FFF2-40B4-BE49-F238E27FC236}">
                  <a16:creationId xmlns:a16="http://schemas.microsoft.com/office/drawing/2014/main" id="{DEDC9DAC-7B5C-3837-B2F7-FFE48FF4ED4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9" name="Elemento grafico 108" descr="Smile di Harvey Ball 0% con riempimento a tinta unita">
              <a:extLst>
                <a:ext uri="{FF2B5EF4-FFF2-40B4-BE49-F238E27FC236}">
                  <a16:creationId xmlns:a16="http://schemas.microsoft.com/office/drawing/2014/main" id="{BF593640-C6F6-5285-1B5D-23A0F93C3E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0" name="Elemento grafico 109" descr="Smile di Harvey Ball 0% con riempimento a tinta unita">
              <a:extLst>
                <a:ext uri="{FF2B5EF4-FFF2-40B4-BE49-F238E27FC236}">
                  <a16:creationId xmlns:a16="http://schemas.microsoft.com/office/drawing/2014/main" id="{B6AC9DAE-95AC-05F9-1CF8-6F5DDEC414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1" name="Elemento grafico 110" descr="Smile di Harvey Ball 0% con riempimento a tinta unita">
              <a:extLst>
                <a:ext uri="{FF2B5EF4-FFF2-40B4-BE49-F238E27FC236}">
                  <a16:creationId xmlns:a16="http://schemas.microsoft.com/office/drawing/2014/main" id="{B6B3E1C6-377B-6749-B736-719F99950C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2" name="Gruppo 91">
            <a:extLst>
              <a:ext uri="{FF2B5EF4-FFF2-40B4-BE49-F238E27FC236}">
                <a16:creationId xmlns:a16="http://schemas.microsoft.com/office/drawing/2014/main" id="{F4EA9F86-0DC3-D8DF-E5EE-206C594FF974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00" name="Elemento grafico 99" descr="Smile di Harvey Ball 0% con riempimento a tinta unita">
              <a:extLst>
                <a:ext uri="{FF2B5EF4-FFF2-40B4-BE49-F238E27FC236}">
                  <a16:creationId xmlns:a16="http://schemas.microsoft.com/office/drawing/2014/main" id="{43181B7E-8607-89DE-FB5D-C5DA3BF71F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1" name="Elemento grafico 100" descr="Smile di Harvey Ball 0% con riempimento a tinta unita">
              <a:extLst>
                <a:ext uri="{FF2B5EF4-FFF2-40B4-BE49-F238E27FC236}">
                  <a16:creationId xmlns:a16="http://schemas.microsoft.com/office/drawing/2014/main" id="{CE393947-0C5D-5EFF-AD73-D569F6E3D8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2" name="Elemento grafico 101" descr="Smile di Harvey Ball 0% con riempimento a tinta unita">
              <a:extLst>
                <a:ext uri="{FF2B5EF4-FFF2-40B4-BE49-F238E27FC236}">
                  <a16:creationId xmlns:a16="http://schemas.microsoft.com/office/drawing/2014/main" id="{C78E6063-DCFD-ED6C-0FC2-F8208DAFBB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3" name="Elemento grafico 102" descr="Smile di Harvey Ball 0% con riempimento a tinta unita">
              <a:extLst>
                <a:ext uri="{FF2B5EF4-FFF2-40B4-BE49-F238E27FC236}">
                  <a16:creationId xmlns:a16="http://schemas.microsoft.com/office/drawing/2014/main" id="{F1EF9847-858D-BBBE-CC77-979052FD11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4" name="Elemento grafico 103" descr="Smile di Harvey Ball 0% con riempimento a tinta unita">
              <a:extLst>
                <a:ext uri="{FF2B5EF4-FFF2-40B4-BE49-F238E27FC236}">
                  <a16:creationId xmlns:a16="http://schemas.microsoft.com/office/drawing/2014/main" id="{35C04A1F-BFE3-A732-D145-F10D5D6846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5" name="Elemento grafico 104" descr="Smile di Harvey Ball 0% con riempimento a tinta unita">
              <a:extLst>
                <a:ext uri="{FF2B5EF4-FFF2-40B4-BE49-F238E27FC236}">
                  <a16:creationId xmlns:a16="http://schemas.microsoft.com/office/drawing/2014/main" id="{370F244E-1FAA-3633-FAFF-519BC64DC45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3" name="Gruppo 92">
            <a:extLst>
              <a:ext uri="{FF2B5EF4-FFF2-40B4-BE49-F238E27FC236}">
                <a16:creationId xmlns:a16="http://schemas.microsoft.com/office/drawing/2014/main" id="{70391D25-88E1-8C5B-A4ED-1D20E5A07610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94" name="Elemento grafico 93" descr="Smile di Harvey Ball 0% con riempimento a tinta unita">
              <a:extLst>
                <a:ext uri="{FF2B5EF4-FFF2-40B4-BE49-F238E27FC236}">
                  <a16:creationId xmlns:a16="http://schemas.microsoft.com/office/drawing/2014/main" id="{969486DC-0A62-5547-25A3-9379EB3AF7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5" name="Elemento grafico 94" descr="Smile di Harvey Ball 0% con riempimento a tinta unita">
              <a:extLst>
                <a:ext uri="{FF2B5EF4-FFF2-40B4-BE49-F238E27FC236}">
                  <a16:creationId xmlns:a16="http://schemas.microsoft.com/office/drawing/2014/main" id="{EBD84A4F-F447-1E5E-FC70-A6B8564256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6" name="Elemento grafico 95" descr="Smile di Harvey Ball 0% con riempimento a tinta unita">
              <a:extLst>
                <a:ext uri="{FF2B5EF4-FFF2-40B4-BE49-F238E27FC236}">
                  <a16:creationId xmlns:a16="http://schemas.microsoft.com/office/drawing/2014/main" id="{32AFF3FB-D61C-FFAB-2393-EC8E79BD17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7" name="Elemento grafico 96" descr="Smile di Harvey Ball 0% con riempimento a tinta unita">
              <a:extLst>
                <a:ext uri="{FF2B5EF4-FFF2-40B4-BE49-F238E27FC236}">
                  <a16:creationId xmlns:a16="http://schemas.microsoft.com/office/drawing/2014/main" id="{DBFFF1EE-13F8-7E38-F34B-4134A5D91DD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8" name="Elemento grafico 97" descr="Smile di Harvey Ball 0% con riempimento a tinta unita">
              <a:extLst>
                <a:ext uri="{FF2B5EF4-FFF2-40B4-BE49-F238E27FC236}">
                  <a16:creationId xmlns:a16="http://schemas.microsoft.com/office/drawing/2014/main" id="{26335799-EE13-B4ED-324D-8D7DCFFCF12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9" name="Elemento grafico 98" descr="Smile di Harvey Ball 0% con riempimento a tinta unita">
              <a:extLst>
                <a:ext uri="{FF2B5EF4-FFF2-40B4-BE49-F238E27FC236}">
                  <a16:creationId xmlns:a16="http://schemas.microsoft.com/office/drawing/2014/main" id="{6FD900A4-4663-6F18-7347-19BDADF647F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19</xdr:row>
      <xdr:rowOff>48380</xdr:rowOff>
    </xdr:from>
    <xdr:to>
      <xdr:col>16</xdr:col>
      <xdr:colOff>394545</xdr:colOff>
      <xdr:row>19</xdr:row>
      <xdr:rowOff>177074</xdr:rowOff>
    </xdr:to>
    <xdr:grpSp>
      <xdr:nvGrpSpPr>
        <xdr:cNvPr id="112" name="Gruppo 111">
          <a:extLst>
            <a:ext uri="{FF2B5EF4-FFF2-40B4-BE49-F238E27FC236}">
              <a16:creationId xmlns:a16="http://schemas.microsoft.com/office/drawing/2014/main" id="{6A3E5268-403F-4DC5-9B28-DCE7E723779B}"/>
            </a:ext>
          </a:extLst>
        </xdr:cNvPr>
        <xdr:cNvGrpSpPr/>
      </xdr:nvGrpSpPr>
      <xdr:grpSpPr>
        <a:xfrm>
          <a:off x="4072466" y="4271130"/>
          <a:ext cx="2824479" cy="128694"/>
          <a:chOff x="4031826" y="3578013"/>
          <a:chExt cx="2799079" cy="128694"/>
        </a:xfrm>
      </xdr:grpSpPr>
      <xdr:grpSp>
        <xdr:nvGrpSpPr>
          <xdr:cNvPr id="113" name="Gruppo 112">
            <a:extLst>
              <a:ext uri="{FF2B5EF4-FFF2-40B4-BE49-F238E27FC236}">
                <a16:creationId xmlns:a16="http://schemas.microsoft.com/office/drawing/2014/main" id="{6F745E90-BDF1-0F1E-8F6E-89AA804FBF28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28" name="Elemento grafico 127" descr="Smile di Harvey Ball 0% con riempimento a tinta unita">
              <a:extLst>
                <a:ext uri="{FF2B5EF4-FFF2-40B4-BE49-F238E27FC236}">
                  <a16:creationId xmlns:a16="http://schemas.microsoft.com/office/drawing/2014/main" id="{CB7B5D2C-3CBA-550A-0BDA-01D5B29E87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9" name="Elemento grafico 128" descr="Smile di Harvey Ball 0% con riempimento a tinta unita">
              <a:extLst>
                <a:ext uri="{FF2B5EF4-FFF2-40B4-BE49-F238E27FC236}">
                  <a16:creationId xmlns:a16="http://schemas.microsoft.com/office/drawing/2014/main" id="{0A381DF7-79AC-1859-32F7-79DB72F534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0" name="Elemento grafico 129" descr="Smile di Harvey Ball 0% con riempimento a tinta unita">
              <a:extLst>
                <a:ext uri="{FF2B5EF4-FFF2-40B4-BE49-F238E27FC236}">
                  <a16:creationId xmlns:a16="http://schemas.microsoft.com/office/drawing/2014/main" id="{4E49658E-CD31-3A0D-D040-689F080611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1" name="Elemento grafico 130" descr="Smile di Harvey Ball 0% con riempimento a tinta unita">
              <a:extLst>
                <a:ext uri="{FF2B5EF4-FFF2-40B4-BE49-F238E27FC236}">
                  <a16:creationId xmlns:a16="http://schemas.microsoft.com/office/drawing/2014/main" id="{D611D7CF-A0B9-6FFD-7670-CE91FC123F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2" name="Elemento grafico 131" descr="Smile di Harvey Ball 0% con riempimento a tinta unita">
              <a:extLst>
                <a:ext uri="{FF2B5EF4-FFF2-40B4-BE49-F238E27FC236}">
                  <a16:creationId xmlns:a16="http://schemas.microsoft.com/office/drawing/2014/main" id="{5CE895EA-6320-54AA-DC00-FC98A1E772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3" name="Elemento grafico 132" descr="Smile di Harvey Ball 0% con riempimento a tinta unita">
              <a:extLst>
                <a:ext uri="{FF2B5EF4-FFF2-40B4-BE49-F238E27FC236}">
                  <a16:creationId xmlns:a16="http://schemas.microsoft.com/office/drawing/2014/main" id="{4913ADB2-5D32-0FDF-4066-551849703EB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4" name="Gruppo 113">
            <a:extLst>
              <a:ext uri="{FF2B5EF4-FFF2-40B4-BE49-F238E27FC236}">
                <a16:creationId xmlns:a16="http://schemas.microsoft.com/office/drawing/2014/main" id="{344C2C35-255D-9B85-ABDC-21F4A16B24BF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2" name="Elemento grafico 121" descr="Smile di Harvey Ball 0% con riempimento a tinta unita">
              <a:extLst>
                <a:ext uri="{FF2B5EF4-FFF2-40B4-BE49-F238E27FC236}">
                  <a16:creationId xmlns:a16="http://schemas.microsoft.com/office/drawing/2014/main" id="{FA636C77-103C-95D7-3EA9-6B089BD3EC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3" name="Elemento grafico 122" descr="Smile di Harvey Ball 0% con riempimento a tinta unita">
              <a:extLst>
                <a:ext uri="{FF2B5EF4-FFF2-40B4-BE49-F238E27FC236}">
                  <a16:creationId xmlns:a16="http://schemas.microsoft.com/office/drawing/2014/main" id="{747CD0E4-7017-CF96-1332-5DAFF4D184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4" name="Elemento grafico 123" descr="Smile di Harvey Ball 0% con riempimento a tinta unita">
              <a:extLst>
                <a:ext uri="{FF2B5EF4-FFF2-40B4-BE49-F238E27FC236}">
                  <a16:creationId xmlns:a16="http://schemas.microsoft.com/office/drawing/2014/main" id="{D6999111-DA5F-6A1A-6F1D-D53E387A8F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5" name="Elemento grafico 124" descr="Smile di Harvey Ball 0% con riempimento a tinta unita">
              <a:extLst>
                <a:ext uri="{FF2B5EF4-FFF2-40B4-BE49-F238E27FC236}">
                  <a16:creationId xmlns:a16="http://schemas.microsoft.com/office/drawing/2014/main" id="{B04E462A-7F55-B90B-A130-04F83E01AC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6" name="Elemento grafico 125" descr="Smile di Harvey Ball 0% con riempimento a tinta unita">
              <a:extLst>
                <a:ext uri="{FF2B5EF4-FFF2-40B4-BE49-F238E27FC236}">
                  <a16:creationId xmlns:a16="http://schemas.microsoft.com/office/drawing/2014/main" id="{DF98D89D-DDFE-1A3B-9899-2A5F64366F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7" name="Elemento grafico 126" descr="Smile di Harvey Ball 0% con riempimento a tinta unita">
              <a:extLst>
                <a:ext uri="{FF2B5EF4-FFF2-40B4-BE49-F238E27FC236}">
                  <a16:creationId xmlns:a16="http://schemas.microsoft.com/office/drawing/2014/main" id="{8148165D-972F-EC70-25E5-C8D3D3820A5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5" name="Gruppo 114">
            <a:extLst>
              <a:ext uri="{FF2B5EF4-FFF2-40B4-BE49-F238E27FC236}">
                <a16:creationId xmlns:a16="http://schemas.microsoft.com/office/drawing/2014/main" id="{58942387-E422-BE22-6337-A26854249B2E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16" name="Elemento grafico 115" descr="Smile di Harvey Ball 0% con riempimento a tinta unita">
              <a:extLst>
                <a:ext uri="{FF2B5EF4-FFF2-40B4-BE49-F238E27FC236}">
                  <a16:creationId xmlns:a16="http://schemas.microsoft.com/office/drawing/2014/main" id="{EBB51E85-91ED-7EEA-8AF4-8F6EAABBA3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7" name="Elemento grafico 116" descr="Smile di Harvey Ball 0% con riempimento a tinta unita">
              <a:extLst>
                <a:ext uri="{FF2B5EF4-FFF2-40B4-BE49-F238E27FC236}">
                  <a16:creationId xmlns:a16="http://schemas.microsoft.com/office/drawing/2014/main" id="{6FDDF5B2-91FD-78FC-1C12-0E61218560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8" name="Elemento grafico 117" descr="Smile di Harvey Ball 0% con riempimento a tinta unita">
              <a:extLst>
                <a:ext uri="{FF2B5EF4-FFF2-40B4-BE49-F238E27FC236}">
                  <a16:creationId xmlns:a16="http://schemas.microsoft.com/office/drawing/2014/main" id="{97634BFB-2572-7BE3-6A80-F95566B7B4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9" name="Elemento grafico 118" descr="Smile di Harvey Ball 0% con riempimento a tinta unita">
              <a:extLst>
                <a:ext uri="{FF2B5EF4-FFF2-40B4-BE49-F238E27FC236}">
                  <a16:creationId xmlns:a16="http://schemas.microsoft.com/office/drawing/2014/main" id="{FAECBD64-E175-208C-A299-E9BF079F77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0" name="Elemento grafico 119" descr="Smile di Harvey Ball 0% con riempimento a tinta unita">
              <a:extLst>
                <a:ext uri="{FF2B5EF4-FFF2-40B4-BE49-F238E27FC236}">
                  <a16:creationId xmlns:a16="http://schemas.microsoft.com/office/drawing/2014/main" id="{9AE5A5FF-B851-7136-2606-1E3F168275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1" name="Elemento grafico 120" descr="Smile di Harvey Ball 0% con riempimento a tinta unita">
              <a:extLst>
                <a:ext uri="{FF2B5EF4-FFF2-40B4-BE49-F238E27FC236}">
                  <a16:creationId xmlns:a16="http://schemas.microsoft.com/office/drawing/2014/main" id="{497A8C92-ED6E-5EB0-4EC8-945639BB1F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15</xdr:row>
      <xdr:rowOff>50313</xdr:rowOff>
    </xdr:from>
    <xdr:to>
      <xdr:col>16</xdr:col>
      <xdr:colOff>394545</xdr:colOff>
      <xdr:row>15</xdr:row>
      <xdr:rowOff>179007</xdr:rowOff>
    </xdr:to>
    <xdr:grpSp>
      <xdr:nvGrpSpPr>
        <xdr:cNvPr id="134" name="Gruppo 133">
          <a:extLst>
            <a:ext uri="{FF2B5EF4-FFF2-40B4-BE49-F238E27FC236}">
              <a16:creationId xmlns:a16="http://schemas.microsoft.com/office/drawing/2014/main" id="{3FA6C1FA-C79F-4958-BD2E-F554D0D3A9A4}"/>
            </a:ext>
          </a:extLst>
        </xdr:cNvPr>
        <xdr:cNvGrpSpPr/>
      </xdr:nvGrpSpPr>
      <xdr:grpSpPr>
        <a:xfrm>
          <a:off x="4072466" y="3384063"/>
          <a:ext cx="2824479" cy="128694"/>
          <a:chOff x="4031826" y="3578013"/>
          <a:chExt cx="2799079" cy="128694"/>
        </a:xfrm>
      </xdr:grpSpPr>
      <xdr:grpSp>
        <xdr:nvGrpSpPr>
          <xdr:cNvPr id="135" name="Gruppo 134">
            <a:extLst>
              <a:ext uri="{FF2B5EF4-FFF2-40B4-BE49-F238E27FC236}">
                <a16:creationId xmlns:a16="http://schemas.microsoft.com/office/drawing/2014/main" id="{28F9F0A2-AD52-CCD1-E572-84FDA4901287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50" name="Elemento grafico 149" descr="Smile di Harvey Ball 0% con riempimento a tinta unita">
              <a:extLst>
                <a:ext uri="{FF2B5EF4-FFF2-40B4-BE49-F238E27FC236}">
                  <a16:creationId xmlns:a16="http://schemas.microsoft.com/office/drawing/2014/main" id="{12137B35-E38A-421F-01BC-467695D664D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1" name="Elemento grafico 150" descr="Smile di Harvey Ball 0% con riempimento a tinta unita">
              <a:extLst>
                <a:ext uri="{FF2B5EF4-FFF2-40B4-BE49-F238E27FC236}">
                  <a16:creationId xmlns:a16="http://schemas.microsoft.com/office/drawing/2014/main" id="{C150F2A0-C573-45DC-8FFE-D55A7E760A4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2" name="Elemento grafico 151" descr="Smile di Harvey Ball 0% con riempimento a tinta unita">
              <a:extLst>
                <a:ext uri="{FF2B5EF4-FFF2-40B4-BE49-F238E27FC236}">
                  <a16:creationId xmlns:a16="http://schemas.microsoft.com/office/drawing/2014/main" id="{3B86A271-E29E-642F-5B48-23F8465A63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3" name="Elemento grafico 152" descr="Smile di Harvey Ball 0% con riempimento a tinta unita">
              <a:extLst>
                <a:ext uri="{FF2B5EF4-FFF2-40B4-BE49-F238E27FC236}">
                  <a16:creationId xmlns:a16="http://schemas.microsoft.com/office/drawing/2014/main" id="{7F625B4F-012A-B7E0-D5EE-C227DFF7C77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4" name="Elemento grafico 153" descr="Smile di Harvey Ball 0% con riempimento a tinta unita">
              <a:extLst>
                <a:ext uri="{FF2B5EF4-FFF2-40B4-BE49-F238E27FC236}">
                  <a16:creationId xmlns:a16="http://schemas.microsoft.com/office/drawing/2014/main" id="{C2D8EF7C-E784-083F-E95D-1759294DB2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5" name="Elemento grafico 154" descr="Smile di Harvey Ball 0% con riempimento a tinta unita">
              <a:extLst>
                <a:ext uri="{FF2B5EF4-FFF2-40B4-BE49-F238E27FC236}">
                  <a16:creationId xmlns:a16="http://schemas.microsoft.com/office/drawing/2014/main" id="{4D87C777-8A01-CBB8-CF2C-1FE46D3633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6" name="Gruppo 135">
            <a:extLst>
              <a:ext uri="{FF2B5EF4-FFF2-40B4-BE49-F238E27FC236}">
                <a16:creationId xmlns:a16="http://schemas.microsoft.com/office/drawing/2014/main" id="{271B8835-2E0F-FE3C-0B55-7A3EC1BB268F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44" name="Elemento grafico 143" descr="Smile di Harvey Ball 0% con riempimento a tinta unita">
              <a:extLst>
                <a:ext uri="{FF2B5EF4-FFF2-40B4-BE49-F238E27FC236}">
                  <a16:creationId xmlns:a16="http://schemas.microsoft.com/office/drawing/2014/main" id="{4DE28961-2E24-441B-5A17-CE89943977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5" name="Elemento grafico 144" descr="Smile di Harvey Ball 0% con riempimento a tinta unita">
              <a:extLst>
                <a:ext uri="{FF2B5EF4-FFF2-40B4-BE49-F238E27FC236}">
                  <a16:creationId xmlns:a16="http://schemas.microsoft.com/office/drawing/2014/main" id="{9217CBBA-4132-1773-3145-BF89D91C17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6" name="Elemento grafico 145" descr="Smile di Harvey Ball 0% con riempimento a tinta unita">
              <a:extLst>
                <a:ext uri="{FF2B5EF4-FFF2-40B4-BE49-F238E27FC236}">
                  <a16:creationId xmlns:a16="http://schemas.microsoft.com/office/drawing/2014/main" id="{5302BD2F-47B5-F2E3-E5B0-5264BB00F9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7" name="Elemento grafico 146" descr="Smile di Harvey Ball 0% con riempimento a tinta unita">
              <a:extLst>
                <a:ext uri="{FF2B5EF4-FFF2-40B4-BE49-F238E27FC236}">
                  <a16:creationId xmlns:a16="http://schemas.microsoft.com/office/drawing/2014/main" id="{C5BD5F4D-F4B8-F964-875E-F8752B027AD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8" name="Elemento grafico 147" descr="Smile di Harvey Ball 0% con riempimento a tinta unita">
              <a:extLst>
                <a:ext uri="{FF2B5EF4-FFF2-40B4-BE49-F238E27FC236}">
                  <a16:creationId xmlns:a16="http://schemas.microsoft.com/office/drawing/2014/main" id="{2DA62571-8BAA-45A5-6992-248F5F7306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9" name="Elemento grafico 148" descr="Smile di Harvey Ball 0% con riempimento a tinta unita">
              <a:extLst>
                <a:ext uri="{FF2B5EF4-FFF2-40B4-BE49-F238E27FC236}">
                  <a16:creationId xmlns:a16="http://schemas.microsoft.com/office/drawing/2014/main" id="{A1A4408E-DA83-0D14-156A-4C66DC39D1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7" name="Gruppo 136">
            <a:extLst>
              <a:ext uri="{FF2B5EF4-FFF2-40B4-BE49-F238E27FC236}">
                <a16:creationId xmlns:a16="http://schemas.microsoft.com/office/drawing/2014/main" id="{15364ABD-6EEA-99E5-8BBF-44C0AC7F218D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38" name="Elemento grafico 137" descr="Smile di Harvey Ball 0% con riempimento a tinta unita">
              <a:extLst>
                <a:ext uri="{FF2B5EF4-FFF2-40B4-BE49-F238E27FC236}">
                  <a16:creationId xmlns:a16="http://schemas.microsoft.com/office/drawing/2014/main" id="{870FCDC8-4CEC-2A04-EEC1-BD45B39529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9" name="Elemento grafico 138" descr="Smile di Harvey Ball 0% con riempimento a tinta unita">
              <a:extLst>
                <a:ext uri="{FF2B5EF4-FFF2-40B4-BE49-F238E27FC236}">
                  <a16:creationId xmlns:a16="http://schemas.microsoft.com/office/drawing/2014/main" id="{7EFFF4BA-26CB-7D5C-51B6-73757464F9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0" name="Elemento grafico 139" descr="Smile di Harvey Ball 0% con riempimento a tinta unita">
              <a:extLst>
                <a:ext uri="{FF2B5EF4-FFF2-40B4-BE49-F238E27FC236}">
                  <a16:creationId xmlns:a16="http://schemas.microsoft.com/office/drawing/2014/main" id="{0C88F2EA-7924-C255-0BF5-68DC8CC160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1" name="Elemento grafico 140" descr="Smile di Harvey Ball 0% con riempimento a tinta unita">
              <a:extLst>
                <a:ext uri="{FF2B5EF4-FFF2-40B4-BE49-F238E27FC236}">
                  <a16:creationId xmlns:a16="http://schemas.microsoft.com/office/drawing/2014/main" id="{28B9E2EA-842F-5F1A-799F-350ACA3764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2" name="Elemento grafico 141" descr="Smile di Harvey Ball 0% con riempimento a tinta unita">
              <a:extLst>
                <a:ext uri="{FF2B5EF4-FFF2-40B4-BE49-F238E27FC236}">
                  <a16:creationId xmlns:a16="http://schemas.microsoft.com/office/drawing/2014/main" id="{367377CB-3B1E-CCE0-1D81-069D28A6CA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3" name="Elemento grafico 142" descr="Smile di Harvey Ball 0% con riempimento a tinta unita">
              <a:extLst>
                <a:ext uri="{FF2B5EF4-FFF2-40B4-BE49-F238E27FC236}">
                  <a16:creationId xmlns:a16="http://schemas.microsoft.com/office/drawing/2014/main" id="{3B390058-281D-E635-FDD4-754443FAF6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14</xdr:row>
      <xdr:rowOff>50796</xdr:rowOff>
    </xdr:from>
    <xdr:to>
      <xdr:col>16</xdr:col>
      <xdr:colOff>394545</xdr:colOff>
      <xdr:row>14</xdr:row>
      <xdr:rowOff>179490</xdr:rowOff>
    </xdr:to>
    <xdr:grpSp>
      <xdr:nvGrpSpPr>
        <xdr:cNvPr id="156" name="Gruppo 155">
          <a:extLst>
            <a:ext uri="{FF2B5EF4-FFF2-40B4-BE49-F238E27FC236}">
              <a16:creationId xmlns:a16="http://schemas.microsoft.com/office/drawing/2014/main" id="{45F50F67-C610-40D3-8673-07A8091F7432}"/>
            </a:ext>
          </a:extLst>
        </xdr:cNvPr>
        <xdr:cNvGrpSpPr/>
      </xdr:nvGrpSpPr>
      <xdr:grpSpPr>
        <a:xfrm>
          <a:off x="4072466" y="3162296"/>
          <a:ext cx="2824479" cy="128694"/>
          <a:chOff x="4031826" y="3578013"/>
          <a:chExt cx="2799079" cy="128694"/>
        </a:xfrm>
      </xdr:grpSpPr>
      <xdr:grpSp>
        <xdr:nvGrpSpPr>
          <xdr:cNvPr id="157" name="Gruppo 156">
            <a:extLst>
              <a:ext uri="{FF2B5EF4-FFF2-40B4-BE49-F238E27FC236}">
                <a16:creationId xmlns:a16="http://schemas.microsoft.com/office/drawing/2014/main" id="{E131AF83-D81A-3D84-F1BD-C35E4C759B40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72" name="Elemento grafico 171" descr="Smile di Harvey Ball 0% con riempimento a tinta unita">
              <a:extLst>
                <a:ext uri="{FF2B5EF4-FFF2-40B4-BE49-F238E27FC236}">
                  <a16:creationId xmlns:a16="http://schemas.microsoft.com/office/drawing/2014/main" id="{8BFB769E-FEEE-CFBB-6C5D-76BE465480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3" name="Elemento grafico 172" descr="Smile di Harvey Ball 0% con riempimento a tinta unita">
              <a:extLst>
                <a:ext uri="{FF2B5EF4-FFF2-40B4-BE49-F238E27FC236}">
                  <a16:creationId xmlns:a16="http://schemas.microsoft.com/office/drawing/2014/main" id="{270A94C7-5A0F-2010-4ABB-C5056925426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4" name="Elemento grafico 173" descr="Smile di Harvey Ball 0% con riempimento a tinta unita">
              <a:extLst>
                <a:ext uri="{FF2B5EF4-FFF2-40B4-BE49-F238E27FC236}">
                  <a16:creationId xmlns:a16="http://schemas.microsoft.com/office/drawing/2014/main" id="{B2603BEA-B02E-ADBD-3D57-20195861F2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5" name="Elemento grafico 174" descr="Smile di Harvey Ball 0% con riempimento a tinta unita">
              <a:extLst>
                <a:ext uri="{FF2B5EF4-FFF2-40B4-BE49-F238E27FC236}">
                  <a16:creationId xmlns:a16="http://schemas.microsoft.com/office/drawing/2014/main" id="{9DBA39AC-E5D1-5F2E-6B53-F7A8C83316B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6" name="Elemento grafico 175" descr="Smile di Harvey Ball 0% con riempimento a tinta unita">
              <a:extLst>
                <a:ext uri="{FF2B5EF4-FFF2-40B4-BE49-F238E27FC236}">
                  <a16:creationId xmlns:a16="http://schemas.microsoft.com/office/drawing/2014/main" id="{F3762683-A75F-E5E2-BF88-C35ADB5908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7" name="Elemento grafico 176" descr="Smile di Harvey Ball 0% con riempimento a tinta unita">
              <a:extLst>
                <a:ext uri="{FF2B5EF4-FFF2-40B4-BE49-F238E27FC236}">
                  <a16:creationId xmlns:a16="http://schemas.microsoft.com/office/drawing/2014/main" id="{99C55483-D52E-CE13-C693-B959B9952BB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8" name="Gruppo 157">
            <a:extLst>
              <a:ext uri="{FF2B5EF4-FFF2-40B4-BE49-F238E27FC236}">
                <a16:creationId xmlns:a16="http://schemas.microsoft.com/office/drawing/2014/main" id="{AADE57C2-17DF-897D-56FD-84A125C6E358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66" name="Elemento grafico 165" descr="Smile di Harvey Ball 0% con riempimento a tinta unita">
              <a:extLst>
                <a:ext uri="{FF2B5EF4-FFF2-40B4-BE49-F238E27FC236}">
                  <a16:creationId xmlns:a16="http://schemas.microsoft.com/office/drawing/2014/main" id="{7E07E835-7C07-6B6B-93FE-95148A9534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7" name="Elemento grafico 166" descr="Smile di Harvey Ball 0% con riempimento a tinta unita">
              <a:extLst>
                <a:ext uri="{FF2B5EF4-FFF2-40B4-BE49-F238E27FC236}">
                  <a16:creationId xmlns:a16="http://schemas.microsoft.com/office/drawing/2014/main" id="{C14AFF0F-2185-0846-FEBD-C82508F590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8" name="Elemento grafico 167" descr="Smile di Harvey Ball 0% con riempimento a tinta unita">
              <a:extLst>
                <a:ext uri="{FF2B5EF4-FFF2-40B4-BE49-F238E27FC236}">
                  <a16:creationId xmlns:a16="http://schemas.microsoft.com/office/drawing/2014/main" id="{9FD46F63-25B7-2700-CB2D-86FF61A658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9" name="Elemento grafico 168" descr="Smile di Harvey Ball 0% con riempimento a tinta unita">
              <a:extLst>
                <a:ext uri="{FF2B5EF4-FFF2-40B4-BE49-F238E27FC236}">
                  <a16:creationId xmlns:a16="http://schemas.microsoft.com/office/drawing/2014/main" id="{CE26B42E-7278-5DE4-1CFF-1A27DAB593D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0" name="Elemento grafico 169" descr="Smile di Harvey Ball 0% con riempimento a tinta unita">
              <a:extLst>
                <a:ext uri="{FF2B5EF4-FFF2-40B4-BE49-F238E27FC236}">
                  <a16:creationId xmlns:a16="http://schemas.microsoft.com/office/drawing/2014/main" id="{4502DD86-002A-83C3-DBB5-308CE743C8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1" name="Elemento grafico 170" descr="Smile di Harvey Ball 0% con riempimento a tinta unita">
              <a:extLst>
                <a:ext uri="{FF2B5EF4-FFF2-40B4-BE49-F238E27FC236}">
                  <a16:creationId xmlns:a16="http://schemas.microsoft.com/office/drawing/2014/main" id="{72C9C126-F4FD-FE54-C7CC-142EA519FB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9" name="Gruppo 158">
            <a:extLst>
              <a:ext uri="{FF2B5EF4-FFF2-40B4-BE49-F238E27FC236}">
                <a16:creationId xmlns:a16="http://schemas.microsoft.com/office/drawing/2014/main" id="{CDCC2871-B441-CFD0-DB8E-497869E49DA1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60" name="Elemento grafico 159" descr="Smile di Harvey Ball 0% con riempimento a tinta unita">
              <a:extLst>
                <a:ext uri="{FF2B5EF4-FFF2-40B4-BE49-F238E27FC236}">
                  <a16:creationId xmlns:a16="http://schemas.microsoft.com/office/drawing/2014/main" id="{39EEEB90-96E8-0384-CE3C-ACEF0C33B1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1" name="Elemento grafico 160" descr="Smile di Harvey Ball 0% con riempimento a tinta unita">
              <a:extLst>
                <a:ext uri="{FF2B5EF4-FFF2-40B4-BE49-F238E27FC236}">
                  <a16:creationId xmlns:a16="http://schemas.microsoft.com/office/drawing/2014/main" id="{E373FBBE-051A-1AAC-CC97-81C2119A55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2" name="Elemento grafico 161" descr="Smile di Harvey Ball 0% con riempimento a tinta unita">
              <a:extLst>
                <a:ext uri="{FF2B5EF4-FFF2-40B4-BE49-F238E27FC236}">
                  <a16:creationId xmlns:a16="http://schemas.microsoft.com/office/drawing/2014/main" id="{61865CA8-8225-916F-2D2E-276345CB53F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3" name="Elemento grafico 162" descr="Smile di Harvey Ball 0% con riempimento a tinta unita">
              <a:extLst>
                <a:ext uri="{FF2B5EF4-FFF2-40B4-BE49-F238E27FC236}">
                  <a16:creationId xmlns:a16="http://schemas.microsoft.com/office/drawing/2014/main" id="{992C98F6-F322-9AF9-E991-511B975386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4" name="Elemento grafico 163" descr="Smile di Harvey Ball 0% con riempimento a tinta unita">
              <a:extLst>
                <a:ext uri="{FF2B5EF4-FFF2-40B4-BE49-F238E27FC236}">
                  <a16:creationId xmlns:a16="http://schemas.microsoft.com/office/drawing/2014/main" id="{0EACBF9F-5E85-92B4-97BA-6FD2E48180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5" name="Elemento grafico 164" descr="Smile di Harvey Ball 0% con riempimento a tinta unita">
              <a:extLst>
                <a:ext uri="{FF2B5EF4-FFF2-40B4-BE49-F238E27FC236}">
                  <a16:creationId xmlns:a16="http://schemas.microsoft.com/office/drawing/2014/main" id="{94C06A0C-BF53-1E91-FCB0-4EC489EFC29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40640</xdr:colOff>
      <xdr:row>22</xdr:row>
      <xdr:rowOff>25400</xdr:rowOff>
    </xdr:from>
    <xdr:to>
      <xdr:col>16</xdr:col>
      <xdr:colOff>173919</xdr:colOff>
      <xdr:row>22</xdr:row>
      <xdr:rowOff>154094</xdr:rowOff>
    </xdr:to>
    <xdr:pic>
      <xdr:nvPicPr>
        <xdr:cNvPr id="178" name="Elemento grafico 177" descr="Smile di Harvey Ball 0% con riempimento a tinta unita">
          <a:extLst>
            <a:ext uri="{FF2B5EF4-FFF2-40B4-BE49-F238E27FC236}">
              <a16:creationId xmlns:a16="http://schemas.microsoft.com/office/drawing/2014/main" id="{7F77524A-6A26-448E-95EF-56992D34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502400" y="4886960"/>
          <a:ext cx="133279" cy="128694"/>
        </a:xfrm>
        <a:prstGeom prst="rect">
          <a:avLst/>
        </a:prstGeom>
      </xdr:spPr>
    </xdr:pic>
    <xdr:clientData/>
  </xdr:twoCellAnchor>
  <xdr:twoCellAnchor>
    <xdr:from>
      <xdr:col>10</xdr:col>
      <xdr:colOff>8466</xdr:colOff>
      <xdr:row>13</xdr:row>
      <xdr:rowOff>54910</xdr:rowOff>
    </xdr:from>
    <xdr:to>
      <xdr:col>16</xdr:col>
      <xdr:colOff>394545</xdr:colOff>
      <xdr:row>13</xdr:row>
      <xdr:rowOff>183604</xdr:rowOff>
    </xdr:to>
    <xdr:grpSp>
      <xdr:nvGrpSpPr>
        <xdr:cNvPr id="179" name="Gruppo 178">
          <a:extLst>
            <a:ext uri="{FF2B5EF4-FFF2-40B4-BE49-F238E27FC236}">
              <a16:creationId xmlns:a16="http://schemas.microsoft.com/office/drawing/2014/main" id="{FBD7F1C9-4C1E-4B48-83D9-8A971F8E6B4A}"/>
            </a:ext>
          </a:extLst>
        </xdr:cNvPr>
        <xdr:cNvGrpSpPr/>
      </xdr:nvGrpSpPr>
      <xdr:grpSpPr>
        <a:xfrm>
          <a:off x="4072466" y="2944160"/>
          <a:ext cx="2824479" cy="128694"/>
          <a:chOff x="4031826" y="3578013"/>
          <a:chExt cx="2799079" cy="128694"/>
        </a:xfrm>
      </xdr:grpSpPr>
      <xdr:grpSp>
        <xdr:nvGrpSpPr>
          <xdr:cNvPr id="180" name="Gruppo 179">
            <a:extLst>
              <a:ext uri="{FF2B5EF4-FFF2-40B4-BE49-F238E27FC236}">
                <a16:creationId xmlns:a16="http://schemas.microsoft.com/office/drawing/2014/main" id="{9D5A6F6F-E81B-FDC8-8D2A-E8E451D3BFBB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95" name="Elemento grafico 194" descr="Smile di Harvey Ball 0% con riempimento a tinta unita">
              <a:extLst>
                <a:ext uri="{FF2B5EF4-FFF2-40B4-BE49-F238E27FC236}">
                  <a16:creationId xmlns:a16="http://schemas.microsoft.com/office/drawing/2014/main" id="{A5A20B2B-6DB7-CF82-A01D-512ECE6E4A6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6" name="Elemento grafico 195" descr="Smile di Harvey Ball 0% con riempimento a tinta unita">
              <a:extLst>
                <a:ext uri="{FF2B5EF4-FFF2-40B4-BE49-F238E27FC236}">
                  <a16:creationId xmlns:a16="http://schemas.microsoft.com/office/drawing/2014/main" id="{76F728E4-1479-706B-1874-784502A169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7" name="Elemento grafico 196" descr="Smile di Harvey Ball 0% con riempimento a tinta unita">
              <a:extLst>
                <a:ext uri="{FF2B5EF4-FFF2-40B4-BE49-F238E27FC236}">
                  <a16:creationId xmlns:a16="http://schemas.microsoft.com/office/drawing/2014/main" id="{F4F71BA3-99BB-B75D-0EDD-03D7DA6B41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8" name="Elemento grafico 197" descr="Smile di Harvey Ball 0% con riempimento a tinta unita">
              <a:extLst>
                <a:ext uri="{FF2B5EF4-FFF2-40B4-BE49-F238E27FC236}">
                  <a16:creationId xmlns:a16="http://schemas.microsoft.com/office/drawing/2014/main" id="{175BC662-F3BA-AA4A-14B2-9CB267C4FA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9" name="Elemento grafico 198" descr="Smile di Harvey Ball 0% con riempimento a tinta unita">
              <a:extLst>
                <a:ext uri="{FF2B5EF4-FFF2-40B4-BE49-F238E27FC236}">
                  <a16:creationId xmlns:a16="http://schemas.microsoft.com/office/drawing/2014/main" id="{30F53589-3DB3-15CD-6BA6-5C19AA13ED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0" name="Elemento grafico 199" descr="Smile di Harvey Ball 0% con riempimento a tinta unita">
              <a:extLst>
                <a:ext uri="{FF2B5EF4-FFF2-40B4-BE49-F238E27FC236}">
                  <a16:creationId xmlns:a16="http://schemas.microsoft.com/office/drawing/2014/main" id="{78C54713-CA3D-3155-0700-AF54CD53B6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1" name="Gruppo 180">
            <a:extLst>
              <a:ext uri="{FF2B5EF4-FFF2-40B4-BE49-F238E27FC236}">
                <a16:creationId xmlns:a16="http://schemas.microsoft.com/office/drawing/2014/main" id="{4CB6A73A-0C54-62EE-2C02-533C40A1D381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89" name="Elemento grafico 188" descr="Smile di Harvey Ball 0% con riempimento a tinta unita">
              <a:extLst>
                <a:ext uri="{FF2B5EF4-FFF2-40B4-BE49-F238E27FC236}">
                  <a16:creationId xmlns:a16="http://schemas.microsoft.com/office/drawing/2014/main" id="{1545CB4D-1579-48D4-1371-3FE5CB4002F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0" name="Elemento grafico 189" descr="Smile di Harvey Ball 0% con riempimento a tinta unita">
              <a:extLst>
                <a:ext uri="{FF2B5EF4-FFF2-40B4-BE49-F238E27FC236}">
                  <a16:creationId xmlns:a16="http://schemas.microsoft.com/office/drawing/2014/main" id="{8B587F2E-0E0A-EBDA-CA77-47B0D8FC3CB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1" name="Elemento grafico 190" descr="Smile di Harvey Ball 0% con riempimento a tinta unita">
              <a:extLst>
                <a:ext uri="{FF2B5EF4-FFF2-40B4-BE49-F238E27FC236}">
                  <a16:creationId xmlns:a16="http://schemas.microsoft.com/office/drawing/2014/main" id="{322CF472-80DC-C0BF-0454-3F479DC6F5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2" name="Elemento grafico 191" descr="Smile di Harvey Ball 0% con riempimento a tinta unita">
              <a:extLst>
                <a:ext uri="{FF2B5EF4-FFF2-40B4-BE49-F238E27FC236}">
                  <a16:creationId xmlns:a16="http://schemas.microsoft.com/office/drawing/2014/main" id="{141B67EC-669B-6251-6D8E-DE6395AA32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3" name="Elemento grafico 192" descr="Smile di Harvey Ball 0% con riempimento a tinta unita">
              <a:extLst>
                <a:ext uri="{FF2B5EF4-FFF2-40B4-BE49-F238E27FC236}">
                  <a16:creationId xmlns:a16="http://schemas.microsoft.com/office/drawing/2014/main" id="{588F2E03-E0BA-126E-CD30-7EA760B5DAB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4" name="Elemento grafico 193" descr="Smile di Harvey Ball 0% con riempimento a tinta unita">
              <a:extLst>
                <a:ext uri="{FF2B5EF4-FFF2-40B4-BE49-F238E27FC236}">
                  <a16:creationId xmlns:a16="http://schemas.microsoft.com/office/drawing/2014/main" id="{DAB952F0-9399-6FF4-5A5D-16FC3A95C9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2" name="Gruppo 181">
            <a:extLst>
              <a:ext uri="{FF2B5EF4-FFF2-40B4-BE49-F238E27FC236}">
                <a16:creationId xmlns:a16="http://schemas.microsoft.com/office/drawing/2014/main" id="{0581C785-7899-0EE1-A0AF-4FCC3A6E1180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83" name="Elemento grafico 182" descr="Smile di Harvey Ball 0% con riempimento a tinta unita">
              <a:extLst>
                <a:ext uri="{FF2B5EF4-FFF2-40B4-BE49-F238E27FC236}">
                  <a16:creationId xmlns:a16="http://schemas.microsoft.com/office/drawing/2014/main" id="{CB92476F-F1CD-EEDB-D638-EA8A54BAD0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4" name="Elemento grafico 183" descr="Smile di Harvey Ball 0% con riempimento a tinta unita">
              <a:extLst>
                <a:ext uri="{FF2B5EF4-FFF2-40B4-BE49-F238E27FC236}">
                  <a16:creationId xmlns:a16="http://schemas.microsoft.com/office/drawing/2014/main" id="{2B08EC1D-8774-AE66-484A-CDC22B843E4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5" name="Elemento grafico 184" descr="Smile di Harvey Ball 0% con riempimento a tinta unita">
              <a:extLst>
                <a:ext uri="{FF2B5EF4-FFF2-40B4-BE49-F238E27FC236}">
                  <a16:creationId xmlns:a16="http://schemas.microsoft.com/office/drawing/2014/main" id="{A3F41E8E-B6AB-8C45-B918-5E0B21FAA7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6" name="Elemento grafico 185" descr="Smile di Harvey Ball 0% con riempimento a tinta unita">
              <a:extLst>
                <a:ext uri="{FF2B5EF4-FFF2-40B4-BE49-F238E27FC236}">
                  <a16:creationId xmlns:a16="http://schemas.microsoft.com/office/drawing/2014/main" id="{CEC6F930-B08B-1132-D5F7-617A128C9E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7" name="Elemento grafico 186" descr="Smile di Harvey Ball 0% con riempimento a tinta unita">
              <a:extLst>
                <a:ext uri="{FF2B5EF4-FFF2-40B4-BE49-F238E27FC236}">
                  <a16:creationId xmlns:a16="http://schemas.microsoft.com/office/drawing/2014/main" id="{F00613FC-84C5-BBFF-8CBF-4D30A05E8D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8" name="Elemento grafico 187" descr="Smile di Harvey Ball 0% con riempimento a tinta unita">
              <a:extLst>
                <a:ext uri="{FF2B5EF4-FFF2-40B4-BE49-F238E27FC236}">
                  <a16:creationId xmlns:a16="http://schemas.microsoft.com/office/drawing/2014/main" id="{6E6BFEF4-F4DA-9DD3-4E01-6BC1527B4D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8466</xdr:colOff>
      <xdr:row>16</xdr:row>
      <xdr:rowOff>49830</xdr:rowOff>
    </xdr:from>
    <xdr:to>
      <xdr:col>16</xdr:col>
      <xdr:colOff>394545</xdr:colOff>
      <xdr:row>16</xdr:row>
      <xdr:rowOff>178524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E19B2E53-7DB8-4423-B4D6-71395D826C56}"/>
            </a:ext>
          </a:extLst>
        </xdr:cNvPr>
        <xdr:cNvGrpSpPr/>
      </xdr:nvGrpSpPr>
      <xdr:grpSpPr>
        <a:xfrm>
          <a:off x="4072466" y="3605830"/>
          <a:ext cx="2824479" cy="128694"/>
          <a:chOff x="4031826" y="3578013"/>
          <a:chExt cx="2799079" cy="128694"/>
        </a:xfrm>
      </xdr:grpSpPr>
      <xdr:grpSp>
        <xdr:nvGrpSpPr>
          <xdr:cNvPr id="3" name="Gruppo 2">
            <a:extLst>
              <a:ext uri="{FF2B5EF4-FFF2-40B4-BE49-F238E27FC236}">
                <a16:creationId xmlns:a16="http://schemas.microsoft.com/office/drawing/2014/main" id="{BF09D3E9-F99B-0FBE-0479-E0160AC3A54E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8" name="Elemento grafico 17" descr="Smile di Harvey Ball 0% con riempimento a tinta unita">
              <a:extLst>
                <a:ext uri="{FF2B5EF4-FFF2-40B4-BE49-F238E27FC236}">
                  <a16:creationId xmlns:a16="http://schemas.microsoft.com/office/drawing/2014/main" id="{AF026BBB-F1DE-D846-C485-57FCB6969E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" name="Elemento grafico 18" descr="Smile di Harvey Ball 0% con riempimento a tinta unita">
              <a:extLst>
                <a:ext uri="{FF2B5EF4-FFF2-40B4-BE49-F238E27FC236}">
                  <a16:creationId xmlns:a16="http://schemas.microsoft.com/office/drawing/2014/main" id="{10DC0250-F799-E98B-DD59-3344580D9B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" name="Elemento grafico 19" descr="Smile di Harvey Ball 0% con riempimento a tinta unita">
              <a:extLst>
                <a:ext uri="{FF2B5EF4-FFF2-40B4-BE49-F238E27FC236}">
                  <a16:creationId xmlns:a16="http://schemas.microsoft.com/office/drawing/2014/main" id="{E5A7A4D1-7E3A-7FB5-DF96-A170D4B7E9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1" name="Elemento grafico 20" descr="Smile di Harvey Ball 0% con riempimento a tinta unita">
              <a:extLst>
                <a:ext uri="{FF2B5EF4-FFF2-40B4-BE49-F238E27FC236}">
                  <a16:creationId xmlns:a16="http://schemas.microsoft.com/office/drawing/2014/main" id="{FAD9112F-CE63-83E6-305F-AC0DF41E320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2" name="Elemento grafico 21" descr="Smile di Harvey Ball 0% con riempimento a tinta unita">
              <a:extLst>
                <a:ext uri="{FF2B5EF4-FFF2-40B4-BE49-F238E27FC236}">
                  <a16:creationId xmlns:a16="http://schemas.microsoft.com/office/drawing/2014/main" id="{9B0F27DD-B5D6-3213-A628-E6C01E3521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3" name="Elemento grafico 22" descr="Smile di Harvey Ball 0% con riempimento a tinta unita">
              <a:extLst>
                <a:ext uri="{FF2B5EF4-FFF2-40B4-BE49-F238E27FC236}">
                  <a16:creationId xmlns:a16="http://schemas.microsoft.com/office/drawing/2014/main" id="{D659AE2D-BEFB-E674-B0A2-951FEC9B99D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" name="Gruppo 3">
            <a:extLst>
              <a:ext uri="{FF2B5EF4-FFF2-40B4-BE49-F238E27FC236}">
                <a16:creationId xmlns:a16="http://schemas.microsoft.com/office/drawing/2014/main" id="{CF0FB77B-7363-06CC-5459-B0AB33270B6A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" name="Elemento grafico 11" descr="Smile di Harvey Ball 0% con riempimento a tinta unita">
              <a:extLst>
                <a:ext uri="{FF2B5EF4-FFF2-40B4-BE49-F238E27FC236}">
                  <a16:creationId xmlns:a16="http://schemas.microsoft.com/office/drawing/2014/main" id="{C0F68F03-9B12-9886-B0FE-ED2DCA570C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" name="Elemento grafico 12" descr="Smile di Harvey Ball 0% con riempimento a tinta unita">
              <a:extLst>
                <a:ext uri="{FF2B5EF4-FFF2-40B4-BE49-F238E27FC236}">
                  <a16:creationId xmlns:a16="http://schemas.microsoft.com/office/drawing/2014/main" id="{70740208-7DA4-59F1-EB42-2CF8C934BD1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" name="Elemento grafico 13" descr="Smile di Harvey Ball 0% con riempimento a tinta unita">
              <a:extLst>
                <a:ext uri="{FF2B5EF4-FFF2-40B4-BE49-F238E27FC236}">
                  <a16:creationId xmlns:a16="http://schemas.microsoft.com/office/drawing/2014/main" id="{454CE0D1-79A2-E8D1-E1AF-8CBFA5733D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" name="Elemento grafico 14" descr="Smile di Harvey Ball 0% con riempimento a tinta unita">
              <a:extLst>
                <a:ext uri="{FF2B5EF4-FFF2-40B4-BE49-F238E27FC236}">
                  <a16:creationId xmlns:a16="http://schemas.microsoft.com/office/drawing/2014/main" id="{047C2CF1-42EB-28F7-68BA-61DA9E3A7F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" name="Elemento grafico 15" descr="Smile di Harvey Ball 0% con riempimento a tinta unita">
              <a:extLst>
                <a:ext uri="{FF2B5EF4-FFF2-40B4-BE49-F238E27FC236}">
                  <a16:creationId xmlns:a16="http://schemas.microsoft.com/office/drawing/2014/main" id="{1074847A-30B8-BCC9-4FB7-11473A4164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" name="Elemento grafico 16" descr="Smile di Harvey Ball 0% con riempimento a tinta unita">
              <a:extLst>
                <a:ext uri="{FF2B5EF4-FFF2-40B4-BE49-F238E27FC236}">
                  <a16:creationId xmlns:a16="http://schemas.microsoft.com/office/drawing/2014/main" id="{5B177624-9ED9-77A8-BC04-7142B92D2F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5" name="Gruppo 4">
            <a:extLst>
              <a:ext uri="{FF2B5EF4-FFF2-40B4-BE49-F238E27FC236}">
                <a16:creationId xmlns:a16="http://schemas.microsoft.com/office/drawing/2014/main" id="{C6709DD8-BF4E-D555-6A0E-C1E8EE8EEDD0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6" name="Elemento grafico 5" descr="Smile di Harvey Ball 0% con riempimento a tinta unita">
              <a:extLst>
                <a:ext uri="{FF2B5EF4-FFF2-40B4-BE49-F238E27FC236}">
                  <a16:creationId xmlns:a16="http://schemas.microsoft.com/office/drawing/2014/main" id="{39789DE2-0654-C4BF-6C00-4A0A03DCC2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" name="Elemento grafico 6" descr="Smile di Harvey Ball 0% con riempimento a tinta unita">
              <a:extLst>
                <a:ext uri="{FF2B5EF4-FFF2-40B4-BE49-F238E27FC236}">
                  <a16:creationId xmlns:a16="http://schemas.microsoft.com/office/drawing/2014/main" id="{8D4747C8-26EB-15EC-4BD9-728A4B23F1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" name="Elemento grafico 7" descr="Smile di Harvey Ball 0% con riempimento a tinta unita">
              <a:extLst>
                <a:ext uri="{FF2B5EF4-FFF2-40B4-BE49-F238E27FC236}">
                  <a16:creationId xmlns:a16="http://schemas.microsoft.com/office/drawing/2014/main" id="{B532E3FF-EE53-42C2-555D-381FEAD4EB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" name="Elemento grafico 8" descr="Smile di Harvey Ball 0% con riempimento a tinta unita">
              <a:extLst>
                <a:ext uri="{FF2B5EF4-FFF2-40B4-BE49-F238E27FC236}">
                  <a16:creationId xmlns:a16="http://schemas.microsoft.com/office/drawing/2014/main" id="{C361370F-E994-22C6-CDED-08E4E44998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" name="Elemento grafico 9" descr="Smile di Harvey Ball 0% con riempimento a tinta unita">
              <a:extLst>
                <a:ext uri="{FF2B5EF4-FFF2-40B4-BE49-F238E27FC236}">
                  <a16:creationId xmlns:a16="http://schemas.microsoft.com/office/drawing/2014/main" id="{8C0219EA-E774-614E-9486-E2ACF8EF8E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" name="Elemento grafico 10" descr="Smile di Harvey Ball 0% con riempimento a tinta unita">
              <a:extLst>
                <a:ext uri="{FF2B5EF4-FFF2-40B4-BE49-F238E27FC236}">
                  <a16:creationId xmlns:a16="http://schemas.microsoft.com/office/drawing/2014/main" id="{6E4C7036-98A7-269E-DC3C-33DD9DAEA8E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17</xdr:row>
      <xdr:rowOff>49346</xdr:rowOff>
    </xdr:from>
    <xdr:to>
      <xdr:col>16</xdr:col>
      <xdr:colOff>394545</xdr:colOff>
      <xdr:row>17</xdr:row>
      <xdr:rowOff>178040</xdr:rowOff>
    </xdr:to>
    <xdr:grpSp>
      <xdr:nvGrpSpPr>
        <xdr:cNvPr id="24" name="Gruppo 23">
          <a:extLst>
            <a:ext uri="{FF2B5EF4-FFF2-40B4-BE49-F238E27FC236}">
              <a16:creationId xmlns:a16="http://schemas.microsoft.com/office/drawing/2014/main" id="{6FDF0D90-033C-4575-A034-EC4B4C2BD5AD}"/>
            </a:ext>
          </a:extLst>
        </xdr:cNvPr>
        <xdr:cNvGrpSpPr/>
      </xdr:nvGrpSpPr>
      <xdr:grpSpPr>
        <a:xfrm>
          <a:off x="4072466" y="3827596"/>
          <a:ext cx="2824479" cy="128694"/>
          <a:chOff x="4031826" y="3578013"/>
          <a:chExt cx="2799079" cy="128694"/>
        </a:xfrm>
      </xdr:grpSpPr>
      <xdr:grpSp>
        <xdr:nvGrpSpPr>
          <xdr:cNvPr id="25" name="Gruppo 24">
            <a:extLst>
              <a:ext uri="{FF2B5EF4-FFF2-40B4-BE49-F238E27FC236}">
                <a16:creationId xmlns:a16="http://schemas.microsoft.com/office/drawing/2014/main" id="{F4E25866-9E0D-A343-4603-953BA72725A0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40" name="Elemento grafico 39" descr="Smile di Harvey Ball 0% con riempimento a tinta unita">
              <a:extLst>
                <a:ext uri="{FF2B5EF4-FFF2-40B4-BE49-F238E27FC236}">
                  <a16:creationId xmlns:a16="http://schemas.microsoft.com/office/drawing/2014/main" id="{DF0A0CE2-1F1F-03B8-B587-CD322C73B6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1" name="Elemento grafico 40" descr="Smile di Harvey Ball 0% con riempimento a tinta unita">
              <a:extLst>
                <a:ext uri="{FF2B5EF4-FFF2-40B4-BE49-F238E27FC236}">
                  <a16:creationId xmlns:a16="http://schemas.microsoft.com/office/drawing/2014/main" id="{0EDE47AD-BA7F-C3B1-C207-835BEE2DEF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2" name="Elemento grafico 41" descr="Smile di Harvey Ball 0% con riempimento a tinta unita">
              <a:extLst>
                <a:ext uri="{FF2B5EF4-FFF2-40B4-BE49-F238E27FC236}">
                  <a16:creationId xmlns:a16="http://schemas.microsoft.com/office/drawing/2014/main" id="{708DB221-A83E-58C3-EB64-F8957F2865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3" name="Elemento grafico 42" descr="Smile di Harvey Ball 0% con riempimento a tinta unita">
              <a:extLst>
                <a:ext uri="{FF2B5EF4-FFF2-40B4-BE49-F238E27FC236}">
                  <a16:creationId xmlns:a16="http://schemas.microsoft.com/office/drawing/2014/main" id="{0F414F0F-87BB-7C6F-F742-9FC3B2ABFD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4" name="Elemento grafico 43" descr="Smile di Harvey Ball 0% con riempimento a tinta unita">
              <a:extLst>
                <a:ext uri="{FF2B5EF4-FFF2-40B4-BE49-F238E27FC236}">
                  <a16:creationId xmlns:a16="http://schemas.microsoft.com/office/drawing/2014/main" id="{0B866811-0F91-0BDA-9B65-DA20C3AE76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5" name="Elemento grafico 44" descr="Smile di Harvey Ball 0% con riempimento a tinta unita">
              <a:extLst>
                <a:ext uri="{FF2B5EF4-FFF2-40B4-BE49-F238E27FC236}">
                  <a16:creationId xmlns:a16="http://schemas.microsoft.com/office/drawing/2014/main" id="{18F59B25-58B6-4122-49DD-43EAE18E65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6" name="Gruppo 25">
            <a:extLst>
              <a:ext uri="{FF2B5EF4-FFF2-40B4-BE49-F238E27FC236}">
                <a16:creationId xmlns:a16="http://schemas.microsoft.com/office/drawing/2014/main" id="{6771F13E-FB21-709C-639D-E78F1DD18C3A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34" name="Elemento grafico 33" descr="Smile di Harvey Ball 0% con riempimento a tinta unita">
              <a:extLst>
                <a:ext uri="{FF2B5EF4-FFF2-40B4-BE49-F238E27FC236}">
                  <a16:creationId xmlns:a16="http://schemas.microsoft.com/office/drawing/2014/main" id="{602A5DE0-3C29-779C-1B10-CA751A2F57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5" name="Elemento grafico 34" descr="Smile di Harvey Ball 0% con riempimento a tinta unita">
              <a:extLst>
                <a:ext uri="{FF2B5EF4-FFF2-40B4-BE49-F238E27FC236}">
                  <a16:creationId xmlns:a16="http://schemas.microsoft.com/office/drawing/2014/main" id="{9D6F6C70-77CC-D804-22B8-468109552C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6" name="Elemento grafico 35" descr="Smile di Harvey Ball 0% con riempimento a tinta unita">
              <a:extLst>
                <a:ext uri="{FF2B5EF4-FFF2-40B4-BE49-F238E27FC236}">
                  <a16:creationId xmlns:a16="http://schemas.microsoft.com/office/drawing/2014/main" id="{9917740E-301A-7D1D-DDE6-8AE344F162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7" name="Elemento grafico 36" descr="Smile di Harvey Ball 0% con riempimento a tinta unita">
              <a:extLst>
                <a:ext uri="{FF2B5EF4-FFF2-40B4-BE49-F238E27FC236}">
                  <a16:creationId xmlns:a16="http://schemas.microsoft.com/office/drawing/2014/main" id="{A24FCCB0-28A7-FE3A-85AE-2088C475AA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8" name="Elemento grafico 37" descr="Smile di Harvey Ball 0% con riempimento a tinta unita">
              <a:extLst>
                <a:ext uri="{FF2B5EF4-FFF2-40B4-BE49-F238E27FC236}">
                  <a16:creationId xmlns:a16="http://schemas.microsoft.com/office/drawing/2014/main" id="{89A7C4E4-022D-0FA1-5B78-B8918EFED14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9" name="Elemento grafico 38" descr="Smile di Harvey Ball 0% con riempimento a tinta unita">
              <a:extLst>
                <a:ext uri="{FF2B5EF4-FFF2-40B4-BE49-F238E27FC236}">
                  <a16:creationId xmlns:a16="http://schemas.microsoft.com/office/drawing/2014/main" id="{63E538F6-6D04-4D69-69DB-0D3496CEEA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7" name="Gruppo 26">
            <a:extLst>
              <a:ext uri="{FF2B5EF4-FFF2-40B4-BE49-F238E27FC236}">
                <a16:creationId xmlns:a16="http://schemas.microsoft.com/office/drawing/2014/main" id="{1EEB31EE-0BCD-34BE-0FBE-4CCB45E5DE45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28" name="Elemento grafico 27" descr="Smile di Harvey Ball 0% con riempimento a tinta unita">
              <a:extLst>
                <a:ext uri="{FF2B5EF4-FFF2-40B4-BE49-F238E27FC236}">
                  <a16:creationId xmlns:a16="http://schemas.microsoft.com/office/drawing/2014/main" id="{A0E15236-C2D0-A914-8171-9B2BE1A18CD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9" name="Elemento grafico 28" descr="Smile di Harvey Ball 0% con riempimento a tinta unita">
              <a:extLst>
                <a:ext uri="{FF2B5EF4-FFF2-40B4-BE49-F238E27FC236}">
                  <a16:creationId xmlns:a16="http://schemas.microsoft.com/office/drawing/2014/main" id="{078D5A9B-2078-6050-42D6-8B1AF57B5D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0" name="Elemento grafico 29" descr="Smile di Harvey Ball 0% con riempimento a tinta unita">
              <a:extLst>
                <a:ext uri="{FF2B5EF4-FFF2-40B4-BE49-F238E27FC236}">
                  <a16:creationId xmlns:a16="http://schemas.microsoft.com/office/drawing/2014/main" id="{C13F051A-1D39-BECD-837E-3E235D9362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1" name="Elemento grafico 30" descr="Smile di Harvey Ball 0% con riempimento a tinta unita">
              <a:extLst>
                <a:ext uri="{FF2B5EF4-FFF2-40B4-BE49-F238E27FC236}">
                  <a16:creationId xmlns:a16="http://schemas.microsoft.com/office/drawing/2014/main" id="{AD548E8F-9EBD-424C-845B-A0192D1812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2" name="Elemento grafico 31" descr="Smile di Harvey Ball 0% con riempimento a tinta unita">
              <a:extLst>
                <a:ext uri="{FF2B5EF4-FFF2-40B4-BE49-F238E27FC236}">
                  <a16:creationId xmlns:a16="http://schemas.microsoft.com/office/drawing/2014/main" id="{8C3ED21B-341F-50FB-5D0B-AB908A31D7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3" name="Elemento grafico 32" descr="Smile di Harvey Ball 0% con riempimento a tinta unita">
              <a:extLst>
                <a:ext uri="{FF2B5EF4-FFF2-40B4-BE49-F238E27FC236}">
                  <a16:creationId xmlns:a16="http://schemas.microsoft.com/office/drawing/2014/main" id="{21680BA0-E6DA-661E-4C0A-DE0002B938E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20</xdr:row>
      <xdr:rowOff>47896</xdr:rowOff>
    </xdr:from>
    <xdr:to>
      <xdr:col>16</xdr:col>
      <xdr:colOff>394545</xdr:colOff>
      <xdr:row>20</xdr:row>
      <xdr:rowOff>176590</xdr:rowOff>
    </xdr:to>
    <xdr:grpSp>
      <xdr:nvGrpSpPr>
        <xdr:cNvPr id="46" name="Gruppo 45">
          <a:extLst>
            <a:ext uri="{FF2B5EF4-FFF2-40B4-BE49-F238E27FC236}">
              <a16:creationId xmlns:a16="http://schemas.microsoft.com/office/drawing/2014/main" id="{CB9623BD-4F37-4D31-B5ED-75E0769CC648}"/>
            </a:ext>
          </a:extLst>
        </xdr:cNvPr>
        <xdr:cNvGrpSpPr/>
      </xdr:nvGrpSpPr>
      <xdr:grpSpPr>
        <a:xfrm>
          <a:off x="4072466" y="4492896"/>
          <a:ext cx="2824479" cy="128694"/>
          <a:chOff x="4031826" y="3578013"/>
          <a:chExt cx="2799079" cy="128694"/>
        </a:xfrm>
      </xdr:grpSpPr>
      <xdr:grpSp>
        <xdr:nvGrpSpPr>
          <xdr:cNvPr id="47" name="Gruppo 46">
            <a:extLst>
              <a:ext uri="{FF2B5EF4-FFF2-40B4-BE49-F238E27FC236}">
                <a16:creationId xmlns:a16="http://schemas.microsoft.com/office/drawing/2014/main" id="{BA7E8EC2-3F10-CB06-EAE9-60E437FC44F5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62" name="Elemento grafico 61" descr="Smile di Harvey Ball 0% con riempimento a tinta unita">
              <a:extLst>
                <a:ext uri="{FF2B5EF4-FFF2-40B4-BE49-F238E27FC236}">
                  <a16:creationId xmlns:a16="http://schemas.microsoft.com/office/drawing/2014/main" id="{54AE5306-3EA5-1793-1C0F-D9563A7A41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3" name="Elemento grafico 62" descr="Smile di Harvey Ball 0% con riempimento a tinta unita">
              <a:extLst>
                <a:ext uri="{FF2B5EF4-FFF2-40B4-BE49-F238E27FC236}">
                  <a16:creationId xmlns:a16="http://schemas.microsoft.com/office/drawing/2014/main" id="{E8F2F374-0091-A4A9-178F-2FCBF3B7D2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4" name="Elemento grafico 63" descr="Smile di Harvey Ball 0% con riempimento a tinta unita">
              <a:extLst>
                <a:ext uri="{FF2B5EF4-FFF2-40B4-BE49-F238E27FC236}">
                  <a16:creationId xmlns:a16="http://schemas.microsoft.com/office/drawing/2014/main" id="{7CB2D607-838A-45F8-F5FE-98D73BC226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5" name="Elemento grafico 64" descr="Smile di Harvey Ball 0% con riempimento a tinta unita">
              <a:extLst>
                <a:ext uri="{FF2B5EF4-FFF2-40B4-BE49-F238E27FC236}">
                  <a16:creationId xmlns:a16="http://schemas.microsoft.com/office/drawing/2014/main" id="{8F7BCE40-C976-668D-4DAD-B562C5DB1E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6" name="Elemento grafico 65" descr="Smile di Harvey Ball 0% con riempimento a tinta unita">
              <a:extLst>
                <a:ext uri="{FF2B5EF4-FFF2-40B4-BE49-F238E27FC236}">
                  <a16:creationId xmlns:a16="http://schemas.microsoft.com/office/drawing/2014/main" id="{D0850245-9C64-861E-E74B-D978760021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7" name="Elemento grafico 66" descr="Smile di Harvey Ball 0% con riempimento a tinta unita">
              <a:extLst>
                <a:ext uri="{FF2B5EF4-FFF2-40B4-BE49-F238E27FC236}">
                  <a16:creationId xmlns:a16="http://schemas.microsoft.com/office/drawing/2014/main" id="{9D3D553C-E797-AA8F-40F6-508BDCE0E1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8" name="Gruppo 47">
            <a:extLst>
              <a:ext uri="{FF2B5EF4-FFF2-40B4-BE49-F238E27FC236}">
                <a16:creationId xmlns:a16="http://schemas.microsoft.com/office/drawing/2014/main" id="{E2DD4602-3FDD-2D99-6DD0-D5D24B49B92B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56" name="Elemento grafico 55" descr="Smile di Harvey Ball 0% con riempimento a tinta unita">
              <a:extLst>
                <a:ext uri="{FF2B5EF4-FFF2-40B4-BE49-F238E27FC236}">
                  <a16:creationId xmlns:a16="http://schemas.microsoft.com/office/drawing/2014/main" id="{C18A9F18-552C-C679-4229-310557C8D3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7" name="Elemento grafico 56" descr="Smile di Harvey Ball 0% con riempimento a tinta unita">
              <a:extLst>
                <a:ext uri="{FF2B5EF4-FFF2-40B4-BE49-F238E27FC236}">
                  <a16:creationId xmlns:a16="http://schemas.microsoft.com/office/drawing/2014/main" id="{54BD238E-1306-22FC-6029-635144B647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8" name="Elemento grafico 57" descr="Smile di Harvey Ball 0% con riempimento a tinta unita">
              <a:extLst>
                <a:ext uri="{FF2B5EF4-FFF2-40B4-BE49-F238E27FC236}">
                  <a16:creationId xmlns:a16="http://schemas.microsoft.com/office/drawing/2014/main" id="{FEF55EB1-16C5-4E3E-DFB5-4937BDD19F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9" name="Elemento grafico 58" descr="Smile di Harvey Ball 0% con riempimento a tinta unita">
              <a:extLst>
                <a:ext uri="{FF2B5EF4-FFF2-40B4-BE49-F238E27FC236}">
                  <a16:creationId xmlns:a16="http://schemas.microsoft.com/office/drawing/2014/main" id="{3CFE0F21-511F-7FE4-4156-15003C6833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0" name="Elemento grafico 59" descr="Smile di Harvey Ball 0% con riempimento a tinta unita">
              <a:extLst>
                <a:ext uri="{FF2B5EF4-FFF2-40B4-BE49-F238E27FC236}">
                  <a16:creationId xmlns:a16="http://schemas.microsoft.com/office/drawing/2014/main" id="{6763802E-035B-0705-3733-652407A81A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1" name="Elemento grafico 60" descr="Smile di Harvey Ball 0% con riempimento a tinta unita">
              <a:extLst>
                <a:ext uri="{FF2B5EF4-FFF2-40B4-BE49-F238E27FC236}">
                  <a16:creationId xmlns:a16="http://schemas.microsoft.com/office/drawing/2014/main" id="{59085986-7885-4586-F24F-19D1DEA2D0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9" name="Gruppo 48">
            <a:extLst>
              <a:ext uri="{FF2B5EF4-FFF2-40B4-BE49-F238E27FC236}">
                <a16:creationId xmlns:a16="http://schemas.microsoft.com/office/drawing/2014/main" id="{B1334E7A-791C-8AF7-8770-7BE4A8C41C07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50" name="Elemento grafico 49" descr="Smile di Harvey Ball 0% con riempimento a tinta unita">
              <a:extLst>
                <a:ext uri="{FF2B5EF4-FFF2-40B4-BE49-F238E27FC236}">
                  <a16:creationId xmlns:a16="http://schemas.microsoft.com/office/drawing/2014/main" id="{E5D529B2-EAA2-F77E-D212-60A20D9432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1" name="Elemento grafico 50" descr="Smile di Harvey Ball 0% con riempimento a tinta unita">
              <a:extLst>
                <a:ext uri="{FF2B5EF4-FFF2-40B4-BE49-F238E27FC236}">
                  <a16:creationId xmlns:a16="http://schemas.microsoft.com/office/drawing/2014/main" id="{983112DD-952E-0624-F0FE-994B383E98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2" name="Elemento grafico 51" descr="Smile di Harvey Ball 0% con riempimento a tinta unita">
              <a:extLst>
                <a:ext uri="{FF2B5EF4-FFF2-40B4-BE49-F238E27FC236}">
                  <a16:creationId xmlns:a16="http://schemas.microsoft.com/office/drawing/2014/main" id="{1FB8656E-1807-4313-F1B1-B7D71FF43E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3" name="Elemento grafico 52" descr="Smile di Harvey Ball 0% con riempimento a tinta unita">
              <a:extLst>
                <a:ext uri="{FF2B5EF4-FFF2-40B4-BE49-F238E27FC236}">
                  <a16:creationId xmlns:a16="http://schemas.microsoft.com/office/drawing/2014/main" id="{E3A19B8C-EF87-A902-A321-5A84838487E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4" name="Elemento grafico 53" descr="Smile di Harvey Ball 0% con riempimento a tinta unita">
              <a:extLst>
                <a:ext uri="{FF2B5EF4-FFF2-40B4-BE49-F238E27FC236}">
                  <a16:creationId xmlns:a16="http://schemas.microsoft.com/office/drawing/2014/main" id="{EDF52592-99DF-A93E-1E99-EDB7365499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5" name="Elemento grafico 54" descr="Smile di Harvey Ball 0% con riempimento a tinta unita">
              <a:extLst>
                <a:ext uri="{FF2B5EF4-FFF2-40B4-BE49-F238E27FC236}">
                  <a16:creationId xmlns:a16="http://schemas.microsoft.com/office/drawing/2014/main" id="{331BFF94-9B6B-305C-F09E-162963FB3C7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21</xdr:row>
      <xdr:rowOff>47414</xdr:rowOff>
    </xdr:from>
    <xdr:to>
      <xdr:col>16</xdr:col>
      <xdr:colOff>394545</xdr:colOff>
      <xdr:row>21</xdr:row>
      <xdr:rowOff>176108</xdr:rowOff>
    </xdr:to>
    <xdr:grpSp>
      <xdr:nvGrpSpPr>
        <xdr:cNvPr id="68" name="Gruppo 67">
          <a:extLst>
            <a:ext uri="{FF2B5EF4-FFF2-40B4-BE49-F238E27FC236}">
              <a16:creationId xmlns:a16="http://schemas.microsoft.com/office/drawing/2014/main" id="{AA492F84-669F-464C-BC64-4A0F348C54D8}"/>
            </a:ext>
          </a:extLst>
        </xdr:cNvPr>
        <xdr:cNvGrpSpPr/>
      </xdr:nvGrpSpPr>
      <xdr:grpSpPr>
        <a:xfrm>
          <a:off x="4072466" y="4714664"/>
          <a:ext cx="2824479" cy="128694"/>
          <a:chOff x="4031826" y="3578013"/>
          <a:chExt cx="2799079" cy="128694"/>
        </a:xfrm>
      </xdr:grpSpPr>
      <xdr:grpSp>
        <xdr:nvGrpSpPr>
          <xdr:cNvPr id="69" name="Gruppo 68">
            <a:extLst>
              <a:ext uri="{FF2B5EF4-FFF2-40B4-BE49-F238E27FC236}">
                <a16:creationId xmlns:a16="http://schemas.microsoft.com/office/drawing/2014/main" id="{3771D796-28B6-7E61-C82E-DE7FDFC5D17A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84" name="Elemento grafico 83" descr="Smile di Harvey Ball 0% con riempimento a tinta unita">
              <a:extLst>
                <a:ext uri="{FF2B5EF4-FFF2-40B4-BE49-F238E27FC236}">
                  <a16:creationId xmlns:a16="http://schemas.microsoft.com/office/drawing/2014/main" id="{7B135452-3D8E-D5F2-A0B9-706D955772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5" name="Elemento grafico 84" descr="Smile di Harvey Ball 0% con riempimento a tinta unita">
              <a:extLst>
                <a:ext uri="{FF2B5EF4-FFF2-40B4-BE49-F238E27FC236}">
                  <a16:creationId xmlns:a16="http://schemas.microsoft.com/office/drawing/2014/main" id="{04D6C839-4F5F-8D5A-9166-3919D23E71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6" name="Elemento grafico 85" descr="Smile di Harvey Ball 0% con riempimento a tinta unita">
              <a:extLst>
                <a:ext uri="{FF2B5EF4-FFF2-40B4-BE49-F238E27FC236}">
                  <a16:creationId xmlns:a16="http://schemas.microsoft.com/office/drawing/2014/main" id="{F58684E3-98F2-062F-A61A-595C16E5EF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7" name="Elemento grafico 86" descr="Smile di Harvey Ball 0% con riempimento a tinta unita">
              <a:extLst>
                <a:ext uri="{FF2B5EF4-FFF2-40B4-BE49-F238E27FC236}">
                  <a16:creationId xmlns:a16="http://schemas.microsoft.com/office/drawing/2014/main" id="{D893DA9C-4310-EB66-DD7D-ECB829E7DB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8" name="Elemento grafico 87" descr="Smile di Harvey Ball 0% con riempimento a tinta unita">
              <a:extLst>
                <a:ext uri="{FF2B5EF4-FFF2-40B4-BE49-F238E27FC236}">
                  <a16:creationId xmlns:a16="http://schemas.microsoft.com/office/drawing/2014/main" id="{79B5404B-8E73-B603-14FA-3D492CB34DA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9" name="Elemento grafico 88" descr="Smile di Harvey Ball 0% con riempimento a tinta unita">
              <a:extLst>
                <a:ext uri="{FF2B5EF4-FFF2-40B4-BE49-F238E27FC236}">
                  <a16:creationId xmlns:a16="http://schemas.microsoft.com/office/drawing/2014/main" id="{FC26C120-0571-D66A-055F-186B67D9EB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0" name="Gruppo 69">
            <a:extLst>
              <a:ext uri="{FF2B5EF4-FFF2-40B4-BE49-F238E27FC236}">
                <a16:creationId xmlns:a16="http://schemas.microsoft.com/office/drawing/2014/main" id="{9D4D41EB-2058-F647-5661-6747C33F951C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78" name="Elemento grafico 77" descr="Smile di Harvey Ball 0% con riempimento a tinta unita">
              <a:extLst>
                <a:ext uri="{FF2B5EF4-FFF2-40B4-BE49-F238E27FC236}">
                  <a16:creationId xmlns:a16="http://schemas.microsoft.com/office/drawing/2014/main" id="{64D84E3A-3231-602A-3F73-7178DE580B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9" name="Elemento grafico 78" descr="Smile di Harvey Ball 0% con riempimento a tinta unita">
              <a:extLst>
                <a:ext uri="{FF2B5EF4-FFF2-40B4-BE49-F238E27FC236}">
                  <a16:creationId xmlns:a16="http://schemas.microsoft.com/office/drawing/2014/main" id="{DF6C3C65-DA7B-1D62-448F-8652EDCC17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0" name="Elemento grafico 79" descr="Smile di Harvey Ball 0% con riempimento a tinta unita">
              <a:extLst>
                <a:ext uri="{FF2B5EF4-FFF2-40B4-BE49-F238E27FC236}">
                  <a16:creationId xmlns:a16="http://schemas.microsoft.com/office/drawing/2014/main" id="{D5C9B27B-C828-21E5-662A-CFE3A87599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1" name="Elemento grafico 80" descr="Smile di Harvey Ball 0% con riempimento a tinta unita">
              <a:extLst>
                <a:ext uri="{FF2B5EF4-FFF2-40B4-BE49-F238E27FC236}">
                  <a16:creationId xmlns:a16="http://schemas.microsoft.com/office/drawing/2014/main" id="{97AFAAAC-967A-D8CA-D4F4-1A1639FB733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2" name="Elemento grafico 81" descr="Smile di Harvey Ball 0% con riempimento a tinta unita">
              <a:extLst>
                <a:ext uri="{FF2B5EF4-FFF2-40B4-BE49-F238E27FC236}">
                  <a16:creationId xmlns:a16="http://schemas.microsoft.com/office/drawing/2014/main" id="{536FA41B-E709-17F4-6E72-00A99A91CD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3" name="Elemento grafico 82" descr="Smile di Harvey Ball 0% con riempimento a tinta unita">
              <a:extLst>
                <a:ext uri="{FF2B5EF4-FFF2-40B4-BE49-F238E27FC236}">
                  <a16:creationId xmlns:a16="http://schemas.microsoft.com/office/drawing/2014/main" id="{9A88D118-593F-5D67-E3E7-77A2B4C4A71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1" name="Gruppo 70">
            <a:extLst>
              <a:ext uri="{FF2B5EF4-FFF2-40B4-BE49-F238E27FC236}">
                <a16:creationId xmlns:a16="http://schemas.microsoft.com/office/drawing/2014/main" id="{C4BE2A44-B6B1-0296-5AB2-D141F0378142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72" name="Elemento grafico 71" descr="Smile di Harvey Ball 0% con riempimento a tinta unita">
              <a:extLst>
                <a:ext uri="{FF2B5EF4-FFF2-40B4-BE49-F238E27FC236}">
                  <a16:creationId xmlns:a16="http://schemas.microsoft.com/office/drawing/2014/main" id="{9CC14943-BCAA-73B6-2900-C02FB671A9D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3" name="Elemento grafico 72" descr="Smile di Harvey Ball 0% con riempimento a tinta unita">
              <a:extLst>
                <a:ext uri="{FF2B5EF4-FFF2-40B4-BE49-F238E27FC236}">
                  <a16:creationId xmlns:a16="http://schemas.microsoft.com/office/drawing/2014/main" id="{478DBB84-EAD7-D3CA-DA56-68B1D3B98FE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4" name="Elemento grafico 73" descr="Smile di Harvey Ball 0% con riempimento a tinta unita">
              <a:extLst>
                <a:ext uri="{FF2B5EF4-FFF2-40B4-BE49-F238E27FC236}">
                  <a16:creationId xmlns:a16="http://schemas.microsoft.com/office/drawing/2014/main" id="{900996DF-C336-7C9F-3D21-2FAA899FF4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5" name="Elemento grafico 74" descr="Smile di Harvey Ball 0% con riempimento a tinta unita">
              <a:extLst>
                <a:ext uri="{FF2B5EF4-FFF2-40B4-BE49-F238E27FC236}">
                  <a16:creationId xmlns:a16="http://schemas.microsoft.com/office/drawing/2014/main" id="{744E72BB-B1E9-F8F8-FE78-3B786F7BBE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6" name="Elemento grafico 75" descr="Smile di Harvey Ball 0% con riempimento a tinta unita">
              <a:extLst>
                <a:ext uri="{FF2B5EF4-FFF2-40B4-BE49-F238E27FC236}">
                  <a16:creationId xmlns:a16="http://schemas.microsoft.com/office/drawing/2014/main" id="{4C9E96EC-02A7-28FE-B14A-43A5567508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7" name="Elemento grafico 76" descr="Smile di Harvey Ball 0% con riempimento a tinta unita">
              <a:extLst>
                <a:ext uri="{FF2B5EF4-FFF2-40B4-BE49-F238E27FC236}">
                  <a16:creationId xmlns:a16="http://schemas.microsoft.com/office/drawing/2014/main" id="{3B0B6BDC-B395-19A4-C9A2-6ABFB0CBA97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18</xdr:row>
      <xdr:rowOff>48863</xdr:rowOff>
    </xdr:from>
    <xdr:to>
      <xdr:col>16</xdr:col>
      <xdr:colOff>394545</xdr:colOff>
      <xdr:row>18</xdr:row>
      <xdr:rowOff>177557</xdr:rowOff>
    </xdr:to>
    <xdr:grpSp>
      <xdr:nvGrpSpPr>
        <xdr:cNvPr id="90" name="Gruppo 89">
          <a:extLst>
            <a:ext uri="{FF2B5EF4-FFF2-40B4-BE49-F238E27FC236}">
              <a16:creationId xmlns:a16="http://schemas.microsoft.com/office/drawing/2014/main" id="{C06A7345-2F83-4F60-A4C7-541F4559DEBB}"/>
            </a:ext>
          </a:extLst>
        </xdr:cNvPr>
        <xdr:cNvGrpSpPr/>
      </xdr:nvGrpSpPr>
      <xdr:grpSpPr>
        <a:xfrm>
          <a:off x="4072466" y="4049363"/>
          <a:ext cx="2824479" cy="128694"/>
          <a:chOff x="4031826" y="3578013"/>
          <a:chExt cx="2799079" cy="128694"/>
        </a:xfrm>
      </xdr:grpSpPr>
      <xdr:grpSp>
        <xdr:nvGrpSpPr>
          <xdr:cNvPr id="91" name="Gruppo 90">
            <a:extLst>
              <a:ext uri="{FF2B5EF4-FFF2-40B4-BE49-F238E27FC236}">
                <a16:creationId xmlns:a16="http://schemas.microsoft.com/office/drawing/2014/main" id="{11F245CC-BD8F-97D5-4FE3-9108E36BC450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06" name="Elemento grafico 105" descr="Smile di Harvey Ball 0% con riempimento a tinta unita">
              <a:extLst>
                <a:ext uri="{FF2B5EF4-FFF2-40B4-BE49-F238E27FC236}">
                  <a16:creationId xmlns:a16="http://schemas.microsoft.com/office/drawing/2014/main" id="{D4287335-19A0-1F8D-47FE-AC7F99B12EF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7" name="Elemento grafico 106" descr="Smile di Harvey Ball 0% con riempimento a tinta unita">
              <a:extLst>
                <a:ext uri="{FF2B5EF4-FFF2-40B4-BE49-F238E27FC236}">
                  <a16:creationId xmlns:a16="http://schemas.microsoft.com/office/drawing/2014/main" id="{FF448C6D-E049-8A4E-7CF7-E095544D2C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8" name="Elemento grafico 107" descr="Smile di Harvey Ball 0% con riempimento a tinta unita">
              <a:extLst>
                <a:ext uri="{FF2B5EF4-FFF2-40B4-BE49-F238E27FC236}">
                  <a16:creationId xmlns:a16="http://schemas.microsoft.com/office/drawing/2014/main" id="{506E6CAF-1DB5-3E41-3ABA-9B5C76E26BC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9" name="Elemento grafico 108" descr="Smile di Harvey Ball 0% con riempimento a tinta unita">
              <a:extLst>
                <a:ext uri="{FF2B5EF4-FFF2-40B4-BE49-F238E27FC236}">
                  <a16:creationId xmlns:a16="http://schemas.microsoft.com/office/drawing/2014/main" id="{0130B825-7108-B5BD-8503-094691B5C6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0" name="Elemento grafico 109" descr="Smile di Harvey Ball 0% con riempimento a tinta unita">
              <a:extLst>
                <a:ext uri="{FF2B5EF4-FFF2-40B4-BE49-F238E27FC236}">
                  <a16:creationId xmlns:a16="http://schemas.microsoft.com/office/drawing/2014/main" id="{3ED817F4-6739-B696-7044-A189EE4DBF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1" name="Elemento grafico 110" descr="Smile di Harvey Ball 0% con riempimento a tinta unita">
              <a:extLst>
                <a:ext uri="{FF2B5EF4-FFF2-40B4-BE49-F238E27FC236}">
                  <a16:creationId xmlns:a16="http://schemas.microsoft.com/office/drawing/2014/main" id="{D25DAB38-3468-F243-1DF2-442BF93242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2" name="Gruppo 91">
            <a:extLst>
              <a:ext uri="{FF2B5EF4-FFF2-40B4-BE49-F238E27FC236}">
                <a16:creationId xmlns:a16="http://schemas.microsoft.com/office/drawing/2014/main" id="{61D758F5-015E-F0E6-646E-406FFA6A51C9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00" name="Elemento grafico 99" descr="Smile di Harvey Ball 0% con riempimento a tinta unita">
              <a:extLst>
                <a:ext uri="{FF2B5EF4-FFF2-40B4-BE49-F238E27FC236}">
                  <a16:creationId xmlns:a16="http://schemas.microsoft.com/office/drawing/2014/main" id="{0822839D-B224-005E-DE1F-E41686E906E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1" name="Elemento grafico 100" descr="Smile di Harvey Ball 0% con riempimento a tinta unita">
              <a:extLst>
                <a:ext uri="{FF2B5EF4-FFF2-40B4-BE49-F238E27FC236}">
                  <a16:creationId xmlns:a16="http://schemas.microsoft.com/office/drawing/2014/main" id="{EE6AB33E-6327-5D7F-C144-9064882673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2" name="Elemento grafico 101" descr="Smile di Harvey Ball 0% con riempimento a tinta unita">
              <a:extLst>
                <a:ext uri="{FF2B5EF4-FFF2-40B4-BE49-F238E27FC236}">
                  <a16:creationId xmlns:a16="http://schemas.microsoft.com/office/drawing/2014/main" id="{B0F1C3A4-61DD-6EF3-1E29-2B0E4C38AA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3" name="Elemento grafico 102" descr="Smile di Harvey Ball 0% con riempimento a tinta unita">
              <a:extLst>
                <a:ext uri="{FF2B5EF4-FFF2-40B4-BE49-F238E27FC236}">
                  <a16:creationId xmlns:a16="http://schemas.microsoft.com/office/drawing/2014/main" id="{A2D3FD0A-1F4C-AEA0-9B59-6D6DA3A8B19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4" name="Elemento grafico 103" descr="Smile di Harvey Ball 0% con riempimento a tinta unita">
              <a:extLst>
                <a:ext uri="{FF2B5EF4-FFF2-40B4-BE49-F238E27FC236}">
                  <a16:creationId xmlns:a16="http://schemas.microsoft.com/office/drawing/2014/main" id="{9C02E4AB-7813-5A52-4339-76B9C30CD4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5" name="Elemento grafico 104" descr="Smile di Harvey Ball 0% con riempimento a tinta unita">
              <a:extLst>
                <a:ext uri="{FF2B5EF4-FFF2-40B4-BE49-F238E27FC236}">
                  <a16:creationId xmlns:a16="http://schemas.microsoft.com/office/drawing/2014/main" id="{1C83D350-C0DF-79D3-E734-59267B040F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3" name="Gruppo 92">
            <a:extLst>
              <a:ext uri="{FF2B5EF4-FFF2-40B4-BE49-F238E27FC236}">
                <a16:creationId xmlns:a16="http://schemas.microsoft.com/office/drawing/2014/main" id="{A5E54B68-8560-EDD5-9208-5DC06CBD6D2B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94" name="Elemento grafico 93" descr="Smile di Harvey Ball 0% con riempimento a tinta unita">
              <a:extLst>
                <a:ext uri="{FF2B5EF4-FFF2-40B4-BE49-F238E27FC236}">
                  <a16:creationId xmlns:a16="http://schemas.microsoft.com/office/drawing/2014/main" id="{672E3F24-756A-8FB9-84D7-D8AA5D18545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5" name="Elemento grafico 94" descr="Smile di Harvey Ball 0% con riempimento a tinta unita">
              <a:extLst>
                <a:ext uri="{FF2B5EF4-FFF2-40B4-BE49-F238E27FC236}">
                  <a16:creationId xmlns:a16="http://schemas.microsoft.com/office/drawing/2014/main" id="{CF973577-AB32-D57C-95DE-0E00FF2583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6" name="Elemento grafico 95" descr="Smile di Harvey Ball 0% con riempimento a tinta unita">
              <a:extLst>
                <a:ext uri="{FF2B5EF4-FFF2-40B4-BE49-F238E27FC236}">
                  <a16:creationId xmlns:a16="http://schemas.microsoft.com/office/drawing/2014/main" id="{2456E06C-A307-D47A-8898-04CB7FDB20F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7" name="Elemento grafico 96" descr="Smile di Harvey Ball 0% con riempimento a tinta unita">
              <a:extLst>
                <a:ext uri="{FF2B5EF4-FFF2-40B4-BE49-F238E27FC236}">
                  <a16:creationId xmlns:a16="http://schemas.microsoft.com/office/drawing/2014/main" id="{FFC002E9-195D-D206-1F9B-3FAE1A59B4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8" name="Elemento grafico 97" descr="Smile di Harvey Ball 0% con riempimento a tinta unita">
              <a:extLst>
                <a:ext uri="{FF2B5EF4-FFF2-40B4-BE49-F238E27FC236}">
                  <a16:creationId xmlns:a16="http://schemas.microsoft.com/office/drawing/2014/main" id="{F68E0B38-37E4-A7A3-61C1-993DC65347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9" name="Elemento grafico 98" descr="Smile di Harvey Ball 0% con riempimento a tinta unita">
              <a:extLst>
                <a:ext uri="{FF2B5EF4-FFF2-40B4-BE49-F238E27FC236}">
                  <a16:creationId xmlns:a16="http://schemas.microsoft.com/office/drawing/2014/main" id="{197D9835-B75B-05BB-D2C0-F1EE6138A9C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19</xdr:row>
      <xdr:rowOff>48380</xdr:rowOff>
    </xdr:from>
    <xdr:to>
      <xdr:col>16</xdr:col>
      <xdr:colOff>394545</xdr:colOff>
      <xdr:row>19</xdr:row>
      <xdr:rowOff>177074</xdr:rowOff>
    </xdr:to>
    <xdr:grpSp>
      <xdr:nvGrpSpPr>
        <xdr:cNvPr id="112" name="Gruppo 111">
          <a:extLst>
            <a:ext uri="{FF2B5EF4-FFF2-40B4-BE49-F238E27FC236}">
              <a16:creationId xmlns:a16="http://schemas.microsoft.com/office/drawing/2014/main" id="{23A7B3F4-13AB-42F5-933A-3B06B3059F0C}"/>
            </a:ext>
          </a:extLst>
        </xdr:cNvPr>
        <xdr:cNvGrpSpPr/>
      </xdr:nvGrpSpPr>
      <xdr:grpSpPr>
        <a:xfrm>
          <a:off x="4072466" y="4271130"/>
          <a:ext cx="2824479" cy="128694"/>
          <a:chOff x="4031826" y="3578013"/>
          <a:chExt cx="2799079" cy="128694"/>
        </a:xfrm>
      </xdr:grpSpPr>
      <xdr:grpSp>
        <xdr:nvGrpSpPr>
          <xdr:cNvPr id="113" name="Gruppo 112">
            <a:extLst>
              <a:ext uri="{FF2B5EF4-FFF2-40B4-BE49-F238E27FC236}">
                <a16:creationId xmlns:a16="http://schemas.microsoft.com/office/drawing/2014/main" id="{DE487F28-12EA-AD01-27F1-EFFDEF9482B7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28" name="Elemento grafico 127" descr="Smile di Harvey Ball 0% con riempimento a tinta unita">
              <a:extLst>
                <a:ext uri="{FF2B5EF4-FFF2-40B4-BE49-F238E27FC236}">
                  <a16:creationId xmlns:a16="http://schemas.microsoft.com/office/drawing/2014/main" id="{95294AE8-8DCF-D05D-45D5-46386064E8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9" name="Elemento grafico 128" descr="Smile di Harvey Ball 0% con riempimento a tinta unita">
              <a:extLst>
                <a:ext uri="{FF2B5EF4-FFF2-40B4-BE49-F238E27FC236}">
                  <a16:creationId xmlns:a16="http://schemas.microsoft.com/office/drawing/2014/main" id="{E83F802A-8B3E-8FDA-3763-E5E7261A94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0" name="Elemento grafico 129" descr="Smile di Harvey Ball 0% con riempimento a tinta unita">
              <a:extLst>
                <a:ext uri="{FF2B5EF4-FFF2-40B4-BE49-F238E27FC236}">
                  <a16:creationId xmlns:a16="http://schemas.microsoft.com/office/drawing/2014/main" id="{2E4B8F79-6E0C-4FCE-C029-A2F1F5E36F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1" name="Elemento grafico 130" descr="Smile di Harvey Ball 0% con riempimento a tinta unita">
              <a:extLst>
                <a:ext uri="{FF2B5EF4-FFF2-40B4-BE49-F238E27FC236}">
                  <a16:creationId xmlns:a16="http://schemas.microsoft.com/office/drawing/2014/main" id="{FAC9FF88-2FCD-9CF9-11D1-505A1FA4725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2" name="Elemento grafico 131" descr="Smile di Harvey Ball 0% con riempimento a tinta unita">
              <a:extLst>
                <a:ext uri="{FF2B5EF4-FFF2-40B4-BE49-F238E27FC236}">
                  <a16:creationId xmlns:a16="http://schemas.microsoft.com/office/drawing/2014/main" id="{06FFBB0D-B094-4C98-1CD2-12C102180B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3" name="Elemento grafico 132" descr="Smile di Harvey Ball 0% con riempimento a tinta unita">
              <a:extLst>
                <a:ext uri="{FF2B5EF4-FFF2-40B4-BE49-F238E27FC236}">
                  <a16:creationId xmlns:a16="http://schemas.microsoft.com/office/drawing/2014/main" id="{969B5EA1-B0E4-693A-57D9-7B7AF04FF7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4" name="Gruppo 113">
            <a:extLst>
              <a:ext uri="{FF2B5EF4-FFF2-40B4-BE49-F238E27FC236}">
                <a16:creationId xmlns:a16="http://schemas.microsoft.com/office/drawing/2014/main" id="{B41DB08D-025E-EA52-4EB2-04E0DA0A9FD8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2" name="Elemento grafico 121" descr="Smile di Harvey Ball 0% con riempimento a tinta unita">
              <a:extLst>
                <a:ext uri="{FF2B5EF4-FFF2-40B4-BE49-F238E27FC236}">
                  <a16:creationId xmlns:a16="http://schemas.microsoft.com/office/drawing/2014/main" id="{75FEFBAA-C3E9-FA14-4FDF-16C95B5DC6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3" name="Elemento grafico 122" descr="Smile di Harvey Ball 0% con riempimento a tinta unita">
              <a:extLst>
                <a:ext uri="{FF2B5EF4-FFF2-40B4-BE49-F238E27FC236}">
                  <a16:creationId xmlns:a16="http://schemas.microsoft.com/office/drawing/2014/main" id="{9A3A191D-1175-F4F5-FCBC-8F3F140DAD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4" name="Elemento grafico 123" descr="Smile di Harvey Ball 0% con riempimento a tinta unita">
              <a:extLst>
                <a:ext uri="{FF2B5EF4-FFF2-40B4-BE49-F238E27FC236}">
                  <a16:creationId xmlns:a16="http://schemas.microsoft.com/office/drawing/2014/main" id="{2F7753AE-E8E2-E485-EC3F-90776F980CD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5" name="Elemento grafico 124" descr="Smile di Harvey Ball 0% con riempimento a tinta unita">
              <a:extLst>
                <a:ext uri="{FF2B5EF4-FFF2-40B4-BE49-F238E27FC236}">
                  <a16:creationId xmlns:a16="http://schemas.microsoft.com/office/drawing/2014/main" id="{21A28882-2EEF-076B-8C01-8958AD0D08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6" name="Elemento grafico 125" descr="Smile di Harvey Ball 0% con riempimento a tinta unita">
              <a:extLst>
                <a:ext uri="{FF2B5EF4-FFF2-40B4-BE49-F238E27FC236}">
                  <a16:creationId xmlns:a16="http://schemas.microsoft.com/office/drawing/2014/main" id="{5F11F1D6-D79E-B2CD-ADEB-C025A31132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7" name="Elemento grafico 126" descr="Smile di Harvey Ball 0% con riempimento a tinta unita">
              <a:extLst>
                <a:ext uri="{FF2B5EF4-FFF2-40B4-BE49-F238E27FC236}">
                  <a16:creationId xmlns:a16="http://schemas.microsoft.com/office/drawing/2014/main" id="{A5EEDFF6-2100-50B2-6B6C-72EC1ED313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5" name="Gruppo 114">
            <a:extLst>
              <a:ext uri="{FF2B5EF4-FFF2-40B4-BE49-F238E27FC236}">
                <a16:creationId xmlns:a16="http://schemas.microsoft.com/office/drawing/2014/main" id="{F0C0CFDD-B4F2-1BD9-C943-4B5D9D71A4DC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16" name="Elemento grafico 115" descr="Smile di Harvey Ball 0% con riempimento a tinta unita">
              <a:extLst>
                <a:ext uri="{FF2B5EF4-FFF2-40B4-BE49-F238E27FC236}">
                  <a16:creationId xmlns:a16="http://schemas.microsoft.com/office/drawing/2014/main" id="{EA709DB4-C18D-8756-9C8E-A1D2E544FE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7" name="Elemento grafico 116" descr="Smile di Harvey Ball 0% con riempimento a tinta unita">
              <a:extLst>
                <a:ext uri="{FF2B5EF4-FFF2-40B4-BE49-F238E27FC236}">
                  <a16:creationId xmlns:a16="http://schemas.microsoft.com/office/drawing/2014/main" id="{BF1B797D-327B-03BB-ABAD-F564217C19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8" name="Elemento grafico 117" descr="Smile di Harvey Ball 0% con riempimento a tinta unita">
              <a:extLst>
                <a:ext uri="{FF2B5EF4-FFF2-40B4-BE49-F238E27FC236}">
                  <a16:creationId xmlns:a16="http://schemas.microsoft.com/office/drawing/2014/main" id="{89D4720B-EA9C-E1CC-D8A7-B02C1C1E59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9" name="Elemento grafico 118" descr="Smile di Harvey Ball 0% con riempimento a tinta unita">
              <a:extLst>
                <a:ext uri="{FF2B5EF4-FFF2-40B4-BE49-F238E27FC236}">
                  <a16:creationId xmlns:a16="http://schemas.microsoft.com/office/drawing/2014/main" id="{D42C8B51-CCC2-05A9-FF0E-707F425007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0" name="Elemento grafico 119" descr="Smile di Harvey Ball 0% con riempimento a tinta unita">
              <a:extLst>
                <a:ext uri="{FF2B5EF4-FFF2-40B4-BE49-F238E27FC236}">
                  <a16:creationId xmlns:a16="http://schemas.microsoft.com/office/drawing/2014/main" id="{C96DA569-92ED-588F-05DE-0A00F527B6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1" name="Elemento grafico 120" descr="Smile di Harvey Ball 0% con riempimento a tinta unita">
              <a:extLst>
                <a:ext uri="{FF2B5EF4-FFF2-40B4-BE49-F238E27FC236}">
                  <a16:creationId xmlns:a16="http://schemas.microsoft.com/office/drawing/2014/main" id="{F5F828D7-DEAA-1B84-6FC6-06EDB6100F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15</xdr:row>
      <xdr:rowOff>50313</xdr:rowOff>
    </xdr:from>
    <xdr:to>
      <xdr:col>16</xdr:col>
      <xdr:colOff>394545</xdr:colOff>
      <xdr:row>15</xdr:row>
      <xdr:rowOff>179007</xdr:rowOff>
    </xdr:to>
    <xdr:grpSp>
      <xdr:nvGrpSpPr>
        <xdr:cNvPr id="134" name="Gruppo 133">
          <a:extLst>
            <a:ext uri="{FF2B5EF4-FFF2-40B4-BE49-F238E27FC236}">
              <a16:creationId xmlns:a16="http://schemas.microsoft.com/office/drawing/2014/main" id="{6FAC7ACE-DDA3-46BF-8C5C-8D233E7E5B22}"/>
            </a:ext>
          </a:extLst>
        </xdr:cNvPr>
        <xdr:cNvGrpSpPr/>
      </xdr:nvGrpSpPr>
      <xdr:grpSpPr>
        <a:xfrm>
          <a:off x="4072466" y="3384063"/>
          <a:ext cx="2824479" cy="128694"/>
          <a:chOff x="4031826" y="3578013"/>
          <a:chExt cx="2799079" cy="128694"/>
        </a:xfrm>
      </xdr:grpSpPr>
      <xdr:grpSp>
        <xdr:nvGrpSpPr>
          <xdr:cNvPr id="135" name="Gruppo 134">
            <a:extLst>
              <a:ext uri="{FF2B5EF4-FFF2-40B4-BE49-F238E27FC236}">
                <a16:creationId xmlns:a16="http://schemas.microsoft.com/office/drawing/2014/main" id="{870D961F-6E7F-1DBD-0CEE-EF267526B651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50" name="Elemento grafico 149" descr="Smile di Harvey Ball 0% con riempimento a tinta unita">
              <a:extLst>
                <a:ext uri="{FF2B5EF4-FFF2-40B4-BE49-F238E27FC236}">
                  <a16:creationId xmlns:a16="http://schemas.microsoft.com/office/drawing/2014/main" id="{26035AE9-1867-EAFB-59D5-A396CB31691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1" name="Elemento grafico 150" descr="Smile di Harvey Ball 0% con riempimento a tinta unita">
              <a:extLst>
                <a:ext uri="{FF2B5EF4-FFF2-40B4-BE49-F238E27FC236}">
                  <a16:creationId xmlns:a16="http://schemas.microsoft.com/office/drawing/2014/main" id="{4E6B2ED6-806A-6A8F-04A2-82EA6AC5C4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2" name="Elemento grafico 151" descr="Smile di Harvey Ball 0% con riempimento a tinta unita">
              <a:extLst>
                <a:ext uri="{FF2B5EF4-FFF2-40B4-BE49-F238E27FC236}">
                  <a16:creationId xmlns:a16="http://schemas.microsoft.com/office/drawing/2014/main" id="{3D61516C-AD9C-8B6C-4962-DFDB34B487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3" name="Elemento grafico 152" descr="Smile di Harvey Ball 0% con riempimento a tinta unita">
              <a:extLst>
                <a:ext uri="{FF2B5EF4-FFF2-40B4-BE49-F238E27FC236}">
                  <a16:creationId xmlns:a16="http://schemas.microsoft.com/office/drawing/2014/main" id="{1916BD91-1F6F-CA3C-AFFE-22FE1FBC5D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4" name="Elemento grafico 153" descr="Smile di Harvey Ball 0% con riempimento a tinta unita">
              <a:extLst>
                <a:ext uri="{FF2B5EF4-FFF2-40B4-BE49-F238E27FC236}">
                  <a16:creationId xmlns:a16="http://schemas.microsoft.com/office/drawing/2014/main" id="{7B44F65E-C9FC-D7C2-E7E6-656F07B916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5" name="Elemento grafico 154" descr="Smile di Harvey Ball 0% con riempimento a tinta unita">
              <a:extLst>
                <a:ext uri="{FF2B5EF4-FFF2-40B4-BE49-F238E27FC236}">
                  <a16:creationId xmlns:a16="http://schemas.microsoft.com/office/drawing/2014/main" id="{F8E23D7A-C560-7201-3F21-E00C26974A1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6" name="Gruppo 135">
            <a:extLst>
              <a:ext uri="{FF2B5EF4-FFF2-40B4-BE49-F238E27FC236}">
                <a16:creationId xmlns:a16="http://schemas.microsoft.com/office/drawing/2014/main" id="{E92727E0-C596-9847-629D-2D7F4510BD72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44" name="Elemento grafico 143" descr="Smile di Harvey Ball 0% con riempimento a tinta unita">
              <a:extLst>
                <a:ext uri="{FF2B5EF4-FFF2-40B4-BE49-F238E27FC236}">
                  <a16:creationId xmlns:a16="http://schemas.microsoft.com/office/drawing/2014/main" id="{A8FEA54D-E15D-A7E3-1929-EF28C64A8D7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5" name="Elemento grafico 144" descr="Smile di Harvey Ball 0% con riempimento a tinta unita">
              <a:extLst>
                <a:ext uri="{FF2B5EF4-FFF2-40B4-BE49-F238E27FC236}">
                  <a16:creationId xmlns:a16="http://schemas.microsoft.com/office/drawing/2014/main" id="{9AF83552-3BA9-1300-BF2D-41EA411FBC2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6" name="Elemento grafico 145" descr="Smile di Harvey Ball 0% con riempimento a tinta unita">
              <a:extLst>
                <a:ext uri="{FF2B5EF4-FFF2-40B4-BE49-F238E27FC236}">
                  <a16:creationId xmlns:a16="http://schemas.microsoft.com/office/drawing/2014/main" id="{7DCF4B09-3FF3-91C1-8368-129CE3AB77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7" name="Elemento grafico 146" descr="Smile di Harvey Ball 0% con riempimento a tinta unita">
              <a:extLst>
                <a:ext uri="{FF2B5EF4-FFF2-40B4-BE49-F238E27FC236}">
                  <a16:creationId xmlns:a16="http://schemas.microsoft.com/office/drawing/2014/main" id="{D59B2E10-DB21-8045-B9B8-BE672AE721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8" name="Elemento grafico 147" descr="Smile di Harvey Ball 0% con riempimento a tinta unita">
              <a:extLst>
                <a:ext uri="{FF2B5EF4-FFF2-40B4-BE49-F238E27FC236}">
                  <a16:creationId xmlns:a16="http://schemas.microsoft.com/office/drawing/2014/main" id="{744A6990-971C-79FB-47EF-A8FFCF5AD9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9" name="Elemento grafico 148" descr="Smile di Harvey Ball 0% con riempimento a tinta unita">
              <a:extLst>
                <a:ext uri="{FF2B5EF4-FFF2-40B4-BE49-F238E27FC236}">
                  <a16:creationId xmlns:a16="http://schemas.microsoft.com/office/drawing/2014/main" id="{6EE2B90D-9528-D642-6F6A-9E23DD42F7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7" name="Gruppo 136">
            <a:extLst>
              <a:ext uri="{FF2B5EF4-FFF2-40B4-BE49-F238E27FC236}">
                <a16:creationId xmlns:a16="http://schemas.microsoft.com/office/drawing/2014/main" id="{2D64A1A1-731F-96B3-0C71-470203F28B3A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38" name="Elemento grafico 137" descr="Smile di Harvey Ball 0% con riempimento a tinta unita">
              <a:extLst>
                <a:ext uri="{FF2B5EF4-FFF2-40B4-BE49-F238E27FC236}">
                  <a16:creationId xmlns:a16="http://schemas.microsoft.com/office/drawing/2014/main" id="{B71A831B-21B7-7392-FDDB-855F1AD4EB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9" name="Elemento grafico 138" descr="Smile di Harvey Ball 0% con riempimento a tinta unita">
              <a:extLst>
                <a:ext uri="{FF2B5EF4-FFF2-40B4-BE49-F238E27FC236}">
                  <a16:creationId xmlns:a16="http://schemas.microsoft.com/office/drawing/2014/main" id="{88139C48-F1DA-6D92-3DED-692E965856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0" name="Elemento grafico 139" descr="Smile di Harvey Ball 0% con riempimento a tinta unita">
              <a:extLst>
                <a:ext uri="{FF2B5EF4-FFF2-40B4-BE49-F238E27FC236}">
                  <a16:creationId xmlns:a16="http://schemas.microsoft.com/office/drawing/2014/main" id="{3B8D135F-10B3-720B-AF1A-2D8B96CF27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1" name="Elemento grafico 140" descr="Smile di Harvey Ball 0% con riempimento a tinta unita">
              <a:extLst>
                <a:ext uri="{FF2B5EF4-FFF2-40B4-BE49-F238E27FC236}">
                  <a16:creationId xmlns:a16="http://schemas.microsoft.com/office/drawing/2014/main" id="{7EE1D425-1D51-E24D-B4D7-3555A2ADE9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2" name="Elemento grafico 141" descr="Smile di Harvey Ball 0% con riempimento a tinta unita">
              <a:extLst>
                <a:ext uri="{FF2B5EF4-FFF2-40B4-BE49-F238E27FC236}">
                  <a16:creationId xmlns:a16="http://schemas.microsoft.com/office/drawing/2014/main" id="{17F0A545-4255-C254-4540-ADFDCA9FD15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3" name="Elemento grafico 142" descr="Smile di Harvey Ball 0% con riempimento a tinta unita">
              <a:extLst>
                <a:ext uri="{FF2B5EF4-FFF2-40B4-BE49-F238E27FC236}">
                  <a16:creationId xmlns:a16="http://schemas.microsoft.com/office/drawing/2014/main" id="{3B62CB62-2431-F1C3-CCE1-D1CE9AF982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14</xdr:row>
      <xdr:rowOff>50796</xdr:rowOff>
    </xdr:from>
    <xdr:to>
      <xdr:col>16</xdr:col>
      <xdr:colOff>394545</xdr:colOff>
      <xdr:row>14</xdr:row>
      <xdr:rowOff>179490</xdr:rowOff>
    </xdr:to>
    <xdr:grpSp>
      <xdr:nvGrpSpPr>
        <xdr:cNvPr id="156" name="Gruppo 155">
          <a:extLst>
            <a:ext uri="{FF2B5EF4-FFF2-40B4-BE49-F238E27FC236}">
              <a16:creationId xmlns:a16="http://schemas.microsoft.com/office/drawing/2014/main" id="{21A1ADC5-3665-4ADA-90C9-57C82B3D45F2}"/>
            </a:ext>
          </a:extLst>
        </xdr:cNvPr>
        <xdr:cNvGrpSpPr/>
      </xdr:nvGrpSpPr>
      <xdr:grpSpPr>
        <a:xfrm>
          <a:off x="4072466" y="3162296"/>
          <a:ext cx="2824479" cy="128694"/>
          <a:chOff x="4031826" y="3578013"/>
          <a:chExt cx="2799079" cy="128694"/>
        </a:xfrm>
      </xdr:grpSpPr>
      <xdr:grpSp>
        <xdr:nvGrpSpPr>
          <xdr:cNvPr id="157" name="Gruppo 156">
            <a:extLst>
              <a:ext uri="{FF2B5EF4-FFF2-40B4-BE49-F238E27FC236}">
                <a16:creationId xmlns:a16="http://schemas.microsoft.com/office/drawing/2014/main" id="{782488EE-07C5-680C-EA3A-197F25E739BD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72" name="Elemento grafico 171" descr="Smile di Harvey Ball 0% con riempimento a tinta unita">
              <a:extLst>
                <a:ext uri="{FF2B5EF4-FFF2-40B4-BE49-F238E27FC236}">
                  <a16:creationId xmlns:a16="http://schemas.microsoft.com/office/drawing/2014/main" id="{DEA0EC15-5B4C-61B6-369D-ACC17C59C3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3" name="Elemento grafico 172" descr="Smile di Harvey Ball 0% con riempimento a tinta unita">
              <a:extLst>
                <a:ext uri="{FF2B5EF4-FFF2-40B4-BE49-F238E27FC236}">
                  <a16:creationId xmlns:a16="http://schemas.microsoft.com/office/drawing/2014/main" id="{C36EEBD6-B35A-5C2A-6371-F91C1B2175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4" name="Elemento grafico 173" descr="Smile di Harvey Ball 0% con riempimento a tinta unita">
              <a:extLst>
                <a:ext uri="{FF2B5EF4-FFF2-40B4-BE49-F238E27FC236}">
                  <a16:creationId xmlns:a16="http://schemas.microsoft.com/office/drawing/2014/main" id="{BB9DAE34-8BA7-2FD9-B55F-E212FA199E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5" name="Elemento grafico 174" descr="Smile di Harvey Ball 0% con riempimento a tinta unita">
              <a:extLst>
                <a:ext uri="{FF2B5EF4-FFF2-40B4-BE49-F238E27FC236}">
                  <a16:creationId xmlns:a16="http://schemas.microsoft.com/office/drawing/2014/main" id="{C15A3A4A-FC47-EAAE-FD28-A4CBD54DC9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6" name="Elemento grafico 175" descr="Smile di Harvey Ball 0% con riempimento a tinta unita">
              <a:extLst>
                <a:ext uri="{FF2B5EF4-FFF2-40B4-BE49-F238E27FC236}">
                  <a16:creationId xmlns:a16="http://schemas.microsoft.com/office/drawing/2014/main" id="{20307FC3-502D-F57D-7676-34242C14342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7" name="Elemento grafico 176" descr="Smile di Harvey Ball 0% con riempimento a tinta unita">
              <a:extLst>
                <a:ext uri="{FF2B5EF4-FFF2-40B4-BE49-F238E27FC236}">
                  <a16:creationId xmlns:a16="http://schemas.microsoft.com/office/drawing/2014/main" id="{33CF75A9-94C4-B075-4329-07F4CEA24D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8" name="Gruppo 157">
            <a:extLst>
              <a:ext uri="{FF2B5EF4-FFF2-40B4-BE49-F238E27FC236}">
                <a16:creationId xmlns:a16="http://schemas.microsoft.com/office/drawing/2014/main" id="{82E1123A-CBC7-6E7F-4457-49B3B2199919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66" name="Elemento grafico 165" descr="Smile di Harvey Ball 0% con riempimento a tinta unita">
              <a:extLst>
                <a:ext uri="{FF2B5EF4-FFF2-40B4-BE49-F238E27FC236}">
                  <a16:creationId xmlns:a16="http://schemas.microsoft.com/office/drawing/2014/main" id="{F0C9C2E6-FF27-2224-EB00-D97D7807181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7" name="Elemento grafico 166" descr="Smile di Harvey Ball 0% con riempimento a tinta unita">
              <a:extLst>
                <a:ext uri="{FF2B5EF4-FFF2-40B4-BE49-F238E27FC236}">
                  <a16:creationId xmlns:a16="http://schemas.microsoft.com/office/drawing/2014/main" id="{129AC086-299E-D602-690F-8BA4C0BA32D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8" name="Elemento grafico 167" descr="Smile di Harvey Ball 0% con riempimento a tinta unita">
              <a:extLst>
                <a:ext uri="{FF2B5EF4-FFF2-40B4-BE49-F238E27FC236}">
                  <a16:creationId xmlns:a16="http://schemas.microsoft.com/office/drawing/2014/main" id="{B5D24BA4-C3C8-6D53-0E25-375C56C798A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9" name="Elemento grafico 168" descr="Smile di Harvey Ball 0% con riempimento a tinta unita">
              <a:extLst>
                <a:ext uri="{FF2B5EF4-FFF2-40B4-BE49-F238E27FC236}">
                  <a16:creationId xmlns:a16="http://schemas.microsoft.com/office/drawing/2014/main" id="{3109D88A-4BAF-DC02-95B2-B4847DC2A6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0" name="Elemento grafico 169" descr="Smile di Harvey Ball 0% con riempimento a tinta unita">
              <a:extLst>
                <a:ext uri="{FF2B5EF4-FFF2-40B4-BE49-F238E27FC236}">
                  <a16:creationId xmlns:a16="http://schemas.microsoft.com/office/drawing/2014/main" id="{EEF27DE4-464F-34D6-7E78-2EF962663EC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1" name="Elemento grafico 170" descr="Smile di Harvey Ball 0% con riempimento a tinta unita">
              <a:extLst>
                <a:ext uri="{FF2B5EF4-FFF2-40B4-BE49-F238E27FC236}">
                  <a16:creationId xmlns:a16="http://schemas.microsoft.com/office/drawing/2014/main" id="{05682AB0-7FC3-60DC-0ECF-ADE4BD60E40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9" name="Gruppo 158">
            <a:extLst>
              <a:ext uri="{FF2B5EF4-FFF2-40B4-BE49-F238E27FC236}">
                <a16:creationId xmlns:a16="http://schemas.microsoft.com/office/drawing/2014/main" id="{C9167E43-0783-2527-C837-812AC5A8AF80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60" name="Elemento grafico 159" descr="Smile di Harvey Ball 0% con riempimento a tinta unita">
              <a:extLst>
                <a:ext uri="{FF2B5EF4-FFF2-40B4-BE49-F238E27FC236}">
                  <a16:creationId xmlns:a16="http://schemas.microsoft.com/office/drawing/2014/main" id="{80107CB9-17D0-A54D-BD3C-2081E1BFA8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1" name="Elemento grafico 160" descr="Smile di Harvey Ball 0% con riempimento a tinta unita">
              <a:extLst>
                <a:ext uri="{FF2B5EF4-FFF2-40B4-BE49-F238E27FC236}">
                  <a16:creationId xmlns:a16="http://schemas.microsoft.com/office/drawing/2014/main" id="{18D1B61C-3B38-02FB-1C5C-FF092A1A8A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2" name="Elemento grafico 161" descr="Smile di Harvey Ball 0% con riempimento a tinta unita">
              <a:extLst>
                <a:ext uri="{FF2B5EF4-FFF2-40B4-BE49-F238E27FC236}">
                  <a16:creationId xmlns:a16="http://schemas.microsoft.com/office/drawing/2014/main" id="{D9214572-26A2-8CA9-DF46-15986E3D83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3" name="Elemento grafico 162" descr="Smile di Harvey Ball 0% con riempimento a tinta unita">
              <a:extLst>
                <a:ext uri="{FF2B5EF4-FFF2-40B4-BE49-F238E27FC236}">
                  <a16:creationId xmlns:a16="http://schemas.microsoft.com/office/drawing/2014/main" id="{E18EC3F2-0284-088F-981B-793E16AD68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4" name="Elemento grafico 163" descr="Smile di Harvey Ball 0% con riempimento a tinta unita">
              <a:extLst>
                <a:ext uri="{FF2B5EF4-FFF2-40B4-BE49-F238E27FC236}">
                  <a16:creationId xmlns:a16="http://schemas.microsoft.com/office/drawing/2014/main" id="{6C89C3F9-B550-8560-9E21-083C672E6D1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5" name="Elemento grafico 164" descr="Smile di Harvey Ball 0% con riempimento a tinta unita">
              <a:extLst>
                <a:ext uri="{FF2B5EF4-FFF2-40B4-BE49-F238E27FC236}">
                  <a16:creationId xmlns:a16="http://schemas.microsoft.com/office/drawing/2014/main" id="{C603097D-4F2C-8625-9B10-38C8E6E56D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40640</xdr:colOff>
      <xdr:row>22</xdr:row>
      <xdr:rowOff>25400</xdr:rowOff>
    </xdr:from>
    <xdr:to>
      <xdr:col>16</xdr:col>
      <xdr:colOff>173919</xdr:colOff>
      <xdr:row>22</xdr:row>
      <xdr:rowOff>154094</xdr:rowOff>
    </xdr:to>
    <xdr:pic>
      <xdr:nvPicPr>
        <xdr:cNvPr id="178" name="Elemento grafico 177" descr="Smile di Harvey Ball 0% con riempimento a tinta unita">
          <a:extLst>
            <a:ext uri="{FF2B5EF4-FFF2-40B4-BE49-F238E27FC236}">
              <a16:creationId xmlns:a16="http://schemas.microsoft.com/office/drawing/2014/main" id="{2ABF8EB1-23E5-49F3-8950-1390E8E98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502400" y="4886960"/>
          <a:ext cx="133279" cy="128694"/>
        </a:xfrm>
        <a:prstGeom prst="rect">
          <a:avLst/>
        </a:prstGeom>
      </xdr:spPr>
    </xdr:pic>
    <xdr:clientData/>
  </xdr:twoCellAnchor>
  <xdr:twoCellAnchor>
    <xdr:from>
      <xdr:col>10</xdr:col>
      <xdr:colOff>8466</xdr:colOff>
      <xdr:row>13</xdr:row>
      <xdr:rowOff>54910</xdr:rowOff>
    </xdr:from>
    <xdr:to>
      <xdr:col>16</xdr:col>
      <xdr:colOff>394545</xdr:colOff>
      <xdr:row>13</xdr:row>
      <xdr:rowOff>183604</xdr:rowOff>
    </xdr:to>
    <xdr:grpSp>
      <xdr:nvGrpSpPr>
        <xdr:cNvPr id="179" name="Gruppo 178">
          <a:extLst>
            <a:ext uri="{FF2B5EF4-FFF2-40B4-BE49-F238E27FC236}">
              <a16:creationId xmlns:a16="http://schemas.microsoft.com/office/drawing/2014/main" id="{044E8F01-5296-4E64-B8CC-2B8A0E28FB88}"/>
            </a:ext>
          </a:extLst>
        </xdr:cNvPr>
        <xdr:cNvGrpSpPr/>
      </xdr:nvGrpSpPr>
      <xdr:grpSpPr>
        <a:xfrm>
          <a:off x="4072466" y="2944160"/>
          <a:ext cx="2824479" cy="128694"/>
          <a:chOff x="4031826" y="3578013"/>
          <a:chExt cx="2799079" cy="128694"/>
        </a:xfrm>
      </xdr:grpSpPr>
      <xdr:grpSp>
        <xdr:nvGrpSpPr>
          <xdr:cNvPr id="180" name="Gruppo 179">
            <a:extLst>
              <a:ext uri="{FF2B5EF4-FFF2-40B4-BE49-F238E27FC236}">
                <a16:creationId xmlns:a16="http://schemas.microsoft.com/office/drawing/2014/main" id="{BCE92E1D-57C9-F70E-8E18-5B7831F19C42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95" name="Elemento grafico 194" descr="Smile di Harvey Ball 0% con riempimento a tinta unita">
              <a:extLst>
                <a:ext uri="{FF2B5EF4-FFF2-40B4-BE49-F238E27FC236}">
                  <a16:creationId xmlns:a16="http://schemas.microsoft.com/office/drawing/2014/main" id="{5190951A-412B-509C-74EB-410C84DB10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6" name="Elemento grafico 195" descr="Smile di Harvey Ball 0% con riempimento a tinta unita">
              <a:extLst>
                <a:ext uri="{FF2B5EF4-FFF2-40B4-BE49-F238E27FC236}">
                  <a16:creationId xmlns:a16="http://schemas.microsoft.com/office/drawing/2014/main" id="{2971E73C-55F8-3C41-2867-8001961668D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7" name="Elemento grafico 196" descr="Smile di Harvey Ball 0% con riempimento a tinta unita">
              <a:extLst>
                <a:ext uri="{FF2B5EF4-FFF2-40B4-BE49-F238E27FC236}">
                  <a16:creationId xmlns:a16="http://schemas.microsoft.com/office/drawing/2014/main" id="{6CD7F600-707B-35CE-F9A2-49975A61FB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8" name="Elemento grafico 197" descr="Smile di Harvey Ball 0% con riempimento a tinta unita">
              <a:extLst>
                <a:ext uri="{FF2B5EF4-FFF2-40B4-BE49-F238E27FC236}">
                  <a16:creationId xmlns:a16="http://schemas.microsoft.com/office/drawing/2014/main" id="{28723F38-E3C8-9BA4-9742-A5049FE7D45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9" name="Elemento grafico 198" descr="Smile di Harvey Ball 0% con riempimento a tinta unita">
              <a:extLst>
                <a:ext uri="{FF2B5EF4-FFF2-40B4-BE49-F238E27FC236}">
                  <a16:creationId xmlns:a16="http://schemas.microsoft.com/office/drawing/2014/main" id="{C6CC6F3F-6278-305E-B275-FBAE5D8CBD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0" name="Elemento grafico 199" descr="Smile di Harvey Ball 0% con riempimento a tinta unita">
              <a:extLst>
                <a:ext uri="{FF2B5EF4-FFF2-40B4-BE49-F238E27FC236}">
                  <a16:creationId xmlns:a16="http://schemas.microsoft.com/office/drawing/2014/main" id="{3F84F152-DBA8-6E9A-7AC1-B8826F5FF2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1" name="Gruppo 180">
            <a:extLst>
              <a:ext uri="{FF2B5EF4-FFF2-40B4-BE49-F238E27FC236}">
                <a16:creationId xmlns:a16="http://schemas.microsoft.com/office/drawing/2014/main" id="{07BCA737-00E2-9026-374F-2CA4C336281C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89" name="Elemento grafico 188" descr="Smile di Harvey Ball 0% con riempimento a tinta unita">
              <a:extLst>
                <a:ext uri="{FF2B5EF4-FFF2-40B4-BE49-F238E27FC236}">
                  <a16:creationId xmlns:a16="http://schemas.microsoft.com/office/drawing/2014/main" id="{54C5D629-E7ED-1EE3-5C6F-96EBFA2938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0" name="Elemento grafico 189" descr="Smile di Harvey Ball 0% con riempimento a tinta unita">
              <a:extLst>
                <a:ext uri="{FF2B5EF4-FFF2-40B4-BE49-F238E27FC236}">
                  <a16:creationId xmlns:a16="http://schemas.microsoft.com/office/drawing/2014/main" id="{C8652DD2-7E6D-AED4-018A-8A24FF643FD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1" name="Elemento grafico 190" descr="Smile di Harvey Ball 0% con riempimento a tinta unita">
              <a:extLst>
                <a:ext uri="{FF2B5EF4-FFF2-40B4-BE49-F238E27FC236}">
                  <a16:creationId xmlns:a16="http://schemas.microsoft.com/office/drawing/2014/main" id="{9A216964-CDF2-637F-1D86-63B7F639A0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2" name="Elemento grafico 191" descr="Smile di Harvey Ball 0% con riempimento a tinta unita">
              <a:extLst>
                <a:ext uri="{FF2B5EF4-FFF2-40B4-BE49-F238E27FC236}">
                  <a16:creationId xmlns:a16="http://schemas.microsoft.com/office/drawing/2014/main" id="{A48C01B8-5434-18CE-D7B1-5B0266BF67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3" name="Elemento grafico 192" descr="Smile di Harvey Ball 0% con riempimento a tinta unita">
              <a:extLst>
                <a:ext uri="{FF2B5EF4-FFF2-40B4-BE49-F238E27FC236}">
                  <a16:creationId xmlns:a16="http://schemas.microsoft.com/office/drawing/2014/main" id="{961B7811-69E4-AAB3-B1CD-AF171FE421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4" name="Elemento grafico 193" descr="Smile di Harvey Ball 0% con riempimento a tinta unita">
              <a:extLst>
                <a:ext uri="{FF2B5EF4-FFF2-40B4-BE49-F238E27FC236}">
                  <a16:creationId xmlns:a16="http://schemas.microsoft.com/office/drawing/2014/main" id="{01BCA166-1E5F-283D-E087-3125DDD160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2" name="Gruppo 181">
            <a:extLst>
              <a:ext uri="{FF2B5EF4-FFF2-40B4-BE49-F238E27FC236}">
                <a16:creationId xmlns:a16="http://schemas.microsoft.com/office/drawing/2014/main" id="{177ACBA7-B318-014A-9174-854B8BECBADC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83" name="Elemento grafico 182" descr="Smile di Harvey Ball 0% con riempimento a tinta unita">
              <a:extLst>
                <a:ext uri="{FF2B5EF4-FFF2-40B4-BE49-F238E27FC236}">
                  <a16:creationId xmlns:a16="http://schemas.microsoft.com/office/drawing/2014/main" id="{7DA91466-DCF9-9CE6-AD0C-0CB9E627F5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4" name="Elemento grafico 183" descr="Smile di Harvey Ball 0% con riempimento a tinta unita">
              <a:extLst>
                <a:ext uri="{FF2B5EF4-FFF2-40B4-BE49-F238E27FC236}">
                  <a16:creationId xmlns:a16="http://schemas.microsoft.com/office/drawing/2014/main" id="{8E1FF338-658E-B375-47B2-2094DA9964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5" name="Elemento grafico 184" descr="Smile di Harvey Ball 0% con riempimento a tinta unita">
              <a:extLst>
                <a:ext uri="{FF2B5EF4-FFF2-40B4-BE49-F238E27FC236}">
                  <a16:creationId xmlns:a16="http://schemas.microsoft.com/office/drawing/2014/main" id="{8BBCA3D1-EE4B-239D-F28D-4A0471B41D0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6" name="Elemento grafico 185" descr="Smile di Harvey Ball 0% con riempimento a tinta unita">
              <a:extLst>
                <a:ext uri="{FF2B5EF4-FFF2-40B4-BE49-F238E27FC236}">
                  <a16:creationId xmlns:a16="http://schemas.microsoft.com/office/drawing/2014/main" id="{72064B19-8D8E-EC30-1E6D-526481735D7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7" name="Elemento grafico 186" descr="Smile di Harvey Ball 0% con riempimento a tinta unita">
              <a:extLst>
                <a:ext uri="{FF2B5EF4-FFF2-40B4-BE49-F238E27FC236}">
                  <a16:creationId xmlns:a16="http://schemas.microsoft.com/office/drawing/2014/main" id="{890F7511-C221-8786-F436-2BF777C5B6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8" name="Elemento grafico 187" descr="Smile di Harvey Ball 0% con riempimento a tinta unita">
              <a:extLst>
                <a:ext uri="{FF2B5EF4-FFF2-40B4-BE49-F238E27FC236}">
                  <a16:creationId xmlns:a16="http://schemas.microsoft.com/office/drawing/2014/main" id="{065E6104-E11C-DEE7-A84A-75E03AD80DB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8466</xdr:colOff>
      <xdr:row>16</xdr:row>
      <xdr:rowOff>49830</xdr:rowOff>
    </xdr:from>
    <xdr:to>
      <xdr:col>16</xdr:col>
      <xdr:colOff>394545</xdr:colOff>
      <xdr:row>16</xdr:row>
      <xdr:rowOff>178524</xdr:rowOff>
    </xdr:to>
    <xdr:grpSp>
      <xdr:nvGrpSpPr>
        <xdr:cNvPr id="24" name="Gruppo 23">
          <a:extLst>
            <a:ext uri="{FF2B5EF4-FFF2-40B4-BE49-F238E27FC236}">
              <a16:creationId xmlns:a16="http://schemas.microsoft.com/office/drawing/2014/main" id="{3262E9F1-2553-BEAC-0A61-DAAF25A54AC0}"/>
            </a:ext>
          </a:extLst>
        </xdr:cNvPr>
        <xdr:cNvGrpSpPr/>
      </xdr:nvGrpSpPr>
      <xdr:grpSpPr>
        <a:xfrm>
          <a:off x="4072466" y="3605830"/>
          <a:ext cx="2824479" cy="128694"/>
          <a:chOff x="4031826" y="3578013"/>
          <a:chExt cx="2799079" cy="128694"/>
        </a:xfrm>
      </xdr:grpSpPr>
      <xdr:grpSp>
        <xdr:nvGrpSpPr>
          <xdr:cNvPr id="9" name="Gruppo 8">
            <a:extLst>
              <a:ext uri="{FF2B5EF4-FFF2-40B4-BE49-F238E27FC236}">
                <a16:creationId xmlns:a16="http://schemas.microsoft.com/office/drawing/2014/main" id="{F3628122-1747-4B15-4136-67423A3A19C1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3" name="Elemento grafico 2" descr="Smile di Harvey Ball 0% con riempimento a tinta unita">
              <a:extLst>
                <a:ext uri="{FF2B5EF4-FFF2-40B4-BE49-F238E27FC236}">
                  <a16:creationId xmlns:a16="http://schemas.microsoft.com/office/drawing/2014/main" id="{B0077DB9-0182-148B-1FBD-E134FB578F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" name="Elemento grafico 3" descr="Smile di Harvey Ball 0% con riempimento a tinta unita">
              <a:extLst>
                <a:ext uri="{FF2B5EF4-FFF2-40B4-BE49-F238E27FC236}">
                  <a16:creationId xmlns:a16="http://schemas.microsoft.com/office/drawing/2014/main" id="{1E0CDED4-8F05-4BF7-BE85-AA768C25666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" name="Elemento grafico 4" descr="Smile di Harvey Ball 0% con riempimento a tinta unita">
              <a:extLst>
                <a:ext uri="{FF2B5EF4-FFF2-40B4-BE49-F238E27FC236}">
                  <a16:creationId xmlns:a16="http://schemas.microsoft.com/office/drawing/2014/main" id="{A2EB2C6F-B140-4CD4-9378-A9CF8BB3E2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" name="Elemento grafico 5" descr="Smile di Harvey Ball 0% con riempimento a tinta unita">
              <a:extLst>
                <a:ext uri="{FF2B5EF4-FFF2-40B4-BE49-F238E27FC236}">
                  <a16:creationId xmlns:a16="http://schemas.microsoft.com/office/drawing/2014/main" id="{AD619B42-84D0-4B31-AE17-C1E80E4D37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" name="Elemento grafico 6" descr="Smile di Harvey Ball 0% con riempimento a tinta unita">
              <a:extLst>
                <a:ext uri="{FF2B5EF4-FFF2-40B4-BE49-F238E27FC236}">
                  <a16:creationId xmlns:a16="http://schemas.microsoft.com/office/drawing/2014/main" id="{697FEDEF-23EB-41C4-A72B-36336F69EA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" name="Elemento grafico 7" descr="Smile di Harvey Ball 0% con riempimento a tinta unita">
              <a:extLst>
                <a:ext uri="{FF2B5EF4-FFF2-40B4-BE49-F238E27FC236}">
                  <a16:creationId xmlns:a16="http://schemas.microsoft.com/office/drawing/2014/main" id="{679E4D42-120E-4DB1-AAE4-933CCBA5F9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0" name="Gruppo 9">
            <a:extLst>
              <a:ext uri="{FF2B5EF4-FFF2-40B4-BE49-F238E27FC236}">
                <a16:creationId xmlns:a16="http://schemas.microsoft.com/office/drawing/2014/main" id="{0E19264C-5605-4BB4-9EEB-0C8EA322C664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1" name="Elemento grafico 10" descr="Smile di Harvey Ball 0% con riempimento a tinta unita">
              <a:extLst>
                <a:ext uri="{FF2B5EF4-FFF2-40B4-BE49-F238E27FC236}">
                  <a16:creationId xmlns:a16="http://schemas.microsoft.com/office/drawing/2014/main" id="{90F8B167-47C1-5DC2-FE03-A0B75DD91F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" name="Elemento grafico 11" descr="Smile di Harvey Ball 0% con riempimento a tinta unita">
              <a:extLst>
                <a:ext uri="{FF2B5EF4-FFF2-40B4-BE49-F238E27FC236}">
                  <a16:creationId xmlns:a16="http://schemas.microsoft.com/office/drawing/2014/main" id="{A69EDAAF-0156-87CC-061F-0E45CD155A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" name="Elemento grafico 12" descr="Smile di Harvey Ball 0% con riempimento a tinta unita">
              <a:extLst>
                <a:ext uri="{FF2B5EF4-FFF2-40B4-BE49-F238E27FC236}">
                  <a16:creationId xmlns:a16="http://schemas.microsoft.com/office/drawing/2014/main" id="{CB0430BC-A9C6-8524-6AF0-60158DB5C0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" name="Elemento grafico 13" descr="Smile di Harvey Ball 0% con riempimento a tinta unita">
              <a:extLst>
                <a:ext uri="{FF2B5EF4-FFF2-40B4-BE49-F238E27FC236}">
                  <a16:creationId xmlns:a16="http://schemas.microsoft.com/office/drawing/2014/main" id="{3F398505-826E-3262-0A3B-C04A76538C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" name="Elemento grafico 14" descr="Smile di Harvey Ball 0% con riempimento a tinta unita">
              <a:extLst>
                <a:ext uri="{FF2B5EF4-FFF2-40B4-BE49-F238E27FC236}">
                  <a16:creationId xmlns:a16="http://schemas.microsoft.com/office/drawing/2014/main" id="{3E7DC3BF-635D-644D-DF58-4E00D4D08D3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" name="Elemento grafico 15" descr="Smile di Harvey Ball 0% con riempimento a tinta unita">
              <a:extLst>
                <a:ext uri="{FF2B5EF4-FFF2-40B4-BE49-F238E27FC236}">
                  <a16:creationId xmlns:a16="http://schemas.microsoft.com/office/drawing/2014/main" id="{85913B15-22DD-C826-C879-B57D0FE502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7" name="Gruppo 16">
            <a:extLst>
              <a:ext uri="{FF2B5EF4-FFF2-40B4-BE49-F238E27FC236}">
                <a16:creationId xmlns:a16="http://schemas.microsoft.com/office/drawing/2014/main" id="{03692734-D94A-4627-8FDB-03151C2CF88C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8" name="Elemento grafico 17" descr="Smile di Harvey Ball 0% con riempimento a tinta unita">
              <a:extLst>
                <a:ext uri="{FF2B5EF4-FFF2-40B4-BE49-F238E27FC236}">
                  <a16:creationId xmlns:a16="http://schemas.microsoft.com/office/drawing/2014/main" id="{984D05A2-D94A-52C7-CEAB-CD1F4C2C8C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" name="Elemento grafico 18" descr="Smile di Harvey Ball 0% con riempimento a tinta unita">
              <a:extLst>
                <a:ext uri="{FF2B5EF4-FFF2-40B4-BE49-F238E27FC236}">
                  <a16:creationId xmlns:a16="http://schemas.microsoft.com/office/drawing/2014/main" id="{D039892B-B426-BF5A-FC1E-13B679EECF9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" name="Elemento grafico 19" descr="Smile di Harvey Ball 0% con riempimento a tinta unita">
              <a:extLst>
                <a:ext uri="{FF2B5EF4-FFF2-40B4-BE49-F238E27FC236}">
                  <a16:creationId xmlns:a16="http://schemas.microsoft.com/office/drawing/2014/main" id="{C57849A6-6475-F52F-5AC7-49F14CEBCC3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1" name="Elemento grafico 20" descr="Smile di Harvey Ball 0% con riempimento a tinta unita">
              <a:extLst>
                <a:ext uri="{FF2B5EF4-FFF2-40B4-BE49-F238E27FC236}">
                  <a16:creationId xmlns:a16="http://schemas.microsoft.com/office/drawing/2014/main" id="{367D8821-FE67-BC06-FCD6-D149B3D41F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2" name="Elemento grafico 21" descr="Smile di Harvey Ball 0% con riempimento a tinta unita">
              <a:extLst>
                <a:ext uri="{FF2B5EF4-FFF2-40B4-BE49-F238E27FC236}">
                  <a16:creationId xmlns:a16="http://schemas.microsoft.com/office/drawing/2014/main" id="{A62575B2-2343-DFE1-EF16-552917CDC0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3" name="Elemento grafico 22" descr="Smile di Harvey Ball 0% con riempimento a tinta unita">
              <a:extLst>
                <a:ext uri="{FF2B5EF4-FFF2-40B4-BE49-F238E27FC236}">
                  <a16:creationId xmlns:a16="http://schemas.microsoft.com/office/drawing/2014/main" id="{ED6F98F5-AF89-D51E-8BC7-AD1F1FEC21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17</xdr:row>
      <xdr:rowOff>49346</xdr:rowOff>
    </xdr:from>
    <xdr:to>
      <xdr:col>16</xdr:col>
      <xdr:colOff>394545</xdr:colOff>
      <xdr:row>17</xdr:row>
      <xdr:rowOff>178040</xdr:rowOff>
    </xdr:to>
    <xdr:grpSp>
      <xdr:nvGrpSpPr>
        <xdr:cNvPr id="25" name="Gruppo 24">
          <a:extLst>
            <a:ext uri="{FF2B5EF4-FFF2-40B4-BE49-F238E27FC236}">
              <a16:creationId xmlns:a16="http://schemas.microsoft.com/office/drawing/2014/main" id="{C422D8C8-EFCF-45BC-8F84-E5890874F111}"/>
            </a:ext>
          </a:extLst>
        </xdr:cNvPr>
        <xdr:cNvGrpSpPr/>
      </xdr:nvGrpSpPr>
      <xdr:grpSpPr>
        <a:xfrm>
          <a:off x="4072466" y="3827596"/>
          <a:ext cx="2824479" cy="128694"/>
          <a:chOff x="4031826" y="3578013"/>
          <a:chExt cx="2799079" cy="128694"/>
        </a:xfrm>
      </xdr:grpSpPr>
      <xdr:grpSp>
        <xdr:nvGrpSpPr>
          <xdr:cNvPr id="26" name="Gruppo 25">
            <a:extLst>
              <a:ext uri="{FF2B5EF4-FFF2-40B4-BE49-F238E27FC236}">
                <a16:creationId xmlns:a16="http://schemas.microsoft.com/office/drawing/2014/main" id="{7C98E030-78A6-FF5B-4B9B-FEE093155378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41" name="Elemento grafico 40" descr="Smile di Harvey Ball 0% con riempimento a tinta unita">
              <a:extLst>
                <a:ext uri="{FF2B5EF4-FFF2-40B4-BE49-F238E27FC236}">
                  <a16:creationId xmlns:a16="http://schemas.microsoft.com/office/drawing/2014/main" id="{9FE33A98-AF15-22A5-E6F5-D7263E5D20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2" name="Elemento grafico 41" descr="Smile di Harvey Ball 0% con riempimento a tinta unita">
              <a:extLst>
                <a:ext uri="{FF2B5EF4-FFF2-40B4-BE49-F238E27FC236}">
                  <a16:creationId xmlns:a16="http://schemas.microsoft.com/office/drawing/2014/main" id="{AE3F3798-1C3D-6800-CAB0-CD5169E024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3" name="Elemento grafico 42" descr="Smile di Harvey Ball 0% con riempimento a tinta unita">
              <a:extLst>
                <a:ext uri="{FF2B5EF4-FFF2-40B4-BE49-F238E27FC236}">
                  <a16:creationId xmlns:a16="http://schemas.microsoft.com/office/drawing/2014/main" id="{E80999FD-F2B0-18AD-3C20-71EE5AF73F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4" name="Elemento grafico 43" descr="Smile di Harvey Ball 0% con riempimento a tinta unita">
              <a:extLst>
                <a:ext uri="{FF2B5EF4-FFF2-40B4-BE49-F238E27FC236}">
                  <a16:creationId xmlns:a16="http://schemas.microsoft.com/office/drawing/2014/main" id="{416F69C0-6422-E5F8-122B-2BCBC58C7A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5" name="Elemento grafico 44" descr="Smile di Harvey Ball 0% con riempimento a tinta unita">
              <a:extLst>
                <a:ext uri="{FF2B5EF4-FFF2-40B4-BE49-F238E27FC236}">
                  <a16:creationId xmlns:a16="http://schemas.microsoft.com/office/drawing/2014/main" id="{34B07CFC-6983-012B-3BC5-FC8C7D1793B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6" name="Elemento grafico 45" descr="Smile di Harvey Ball 0% con riempimento a tinta unita">
              <a:extLst>
                <a:ext uri="{FF2B5EF4-FFF2-40B4-BE49-F238E27FC236}">
                  <a16:creationId xmlns:a16="http://schemas.microsoft.com/office/drawing/2014/main" id="{B73B634F-3F5E-CC6B-EC11-DB40A895AD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7" name="Gruppo 26">
            <a:extLst>
              <a:ext uri="{FF2B5EF4-FFF2-40B4-BE49-F238E27FC236}">
                <a16:creationId xmlns:a16="http://schemas.microsoft.com/office/drawing/2014/main" id="{029B7440-4B1E-A23F-29C6-54CA92143FCA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35" name="Elemento grafico 34" descr="Smile di Harvey Ball 0% con riempimento a tinta unita">
              <a:extLst>
                <a:ext uri="{FF2B5EF4-FFF2-40B4-BE49-F238E27FC236}">
                  <a16:creationId xmlns:a16="http://schemas.microsoft.com/office/drawing/2014/main" id="{31446CDB-E5B4-5CA7-108B-0DB0955D21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6" name="Elemento grafico 35" descr="Smile di Harvey Ball 0% con riempimento a tinta unita">
              <a:extLst>
                <a:ext uri="{FF2B5EF4-FFF2-40B4-BE49-F238E27FC236}">
                  <a16:creationId xmlns:a16="http://schemas.microsoft.com/office/drawing/2014/main" id="{2FFDB6F5-4FCF-01C9-60D0-004F74091EE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7" name="Elemento grafico 36" descr="Smile di Harvey Ball 0% con riempimento a tinta unita">
              <a:extLst>
                <a:ext uri="{FF2B5EF4-FFF2-40B4-BE49-F238E27FC236}">
                  <a16:creationId xmlns:a16="http://schemas.microsoft.com/office/drawing/2014/main" id="{5BD52E55-9CE0-270E-E252-1DC2591D0B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8" name="Elemento grafico 37" descr="Smile di Harvey Ball 0% con riempimento a tinta unita">
              <a:extLst>
                <a:ext uri="{FF2B5EF4-FFF2-40B4-BE49-F238E27FC236}">
                  <a16:creationId xmlns:a16="http://schemas.microsoft.com/office/drawing/2014/main" id="{6EEB686B-DFC5-4EB3-AA56-A8A95CE770B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9" name="Elemento grafico 38" descr="Smile di Harvey Ball 0% con riempimento a tinta unita">
              <a:extLst>
                <a:ext uri="{FF2B5EF4-FFF2-40B4-BE49-F238E27FC236}">
                  <a16:creationId xmlns:a16="http://schemas.microsoft.com/office/drawing/2014/main" id="{2F49E18A-F8F9-A1C1-8244-521AF94949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40" name="Elemento grafico 39" descr="Smile di Harvey Ball 0% con riempimento a tinta unita">
              <a:extLst>
                <a:ext uri="{FF2B5EF4-FFF2-40B4-BE49-F238E27FC236}">
                  <a16:creationId xmlns:a16="http://schemas.microsoft.com/office/drawing/2014/main" id="{279F23E6-D5D4-5BDB-FC3B-A85C154775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28" name="Gruppo 27">
            <a:extLst>
              <a:ext uri="{FF2B5EF4-FFF2-40B4-BE49-F238E27FC236}">
                <a16:creationId xmlns:a16="http://schemas.microsoft.com/office/drawing/2014/main" id="{84F2BBB5-0812-F401-8CC8-6F20AE2A58DB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29" name="Elemento grafico 28" descr="Smile di Harvey Ball 0% con riempimento a tinta unita">
              <a:extLst>
                <a:ext uri="{FF2B5EF4-FFF2-40B4-BE49-F238E27FC236}">
                  <a16:creationId xmlns:a16="http://schemas.microsoft.com/office/drawing/2014/main" id="{21C86D3D-616D-2895-B75E-B05130EDDA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0" name="Elemento grafico 29" descr="Smile di Harvey Ball 0% con riempimento a tinta unita">
              <a:extLst>
                <a:ext uri="{FF2B5EF4-FFF2-40B4-BE49-F238E27FC236}">
                  <a16:creationId xmlns:a16="http://schemas.microsoft.com/office/drawing/2014/main" id="{14C9D20E-A6A9-21E6-CFB8-ABF8B7AAEC3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1" name="Elemento grafico 30" descr="Smile di Harvey Ball 0% con riempimento a tinta unita">
              <a:extLst>
                <a:ext uri="{FF2B5EF4-FFF2-40B4-BE49-F238E27FC236}">
                  <a16:creationId xmlns:a16="http://schemas.microsoft.com/office/drawing/2014/main" id="{71685BC5-1780-A6AB-8A0A-CCBE31DBE97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2" name="Elemento grafico 31" descr="Smile di Harvey Ball 0% con riempimento a tinta unita">
              <a:extLst>
                <a:ext uri="{FF2B5EF4-FFF2-40B4-BE49-F238E27FC236}">
                  <a16:creationId xmlns:a16="http://schemas.microsoft.com/office/drawing/2014/main" id="{6DA1D96D-D281-11E6-A919-63CE314195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3" name="Elemento grafico 32" descr="Smile di Harvey Ball 0% con riempimento a tinta unita">
              <a:extLst>
                <a:ext uri="{FF2B5EF4-FFF2-40B4-BE49-F238E27FC236}">
                  <a16:creationId xmlns:a16="http://schemas.microsoft.com/office/drawing/2014/main" id="{DD97C7F6-064F-16DC-52BC-01D96EDB92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34" name="Elemento grafico 33" descr="Smile di Harvey Ball 0% con riempimento a tinta unita">
              <a:extLst>
                <a:ext uri="{FF2B5EF4-FFF2-40B4-BE49-F238E27FC236}">
                  <a16:creationId xmlns:a16="http://schemas.microsoft.com/office/drawing/2014/main" id="{D7998B8A-8DEF-7B58-E3A4-24655C6C08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20</xdr:row>
      <xdr:rowOff>47896</xdr:rowOff>
    </xdr:from>
    <xdr:to>
      <xdr:col>16</xdr:col>
      <xdr:colOff>394545</xdr:colOff>
      <xdr:row>20</xdr:row>
      <xdr:rowOff>176590</xdr:rowOff>
    </xdr:to>
    <xdr:grpSp>
      <xdr:nvGrpSpPr>
        <xdr:cNvPr id="47" name="Gruppo 46">
          <a:extLst>
            <a:ext uri="{FF2B5EF4-FFF2-40B4-BE49-F238E27FC236}">
              <a16:creationId xmlns:a16="http://schemas.microsoft.com/office/drawing/2014/main" id="{06C9BB1A-3758-412E-93E9-34884F3FCCCA}"/>
            </a:ext>
          </a:extLst>
        </xdr:cNvPr>
        <xdr:cNvGrpSpPr/>
      </xdr:nvGrpSpPr>
      <xdr:grpSpPr>
        <a:xfrm>
          <a:off x="4072466" y="4492896"/>
          <a:ext cx="2824479" cy="128694"/>
          <a:chOff x="4031826" y="3578013"/>
          <a:chExt cx="2799079" cy="128694"/>
        </a:xfrm>
      </xdr:grpSpPr>
      <xdr:grpSp>
        <xdr:nvGrpSpPr>
          <xdr:cNvPr id="48" name="Gruppo 47">
            <a:extLst>
              <a:ext uri="{FF2B5EF4-FFF2-40B4-BE49-F238E27FC236}">
                <a16:creationId xmlns:a16="http://schemas.microsoft.com/office/drawing/2014/main" id="{E7382621-3810-83E2-8D8F-912879FE7F0D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63" name="Elemento grafico 62" descr="Smile di Harvey Ball 0% con riempimento a tinta unita">
              <a:extLst>
                <a:ext uri="{FF2B5EF4-FFF2-40B4-BE49-F238E27FC236}">
                  <a16:creationId xmlns:a16="http://schemas.microsoft.com/office/drawing/2014/main" id="{1AC72BAA-305C-CAF7-1A90-90190E18BD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4" name="Elemento grafico 63" descr="Smile di Harvey Ball 0% con riempimento a tinta unita">
              <a:extLst>
                <a:ext uri="{FF2B5EF4-FFF2-40B4-BE49-F238E27FC236}">
                  <a16:creationId xmlns:a16="http://schemas.microsoft.com/office/drawing/2014/main" id="{1EB4589B-0E35-AAD6-FBB3-57EB1829AE4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5" name="Elemento grafico 64" descr="Smile di Harvey Ball 0% con riempimento a tinta unita">
              <a:extLst>
                <a:ext uri="{FF2B5EF4-FFF2-40B4-BE49-F238E27FC236}">
                  <a16:creationId xmlns:a16="http://schemas.microsoft.com/office/drawing/2014/main" id="{C7EA4303-B100-CF49-F878-98D8AA1FD5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6" name="Elemento grafico 65" descr="Smile di Harvey Ball 0% con riempimento a tinta unita">
              <a:extLst>
                <a:ext uri="{FF2B5EF4-FFF2-40B4-BE49-F238E27FC236}">
                  <a16:creationId xmlns:a16="http://schemas.microsoft.com/office/drawing/2014/main" id="{019EFB29-049F-EBF3-E616-3865C4C761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7" name="Elemento grafico 66" descr="Smile di Harvey Ball 0% con riempimento a tinta unita">
              <a:extLst>
                <a:ext uri="{FF2B5EF4-FFF2-40B4-BE49-F238E27FC236}">
                  <a16:creationId xmlns:a16="http://schemas.microsoft.com/office/drawing/2014/main" id="{CDF5CEB6-7CE1-320D-0D7D-7C6DF62EAE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8" name="Elemento grafico 67" descr="Smile di Harvey Ball 0% con riempimento a tinta unita">
              <a:extLst>
                <a:ext uri="{FF2B5EF4-FFF2-40B4-BE49-F238E27FC236}">
                  <a16:creationId xmlns:a16="http://schemas.microsoft.com/office/drawing/2014/main" id="{215A8C06-345B-74A1-2191-9F9C3D565C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49" name="Gruppo 48">
            <a:extLst>
              <a:ext uri="{FF2B5EF4-FFF2-40B4-BE49-F238E27FC236}">
                <a16:creationId xmlns:a16="http://schemas.microsoft.com/office/drawing/2014/main" id="{50DF3131-61EE-1D23-A44F-B3DB70A94F93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57" name="Elemento grafico 56" descr="Smile di Harvey Ball 0% con riempimento a tinta unita">
              <a:extLst>
                <a:ext uri="{FF2B5EF4-FFF2-40B4-BE49-F238E27FC236}">
                  <a16:creationId xmlns:a16="http://schemas.microsoft.com/office/drawing/2014/main" id="{159F8D9A-092C-A91C-3575-17A12B352E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8" name="Elemento grafico 57" descr="Smile di Harvey Ball 0% con riempimento a tinta unita">
              <a:extLst>
                <a:ext uri="{FF2B5EF4-FFF2-40B4-BE49-F238E27FC236}">
                  <a16:creationId xmlns:a16="http://schemas.microsoft.com/office/drawing/2014/main" id="{99694CF1-E0AF-7CA5-1A58-DA83C36C3F3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9" name="Elemento grafico 58" descr="Smile di Harvey Ball 0% con riempimento a tinta unita">
              <a:extLst>
                <a:ext uri="{FF2B5EF4-FFF2-40B4-BE49-F238E27FC236}">
                  <a16:creationId xmlns:a16="http://schemas.microsoft.com/office/drawing/2014/main" id="{44870674-D8A4-09C5-EE1A-18DBF3F2DB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0" name="Elemento grafico 59" descr="Smile di Harvey Ball 0% con riempimento a tinta unita">
              <a:extLst>
                <a:ext uri="{FF2B5EF4-FFF2-40B4-BE49-F238E27FC236}">
                  <a16:creationId xmlns:a16="http://schemas.microsoft.com/office/drawing/2014/main" id="{3437E46C-2B66-0C4A-F608-6440C58E9C9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1" name="Elemento grafico 60" descr="Smile di Harvey Ball 0% con riempimento a tinta unita">
              <a:extLst>
                <a:ext uri="{FF2B5EF4-FFF2-40B4-BE49-F238E27FC236}">
                  <a16:creationId xmlns:a16="http://schemas.microsoft.com/office/drawing/2014/main" id="{87F835D9-6EA0-5000-0FEB-8CCF1A7D77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62" name="Elemento grafico 61" descr="Smile di Harvey Ball 0% con riempimento a tinta unita">
              <a:extLst>
                <a:ext uri="{FF2B5EF4-FFF2-40B4-BE49-F238E27FC236}">
                  <a16:creationId xmlns:a16="http://schemas.microsoft.com/office/drawing/2014/main" id="{428F464F-8A64-8F89-DAB5-107F13386F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50" name="Gruppo 49">
            <a:extLst>
              <a:ext uri="{FF2B5EF4-FFF2-40B4-BE49-F238E27FC236}">
                <a16:creationId xmlns:a16="http://schemas.microsoft.com/office/drawing/2014/main" id="{86333C56-C08E-1290-BF8A-E4A7F4E0B6AF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51" name="Elemento grafico 50" descr="Smile di Harvey Ball 0% con riempimento a tinta unita">
              <a:extLst>
                <a:ext uri="{FF2B5EF4-FFF2-40B4-BE49-F238E27FC236}">
                  <a16:creationId xmlns:a16="http://schemas.microsoft.com/office/drawing/2014/main" id="{96B0CC22-2A6F-A128-B511-AA2DCAFE7A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2" name="Elemento grafico 51" descr="Smile di Harvey Ball 0% con riempimento a tinta unita">
              <a:extLst>
                <a:ext uri="{FF2B5EF4-FFF2-40B4-BE49-F238E27FC236}">
                  <a16:creationId xmlns:a16="http://schemas.microsoft.com/office/drawing/2014/main" id="{3A4D992C-EB7B-48D8-2F0F-6D5FBE2B76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3" name="Elemento grafico 52" descr="Smile di Harvey Ball 0% con riempimento a tinta unita">
              <a:extLst>
                <a:ext uri="{FF2B5EF4-FFF2-40B4-BE49-F238E27FC236}">
                  <a16:creationId xmlns:a16="http://schemas.microsoft.com/office/drawing/2014/main" id="{9548123B-F1D6-64BD-7BF8-55A9BAAB58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4" name="Elemento grafico 53" descr="Smile di Harvey Ball 0% con riempimento a tinta unita">
              <a:extLst>
                <a:ext uri="{FF2B5EF4-FFF2-40B4-BE49-F238E27FC236}">
                  <a16:creationId xmlns:a16="http://schemas.microsoft.com/office/drawing/2014/main" id="{F5DEEF55-249A-25C9-4B1F-5BECC93C3F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5" name="Elemento grafico 54" descr="Smile di Harvey Ball 0% con riempimento a tinta unita">
              <a:extLst>
                <a:ext uri="{FF2B5EF4-FFF2-40B4-BE49-F238E27FC236}">
                  <a16:creationId xmlns:a16="http://schemas.microsoft.com/office/drawing/2014/main" id="{1D4214CE-5783-ED1B-3FE1-73E9BDFAB3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56" name="Elemento grafico 55" descr="Smile di Harvey Ball 0% con riempimento a tinta unita">
              <a:extLst>
                <a:ext uri="{FF2B5EF4-FFF2-40B4-BE49-F238E27FC236}">
                  <a16:creationId xmlns:a16="http://schemas.microsoft.com/office/drawing/2014/main" id="{6E49CDEF-B457-607F-605E-44E3E2DFCE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21</xdr:row>
      <xdr:rowOff>47414</xdr:rowOff>
    </xdr:from>
    <xdr:to>
      <xdr:col>16</xdr:col>
      <xdr:colOff>394545</xdr:colOff>
      <xdr:row>21</xdr:row>
      <xdr:rowOff>176108</xdr:rowOff>
    </xdr:to>
    <xdr:grpSp>
      <xdr:nvGrpSpPr>
        <xdr:cNvPr id="69" name="Gruppo 68">
          <a:extLst>
            <a:ext uri="{FF2B5EF4-FFF2-40B4-BE49-F238E27FC236}">
              <a16:creationId xmlns:a16="http://schemas.microsoft.com/office/drawing/2014/main" id="{AD6AF1F7-985F-431A-B8C8-A32FE571BD06}"/>
            </a:ext>
          </a:extLst>
        </xdr:cNvPr>
        <xdr:cNvGrpSpPr/>
      </xdr:nvGrpSpPr>
      <xdr:grpSpPr>
        <a:xfrm>
          <a:off x="4072466" y="4714664"/>
          <a:ext cx="2824479" cy="128694"/>
          <a:chOff x="4031826" y="3578013"/>
          <a:chExt cx="2799079" cy="128694"/>
        </a:xfrm>
      </xdr:grpSpPr>
      <xdr:grpSp>
        <xdr:nvGrpSpPr>
          <xdr:cNvPr id="70" name="Gruppo 69">
            <a:extLst>
              <a:ext uri="{FF2B5EF4-FFF2-40B4-BE49-F238E27FC236}">
                <a16:creationId xmlns:a16="http://schemas.microsoft.com/office/drawing/2014/main" id="{980B9422-A53E-27CA-F4A0-C2EBD9388510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85" name="Elemento grafico 84" descr="Smile di Harvey Ball 0% con riempimento a tinta unita">
              <a:extLst>
                <a:ext uri="{FF2B5EF4-FFF2-40B4-BE49-F238E27FC236}">
                  <a16:creationId xmlns:a16="http://schemas.microsoft.com/office/drawing/2014/main" id="{F468894F-551D-F86D-A847-AB55579B79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6" name="Elemento grafico 85" descr="Smile di Harvey Ball 0% con riempimento a tinta unita">
              <a:extLst>
                <a:ext uri="{FF2B5EF4-FFF2-40B4-BE49-F238E27FC236}">
                  <a16:creationId xmlns:a16="http://schemas.microsoft.com/office/drawing/2014/main" id="{16AC4D05-A062-277C-F93A-9F965B8C9E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7" name="Elemento grafico 86" descr="Smile di Harvey Ball 0% con riempimento a tinta unita">
              <a:extLst>
                <a:ext uri="{FF2B5EF4-FFF2-40B4-BE49-F238E27FC236}">
                  <a16:creationId xmlns:a16="http://schemas.microsoft.com/office/drawing/2014/main" id="{A8B804EB-62AF-3085-CC2D-C1ED25B265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8" name="Elemento grafico 87" descr="Smile di Harvey Ball 0% con riempimento a tinta unita">
              <a:extLst>
                <a:ext uri="{FF2B5EF4-FFF2-40B4-BE49-F238E27FC236}">
                  <a16:creationId xmlns:a16="http://schemas.microsoft.com/office/drawing/2014/main" id="{001F89AC-8849-D97F-74AF-24608C88A8A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9" name="Elemento grafico 88" descr="Smile di Harvey Ball 0% con riempimento a tinta unita">
              <a:extLst>
                <a:ext uri="{FF2B5EF4-FFF2-40B4-BE49-F238E27FC236}">
                  <a16:creationId xmlns:a16="http://schemas.microsoft.com/office/drawing/2014/main" id="{0EAE76B6-6AAA-3ECD-B450-292CDCAA070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0" name="Elemento grafico 89" descr="Smile di Harvey Ball 0% con riempimento a tinta unita">
              <a:extLst>
                <a:ext uri="{FF2B5EF4-FFF2-40B4-BE49-F238E27FC236}">
                  <a16:creationId xmlns:a16="http://schemas.microsoft.com/office/drawing/2014/main" id="{BF6AFE85-17F6-4197-4E13-91414F2D4D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1" name="Gruppo 70">
            <a:extLst>
              <a:ext uri="{FF2B5EF4-FFF2-40B4-BE49-F238E27FC236}">
                <a16:creationId xmlns:a16="http://schemas.microsoft.com/office/drawing/2014/main" id="{51A6F760-248E-BD41-00BE-BBEC8F3D86C4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79" name="Elemento grafico 78" descr="Smile di Harvey Ball 0% con riempimento a tinta unita">
              <a:extLst>
                <a:ext uri="{FF2B5EF4-FFF2-40B4-BE49-F238E27FC236}">
                  <a16:creationId xmlns:a16="http://schemas.microsoft.com/office/drawing/2014/main" id="{35974B4E-42A0-0C14-73C5-854347D783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0" name="Elemento grafico 79" descr="Smile di Harvey Ball 0% con riempimento a tinta unita">
              <a:extLst>
                <a:ext uri="{FF2B5EF4-FFF2-40B4-BE49-F238E27FC236}">
                  <a16:creationId xmlns:a16="http://schemas.microsoft.com/office/drawing/2014/main" id="{788A42D0-7357-A140-2DE1-2234B721F8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1" name="Elemento grafico 80" descr="Smile di Harvey Ball 0% con riempimento a tinta unita">
              <a:extLst>
                <a:ext uri="{FF2B5EF4-FFF2-40B4-BE49-F238E27FC236}">
                  <a16:creationId xmlns:a16="http://schemas.microsoft.com/office/drawing/2014/main" id="{B314F681-1077-1BD0-D5F6-EB7788B980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2" name="Elemento grafico 81" descr="Smile di Harvey Ball 0% con riempimento a tinta unita">
              <a:extLst>
                <a:ext uri="{FF2B5EF4-FFF2-40B4-BE49-F238E27FC236}">
                  <a16:creationId xmlns:a16="http://schemas.microsoft.com/office/drawing/2014/main" id="{796CBE98-CA65-A4FA-5E8D-57ACC505498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3" name="Elemento grafico 82" descr="Smile di Harvey Ball 0% con riempimento a tinta unita">
              <a:extLst>
                <a:ext uri="{FF2B5EF4-FFF2-40B4-BE49-F238E27FC236}">
                  <a16:creationId xmlns:a16="http://schemas.microsoft.com/office/drawing/2014/main" id="{FED679A7-C612-56BA-3DBF-8894A53CC8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84" name="Elemento grafico 83" descr="Smile di Harvey Ball 0% con riempimento a tinta unita">
              <a:extLst>
                <a:ext uri="{FF2B5EF4-FFF2-40B4-BE49-F238E27FC236}">
                  <a16:creationId xmlns:a16="http://schemas.microsoft.com/office/drawing/2014/main" id="{862F6A23-391E-2288-42B4-A88109D3B8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72" name="Gruppo 71">
            <a:extLst>
              <a:ext uri="{FF2B5EF4-FFF2-40B4-BE49-F238E27FC236}">
                <a16:creationId xmlns:a16="http://schemas.microsoft.com/office/drawing/2014/main" id="{A1702233-472E-B6CC-B350-F363B35C4DCB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73" name="Elemento grafico 72" descr="Smile di Harvey Ball 0% con riempimento a tinta unita">
              <a:extLst>
                <a:ext uri="{FF2B5EF4-FFF2-40B4-BE49-F238E27FC236}">
                  <a16:creationId xmlns:a16="http://schemas.microsoft.com/office/drawing/2014/main" id="{3D7C70BE-71D3-F37B-8D28-2FC4D94261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4" name="Elemento grafico 73" descr="Smile di Harvey Ball 0% con riempimento a tinta unita">
              <a:extLst>
                <a:ext uri="{FF2B5EF4-FFF2-40B4-BE49-F238E27FC236}">
                  <a16:creationId xmlns:a16="http://schemas.microsoft.com/office/drawing/2014/main" id="{5D01C02B-5A3A-4505-FA8E-E8376CF57D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5" name="Elemento grafico 74" descr="Smile di Harvey Ball 0% con riempimento a tinta unita">
              <a:extLst>
                <a:ext uri="{FF2B5EF4-FFF2-40B4-BE49-F238E27FC236}">
                  <a16:creationId xmlns:a16="http://schemas.microsoft.com/office/drawing/2014/main" id="{B06B570E-3B17-92F4-BDF0-218F9BF829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6" name="Elemento grafico 75" descr="Smile di Harvey Ball 0% con riempimento a tinta unita">
              <a:extLst>
                <a:ext uri="{FF2B5EF4-FFF2-40B4-BE49-F238E27FC236}">
                  <a16:creationId xmlns:a16="http://schemas.microsoft.com/office/drawing/2014/main" id="{5B552DC6-8AF7-B235-E28B-65DA85282D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7" name="Elemento grafico 76" descr="Smile di Harvey Ball 0% con riempimento a tinta unita">
              <a:extLst>
                <a:ext uri="{FF2B5EF4-FFF2-40B4-BE49-F238E27FC236}">
                  <a16:creationId xmlns:a16="http://schemas.microsoft.com/office/drawing/2014/main" id="{2B1BFD04-3976-B372-174E-5EB9E25561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78" name="Elemento grafico 77" descr="Smile di Harvey Ball 0% con riempimento a tinta unita">
              <a:extLst>
                <a:ext uri="{FF2B5EF4-FFF2-40B4-BE49-F238E27FC236}">
                  <a16:creationId xmlns:a16="http://schemas.microsoft.com/office/drawing/2014/main" id="{6AB1A98D-0DA8-ACB0-F548-00CEDA6B95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18</xdr:row>
      <xdr:rowOff>48863</xdr:rowOff>
    </xdr:from>
    <xdr:to>
      <xdr:col>16</xdr:col>
      <xdr:colOff>394545</xdr:colOff>
      <xdr:row>18</xdr:row>
      <xdr:rowOff>177557</xdr:rowOff>
    </xdr:to>
    <xdr:grpSp>
      <xdr:nvGrpSpPr>
        <xdr:cNvPr id="91" name="Gruppo 90">
          <a:extLst>
            <a:ext uri="{FF2B5EF4-FFF2-40B4-BE49-F238E27FC236}">
              <a16:creationId xmlns:a16="http://schemas.microsoft.com/office/drawing/2014/main" id="{408782C8-AACE-4093-A979-13681F519574}"/>
            </a:ext>
          </a:extLst>
        </xdr:cNvPr>
        <xdr:cNvGrpSpPr/>
      </xdr:nvGrpSpPr>
      <xdr:grpSpPr>
        <a:xfrm>
          <a:off x="4072466" y="4049363"/>
          <a:ext cx="2824479" cy="128694"/>
          <a:chOff x="4031826" y="3578013"/>
          <a:chExt cx="2799079" cy="128694"/>
        </a:xfrm>
      </xdr:grpSpPr>
      <xdr:grpSp>
        <xdr:nvGrpSpPr>
          <xdr:cNvPr id="92" name="Gruppo 91">
            <a:extLst>
              <a:ext uri="{FF2B5EF4-FFF2-40B4-BE49-F238E27FC236}">
                <a16:creationId xmlns:a16="http://schemas.microsoft.com/office/drawing/2014/main" id="{20286B76-2889-CA38-34C2-BC472806F2FC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07" name="Elemento grafico 106" descr="Smile di Harvey Ball 0% con riempimento a tinta unita">
              <a:extLst>
                <a:ext uri="{FF2B5EF4-FFF2-40B4-BE49-F238E27FC236}">
                  <a16:creationId xmlns:a16="http://schemas.microsoft.com/office/drawing/2014/main" id="{A0B95934-AB63-5D80-547B-E75731896FD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8" name="Elemento grafico 107" descr="Smile di Harvey Ball 0% con riempimento a tinta unita">
              <a:extLst>
                <a:ext uri="{FF2B5EF4-FFF2-40B4-BE49-F238E27FC236}">
                  <a16:creationId xmlns:a16="http://schemas.microsoft.com/office/drawing/2014/main" id="{F80BE1A0-6A22-07F3-F7A1-4DF5C175E6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9" name="Elemento grafico 108" descr="Smile di Harvey Ball 0% con riempimento a tinta unita">
              <a:extLst>
                <a:ext uri="{FF2B5EF4-FFF2-40B4-BE49-F238E27FC236}">
                  <a16:creationId xmlns:a16="http://schemas.microsoft.com/office/drawing/2014/main" id="{E92F9F70-44D8-67B7-582A-9D41059023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0" name="Elemento grafico 109" descr="Smile di Harvey Ball 0% con riempimento a tinta unita">
              <a:extLst>
                <a:ext uri="{FF2B5EF4-FFF2-40B4-BE49-F238E27FC236}">
                  <a16:creationId xmlns:a16="http://schemas.microsoft.com/office/drawing/2014/main" id="{CFF61538-0647-AD82-3D69-02C45AA1CB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1" name="Elemento grafico 110" descr="Smile di Harvey Ball 0% con riempimento a tinta unita">
              <a:extLst>
                <a:ext uri="{FF2B5EF4-FFF2-40B4-BE49-F238E27FC236}">
                  <a16:creationId xmlns:a16="http://schemas.microsoft.com/office/drawing/2014/main" id="{7267C4D9-0396-279D-550D-09074782FB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2" name="Elemento grafico 111" descr="Smile di Harvey Ball 0% con riempimento a tinta unita">
              <a:extLst>
                <a:ext uri="{FF2B5EF4-FFF2-40B4-BE49-F238E27FC236}">
                  <a16:creationId xmlns:a16="http://schemas.microsoft.com/office/drawing/2014/main" id="{3C36CFCB-934C-2F1E-CFD3-09E93967CA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3" name="Gruppo 92">
            <a:extLst>
              <a:ext uri="{FF2B5EF4-FFF2-40B4-BE49-F238E27FC236}">
                <a16:creationId xmlns:a16="http://schemas.microsoft.com/office/drawing/2014/main" id="{82988B3A-1A4F-05B3-BAD6-97CEFBC9B876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01" name="Elemento grafico 100" descr="Smile di Harvey Ball 0% con riempimento a tinta unita">
              <a:extLst>
                <a:ext uri="{FF2B5EF4-FFF2-40B4-BE49-F238E27FC236}">
                  <a16:creationId xmlns:a16="http://schemas.microsoft.com/office/drawing/2014/main" id="{E762BB04-8633-5703-58A4-CB51ED13FC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2" name="Elemento grafico 101" descr="Smile di Harvey Ball 0% con riempimento a tinta unita">
              <a:extLst>
                <a:ext uri="{FF2B5EF4-FFF2-40B4-BE49-F238E27FC236}">
                  <a16:creationId xmlns:a16="http://schemas.microsoft.com/office/drawing/2014/main" id="{B467994E-BCEF-4F70-79C5-2AC02D29CF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3" name="Elemento grafico 102" descr="Smile di Harvey Ball 0% con riempimento a tinta unita">
              <a:extLst>
                <a:ext uri="{FF2B5EF4-FFF2-40B4-BE49-F238E27FC236}">
                  <a16:creationId xmlns:a16="http://schemas.microsoft.com/office/drawing/2014/main" id="{6198E8E5-8F07-9ACF-99EC-FDA8B4B916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4" name="Elemento grafico 103" descr="Smile di Harvey Ball 0% con riempimento a tinta unita">
              <a:extLst>
                <a:ext uri="{FF2B5EF4-FFF2-40B4-BE49-F238E27FC236}">
                  <a16:creationId xmlns:a16="http://schemas.microsoft.com/office/drawing/2014/main" id="{66BAE238-A5A9-E525-53AC-A47EEBE1DD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5" name="Elemento grafico 104" descr="Smile di Harvey Ball 0% con riempimento a tinta unita">
              <a:extLst>
                <a:ext uri="{FF2B5EF4-FFF2-40B4-BE49-F238E27FC236}">
                  <a16:creationId xmlns:a16="http://schemas.microsoft.com/office/drawing/2014/main" id="{48BBDE1F-CD20-6B63-3675-4C2B7C3A9DF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6" name="Elemento grafico 105" descr="Smile di Harvey Ball 0% con riempimento a tinta unita">
              <a:extLst>
                <a:ext uri="{FF2B5EF4-FFF2-40B4-BE49-F238E27FC236}">
                  <a16:creationId xmlns:a16="http://schemas.microsoft.com/office/drawing/2014/main" id="{06668708-D193-5BC0-8A9C-9E9FA120F3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94" name="Gruppo 93">
            <a:extLst>
              <a:ext uri="{FF2B5EF4-FFF2-40B4-BE49-F238E27FC236}">
                <a16:creationId xmlns:a16="http://schemas.microsoft.com/office/drawing/2014/main" id="{9DCFDAA8-9B7D-93E2-2734-5C870F8801F9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95" name="Elemento grafico 94" descr="Smile di Harvey Ball 0% con riempimento a tinta unita">
              <a:extLst>
                <a:ext uri="{FF2B5EF4-FFF2-40B4-BE49-F238E27FC236}">
                  <a16:creationId xmlns:a16="http://schemas.microsoft.com/office/drawing/2014/main" id="{3329A86E-0A45-1BA8-4B93-7AE6DC2CB8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6" name="Elemento grafico 95" descr="Smile di Harvey Ball 0% con riempimento a tinta unita">
              <a:extLst>
                <a:ext uri="{FF2B5EF4-FFF2-40B4-BE49-F238E27FC236}">
                  <a16:creationId xmlns:a16="http://schemas.microsoft.com/office/drawing/2014/main" id="{A1A9A3FB-F4B8-2E31-07FF-A7CF719CB9A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7" name="Elemento grafico 96" descr="Smile di Harvey Ball 0% con riempimento a tinta unita">
              <a:extLst>
                <a:ext uri="{FF2B5EF4-FFF2-40B4-BE49-F238E27FC236}">
                  <a16:creationId xmlns:a16="http://schemas.microsoft.com/office/drawing/2014/main" id="{DAABAB42-D498-D873-3FD9-BED753BE5F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8" name="Elemento grafico 97" descr="Smile di Harvey Ball 0% con riempimento a tinta unita">
              <a:extLst>
                <a:ext uri="{FF2B5EF4-FFF2-40B4-BE49-F238E27FC236}">
                  <a16:creationId xmlns:a16="http://schemas.microsoft.com/office/drawing/2014/main" id="{BD48585A-4C0D-17AB-440A-3AB4998D38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99" name="Elemento grafico 98" descr="Smile di Harvey Ball 0% con riempimento a tinta unita">
              <a:extLst>
                <a:ext uri="{FF2B5EF4-FFF2-40B4-BE49-F238E27FC236}">
                  <a16:creationId xmlns:a16="http://schemas.microsoft.com/office/drawing/2014/main" id="{56C09009-8262-42CD-6D91-F39630798E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00" name="Elemento grafico 99" descr="Smile di Harvey Ball 0% con riempimento a tinta unita">
              <a:extLst>
                <a:ext uri="{FF2B5EF4-FFF2-40B4-BE49-F238E27FC236}">
                  <a16:creationId xmlns:a16="http://schemas.microsoft.com/office/drawing/2014/main" id="{C59DE902-46CC-E0A5-983E-189D35E12E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19</xdr:row>
      <xdr:rowOff>48380</xdr:rowOff>
    </xdr:from>
    <xdr:to>
      <xdr:col>16</xdr:col>
      <xdr:colOff>394545</xdr:colOff>
      <xdr:row>19</xdr:row>
      <xdr:rowOff>177074</xdr:rowOff>
    </xdr:to>
    <xdr:grpSp>
      <xdr:nvGrpSpPr>
        <xdr:cNvPr id="113" name="Gruppo 112">
          <a:extLst>
            <a:ext uri="{FF2B5EF4-FFF2-40B4-BE49-F238E27FC236}">
              <a16:creationId xmlns:a16="http://schemas.microsoft.com/office/drawing/2014/main" id="{EFA706B8-F102-4F2F-9B7A-8DD64861695B}"/>
            </a:ext>
          </a:extLst>
        </xdr:cNvPr>
        <xdr:cNvGrpSpPr/>
      </xdr:nvGrpSpPr>
      <xdr:grpSpPr>
        <a:xfrm>
          <a:off x="4072466" y="4271130"/>
          <a:ext cx="2824479" cy="128694"/>
          <a:chOff x="4031826" y="3578013"/>
          <a:chExt cx="2799079" cy="128694"/>
        </a:xfrm>
      </xdr:grpSpPr>
      <xdr:grpSp>
        <xdr:nvGrpSpPr>
          <xdr:cNvPr id="114" name="Gruppo 113">
            <a:extLst>
              <a:ext uri="{FF2B5EF4-FFF2-40B4-BE49-F238E27FC236}">
                <a16:creationId xmlns:a16="http://schemas.microsoft.com/office/drawing/2014/main" id="{ECC67D25-F773-65B0-CC8D-309F935D5107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29" name="Elemento grafico 128" descr="Smile di Harvey Ball 0% con riempimento a tinta unita">
              <a:extLst>
                <a:ext uri="{FF2B5EF4-FFF2-40B4-BE49-F238E27FC236}">
                  <a16:creationId xmlns:a16="http://schemas.microsoft.com/office/drawing/2014/main" id="{E5666737-2FBB-0408-3DA9-B07FCB7603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0" name="Elemento grafico 129" descr="Smile di Harvey Ball 0% con riempimento a tinta unita">
              <a:extLst>
                <a:ext uri="{FF2B5EF4-FFF2-40B4-BE49-F238E27FC236}">
                  <a16:creationId xmlns:a16="http://schemas.microsoft.com/office/drawing/2014/main" id="{C52420E9-7D75-9FB8-0ABA-9C3AEE9D25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1" name="Elemento grafico 130" descr="Smile di Harvey Ball 0% con riempimento a tinta unita">
              <a:extLst>
                <a:ext uri="{FF2B5EF4-FFF2-40B4-BE49-F238E27FC236}">
                  <a16:creationId xmlns:a16="http://schemas.microsoft.com/office/drawing/2014/main" id="{B8211CE1-7BB1-93DE-1DAD-57FA2B2003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2" name="Elemento grafico 131" descr="Smile di Harvey Ball 0% con riempimento a tinta unita">
              <a:extLst>
                <a:ext uri="{FF2B5EF4-FFF2-40B4-BE49-F238E27FC236}">
                  <a16:creationId xmlns:a16="http://schemas.microsoft.com/office/drawing/2014/main" id="{29BB4849-D249-A7BB-E507-70C62DDED88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3" name="Elemento grafico 132" descr="Smile di Harvey Ball 0% con riempimento a tinta unita">
              <a:extLst>
                <a:ext uri="{FF2B5EF4-FFF2-40B4-BE49-F238E27FC236}">
                  <a16:creationId xmlns:a16="http://schemas.microsoft.com/office/drawing/2014/main" id="{3ED4CBA5-34B8-2B48-9E8A-B022F41DF7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34" name="Elemento grafico 133" descr="Smile di Harvey Ball 0% con riempimento a tinta unita">
              <a:extLst>
                <a:ext uri="{FF2B5EF4-FFF2-40B4-BE49-F238E27FC236}">
                  <a16:creationId xmlns:a16="http://schemas.microsoft.com/office/drawing/2014/main" id="{EC1DAD45-21FE-9CF8-B7AA-7F7E376CBA4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5" name="Gruppo 114">
            <a:extLst>
              <a:ext uri="{FF2B5EF4-FFF2-40B4-BE49-F238E27FC236}">
                <a16:creationId xmlns:a16="http://schemas.microsoft.com/office/drawing/2014/main" id="{0C00D29D-D7D9-8786-003F-B0F3E6296E7F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23" name="Elemento grafico 122" descr="Smile di Harvey Ball 0% con riempimento a tinta unita">
              <a:extLst>
                <a:ext uri="{FF2B5EF4-FFF2-40B4-BE49-F238E27FC236}">
                  <a16:creationId xmlns:a16="http://schemas.microsoft.com/office/drawing/2014/main" id="{56534EF9-7851-B0BD-2C27-3B9E27DEFE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4" name="Elemento grafico 123" descr="Smile di Harvey Ball 0% con riempimento a tinta unita">
              <a:extLst>
                <a:ext uri="{FF2B5EF4-FFF2-40B4-BE49-F238E27FC236}">
                  <a16:creationId xmlns:a16="http://schemas.microsoft.com/office/drawing/2014/main" id="{9C44212A-C69C-D4D8-24B3-5D7002BB17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5" name="Elemento grafico 124" descr="Smile di Harvey Ball 0% con riempimento a tinta unita">
              <a:extLst>
                <a:ext uri="{FF2B5EF4-FFF2-40B4-BE49-F238E27FC236}">
                  <a16:creationId xmlns:a16="http://schemas.microsoft.com/office/drawing/2014/main" id="{E55948E7-0929-F1E8-0359-5DB25DC81C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6" name="Elemento grafico 125" descr="Smile di Harvey Ball 0% con riempimento a tinta unita">
              <a:extLst>
                <a:ext uri="{FF2B5EF4-FFF2-40B4-BE49-F238E27FC236}">
                  <a16:creationId xmlns:a16="http://schemas.microsoft.com/office/drawing/2014/main" id="{7490EF7F-D556-B4A6-72FC-964804EEA3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7" name="Elemento grafico 126" descr="Smile di Harvey Ball 0% con riempimento a tinta unita">
              <a:extLst>
                <a:ext uri="{FF2B5EF4-FFF2-40B4-BE49-F238E27FC236}">
                  <a16:creationId xmlns:a16="http://schemas.microsoft.com/office/drawing/2014/main" id="{FEEB1122-0669-7B64-1EE4-01468C9FDA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8" name="Elemento grafico 127" descr="Smile di Harvey Ball 0% con riempimento a tinta unita">
              <a:extLst>
                <a:ext uri="{FF2B5EF4-FFF2-40B4-BE49-F238E27FC236}">
                  <a16:creationId xmlns:a16="http://schemas.microsoft.com/office/drawing/2014/main" id="{61392A0E-3230-49B6-FD66-743A7A7937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16" name="Gruppo 115">
            <a:extLst>
              <a:ext uri="{FF2B5EF4-FFF2-40B4-BE49-F238E27FC236}">
                <a16:creationId xmlns:a16="http://schemas.microsoft.com/office/drawing/2014/main" id="{82857C90-07E1-D7DD-49E7-663F94BC2EC6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17" name="Elemento grafico 116" descr="Smile di Harvey Ball 0% con riempimento a tinta unita">
              <a:extLst>
                <a:ext uri="{FF2B5EF4-FFF2-40B4-BE49-F238E27FC236}">
                  <a16:creationId xmlns:a16="http://schemas.microsoft.com/office/drawing/2014/main" id="{EEEE54EC-7D98-A0E4-1E91-E9E92F4CD0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8" name="Elemento grafico 117" descr="Smile di Harvey Ball 0% con riempimento a tinta unita">
              <a:extLst>
                <a:ext uri="{FF2B5EF4-FFF2-40B4-BE49-F238E27FC236}">
                  <a16:creationId xmlns:a16="http://schemas.microsoft.com/office/drawing/2014/main" id="{40470B1E-A232-FBF6-C32F-DF0EB59BDC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19" name="Elemento grafico 118" descr="Smile di Harvey Ball 0% con riempimento a tinta unita">
              <a:extLst>
                <a:ext uri="{FF2B5EF4-FFF2-40B4-BE49-F238E27FC236}">
                  <a16:creationId xmlns:a16="http://schemas.microsoft.com/office/drawing/2014/main" id="{F5B20B47-DFF0-881D-F7A1-9846553959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0" name="Elemento grafico 119" descr="Smile di Harvey Ball 0% con riempimento a tinta unita">
              <a:extLst>
                <a:ext uri="{FF2B5EF4-FFF2-40B4-BE49-F238E27FC236}">
                  <a16:creationId xmlns:a16="http://schemas.microsoft.com/office/drawing/2014/main" id="{8C348144-DDD5-80AC-3C8B-40DFFA8015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1" name="Elemento grafico 120" descr="Smile di Harvey Ball 0% con riempimento a tinta unita">
              <a:extLst>
                <a:ext uri="{FF2B5EF4-FFF2-40B4-BE49-F238E27FC236}">
                  <a16:creationId xmlns:a16="http://schemas.microsoft.com/office/drawing/2014/main" id="{064741F4-B93F-06C9-7B50-D970D63E9A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22" name="Elemento grafico 121" descr="Smile di Harvey Ball 0% con riempimento a tinta unita">
              <a:extLst>
                <a:ext uri="{FF2B5EF4-FFF2-40B4-BE49-F238E27FC236}">
                  <a16:creationId xmlns:a16="http://schemas.microsoft.com/office/drawing/2014/main" id="{ECCCB76E-C907-A756-2931-B7BD56921B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15</xdr:row>
      <xdr:rowOff>50313</xdr:rowOff>
    </xdr:from>
    <xdr:to>
      <xdr:col>16</xdr:col>
      <xdr:colOff>394545</xdr:colOff>
      <xdr:row>15</xdr:row>
      <xdr:rowOff>179007</xdr:rowOff>
    </xdr:to>
    <xdr:grpSp>
      <xdr:nvGrpSpPr>
        <xdr:cNvPr id="135" name="Gruppo 134">
          <a:extLst>
            <a:ext uri="{FF2B5EF4-FFF2-40B4-BE49-F238E27FC236}">
              <a16:creationId xmlns:a16="http://schemas.microsoft.com/office/drawing/2014/main" id="{68C5A657-7402-4956-B6E1-BA2B34816AB2}"/>
            </a:ext>
          </a:extLst>
        </xdr:cNvPr>
        <xdr:cNvGrpSpPr/>
      </xdr:nvGrpSpPr>
      <xdr:grpSpPr>
        <a:xfrm>
          <a:off x="4072466" y="3384063"/>
          <a:ext cx="2824479" cy="128694"/>
          <a:chOff x="4031826" y="3578013"/>
          <a:chExt cx="2799079" cy="128694"/>
        </a:xfrm>
      </xdr:grpSpPr>
      <xdr:grpSp>
        <xdr:nvGrpSpPr>
          <xdr:cNvPr id="136" name="Gruppo 135">
            <a:extLst>
              <a:ext uri="{FF2B5EF4-FFF2-40B4-BE49-F238E27FC236}">
                <a16:creationId xmlns:a16="http://schemas.microsoft.com/office/drawing/2014/main" id="{A8CE3E07-F8C6-D06B-EF07-7461E920F466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51" name="Elemento grafico 150" descr="Smile di Harvey Ball 0% con riempimento a tinta unita">
              <a:extLst>
                <a:ext uri="{FF2B5EF4-FFF2-40B4-BE49-F238E27FC236}">
                  <a16:creationId xmlns:a16="http://schemas.microsoft.com/office/drawing/2014/main" id="{25722A0A-50DB-424B-8BB1-3014A67284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2" name="Elemento grafico 151" descr="Smile di Harvey Ball 0% con riempimento a tinta unita">
              <a:extLst>
                <a:ext uri="{FF2B5EF4-FFF2-40B4-BE49-F238E27FC236}">
                  <a16:creationId xmlns:a16="http://schemas.microsoft.com/office/drawing/2014/main" id="{D8E48111-BCFC-108B-2643-1F78C54C9C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3" name="Elemento grafico 152" descr="Smile di Harvey Ball 0% con riempimento a tinta unita">
              <a:extLst>
                <a:ext uri="{FF2B5EF4-FFF2-40B4-BE49-F238E27FC236}">
                  <a16:creationId xmlns:a16="http://schemas.microsoft.com/office/drawing/2014/main" id="{E9117F3D-4280-E688-0699-7C9D10ECFE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4" name="Elemento grafico 153" descr="Smile di Harvey Ball 0% con riempimento a tinta unita">
              <a:extLst>
                <a:ext uri="{FF2B5EF4-FFF2-40B4-BE49-F238E27FC236}">
                  <a16:creationId xmlns:a16="http://schemas.microsoft.com/office/drawing/2014/main" id="{4754CF1A-540A-73DC-0155-10D2EE7484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5" name="Elemento grafico 154" descr="Smile di Harvey Ball 0% con riempimento a tinta unita">
              <a:extLst>
                <a:ext uri="{FF2B5EF4-FFF2-40B4-BE49-F238E27FC236}">
                  <a16:creationId xmlns:a16="http://schemas.microsoft.com/office/drawing/2014/main" id="{F60ECA77-ED06-C9C4-32F7-2AD6312E5F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6" name="Elemento grafico 155" descr="Smile di Harvey Ball 0% con riempimento a tinta unita">
              <a:extLst>
                <a:ext uri="{FF2B5EF4-FFF2-40B4-BE49-F238E27FC236}">
                  <a16:creationId xmlns:a16="http://schemas.microsoft.com/office/drawing/2014/main" id="{B3B78DC6-CBC2-61C0-3C39-2C8AE8F2FF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7" name="Gruppo 136">
            <a:extLst>
              <a:ext uri="{FF2B5EF4-FFF2-40B4-BE49-F238E27FC236}">
                <a16:creationId xmlns:a16="http://schemas.microsoft.com/office/drawing/2014/main" id="{9A61042C-DA9A-A270-5574-399A2BA6A131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45" name="Elemento grafico 144" descr="Smile di Harvey Ball 0% con riempimento a tinta unita">
              <a:extLst>
                <a:ext uri="{FF2B5EF4-FFF2-40B4-BE49-F238E27FC236}">
                  <a16:creationId xmlns:a16="http://schemas.microsoft.com/office/drawing/2014/main" id="{B93CEC0C-0CDE-7D6A-3906-AB4BCA9777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6" name="Elemento grafico 145" descr="Smile di Harvey Ball 0% con riempimento a tinta unita">
              <a:extLst>
                <a:ext uri="{FF2B5EF4-FFF2-40B4-BE49-F238E27FC236}">
                  <a16:creationId xmlns:a16="http://schemas.microsoft.com/office/drawing/2014/main" id="{146518F3-315C-D914-628F-A8B24318DE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7" name="Elemento grafico 146" descr="Smile di Harvey Ball 0% con riempimento a tinta unita">
              <a:extLst>
                <a:ext uri="{FF2B5EF4-FFF2-40B4-BE49-F238E27FC236}">
                  <a16:creationId xmlns:a16="http://schemas.microsoft.com/office/drawing/2014/main" id="{17E9D7C7-BEC5-C06F-3493-D1E7F34E61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8" name="Elemento grafico 147" descr="Smile di Harvey Ball 0% con riempimento a tinta unita">
              <a:extLst>
                <a:ext uri="{FF2B5EF4-FFF2-40B4-BE49-F238E27FC236}">
                  <a16:creationId xmlns:a16="http://schemas.microsoft.com/office/drawing/2014/main" id="{64EA0B65-F9E7-67AD-56E8-EB38E40D03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9" name="Elemento grafico 148" descr="Smile di Harvey Ball 0% con riempimento a tinta unita">
              <a:extLst>
                <a:ext uri="{FF2B5EF4-FFF2-40B4-BE49-F238E27FC236}">
                  <a16:creationId xmlns:a16="http://schemas.microsoft.com/office/drawing/2014/main" id="{89248B9F-B578-E498-482D-9DB1A0FAAF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50" name="Elemento grafico 149" descr="Smile di Harvey Ball 0% con riempimento a tinta unita">
              <a:extLst>
                <a:ext uri="{FF2B5EF4-FFF2-40B4-BE49-F238E27FC236}">
                  <a16:creationId xmlns:a16="http://schemas.microsoft.com/office/drawing/2014/main" id="{984AE6BD-744D-650B-971C-13B9C14E11D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38" name="Gruppo 137">
            <a:extLst>
              <a:ext uri="{FF2B5EF4-FFF2-40B4-BE49-F238E27FC236}">
                <a16:creationId xmlns:a16="http://schemas.microsoft.com/office/drawing/2014/main" id="{60E64144-A869-7761-F6CC-585DC45D4433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39" name="Elemento grafico 138" descr="Smile di Harvey Ball 0% con riempimento a tinta unita">
              <a:extLst>
                <a:ext uri="{FF2B5EF4-FFF2-40B4-BE49-F238E27FC236}">
                  <a16:creationId xmlns:a16="http://schemas.microsoft.com/office/drawing/2014/main" id="{57A84E66-7C9C-D393-53C1-A80D93AB19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0" name="Elemento grafico 139" descr="Smile di Harvey Ball 0% con riempimento a tinta unita">
              <a:extLst>
                <a:ext uri="{FF2B5EF4-FFF2-40B4-BE49-F238E27FC236}">
                  <a16:creationId xmlns:a16="http://schemas.microsoft.com/office/drawing/2014/main" id="{526A09C1-BB40-BE66-05E4-7991F0CEA4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1" name="Elemento grafico 140" descr="Smile di Harvey Ball 0% con riempimento a tinta unita">
              <a:extLst>
                <a:ext uri="{FF2B5EF4-FFF2-40B4-BE49-F238E27FC236}">
                  <a16:creationId xmlns:a16="http://schemas.microsoft.com/office/drawing/2014/main" id="{47AC3C7C-1B3E-A0AF-8436-B78660FF51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2" name="Elemento grafico 141" descr="Smile di Harvey Ball 0% con riempimento a tinta unita">
              <a:extLst>
                <a:ext uri="{FF2B5EF4-FFF2-40B4-BE49-F238E27FC236}">
                  <a16:creationId xmlns:a16="http://schemas.microsoft.com/office/drawing/2014/main" id="{FFBF63A2-CE16-AEE4-C577-A7A63B48A4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3" name="Elemento grafico 142" descr="Smile di Harvey Ball 0% con riempimento a tinta unita">
              <a:extLst>
                <a:ext uri="{FF2B5EF4-FFF2-40B4-BE49-F238E27FC236}">
                  <a16:creationId xmlns:a16="http://schemas.microsoft.com/office/drawing/2014/main" id="{FF5E732A-1F86-1CE4-B803-683E2B2F69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44" name="Elemento grafico 143" descr="Smile di Harvey Ball 0% con riempimento a tinta unita">
              <a:extLst>
                <a:ext uri="{FF2B5EF4-FFF2-40B4-BE49-F238E27FC236}">
                  <a16:creationId xmlns:a16="http://schemas.microsoft.com/office/drawing/2014/main" id="{4F6188DF-C5FE-EC30-BC23-B3F9D9E4FF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8466</xdr:colOff>
      <xdr:row>14</xdr:row>
      <xdr:rowOff>50796</xdr:rowOff>
    </xdr:from>
    <xdr:to>
      <xdr:col>16</xdr:col>
      <xdr:colOff>394545</xdr:colOff>
      <xdr:row>14</xdr:row>
      <xdr:rowOff>179490</xdr:rowOff>
    </xdr:to>
    <xdr:grpSp>
      <xdr:nvGrpSpPr>
        <xdr:cNvPr id="157" name="Gruppo 156">
          <a:extLst>
            <a:ext uri="{FF2B5EF4-FFF2-40B4-BE49-F238E27FC236}">
              <a16:creationId xmlns:a16="http://schemas.microsoft.com/office/drawing/2014/main" id="{A76DF8A1-D219-41B3-8A15-608F36117D37}"/>
            </a:ext>
          </a:extLst>
        </xdr:cNvPr>
        <xdr:cNvGrpSpPr/>
      </xdr:nvGrpSpPr>
      <xdr:grpSpPr>
        <a:xfrm>
          <a:off x="4072466" y="3162296"/>
          <a:ext cx="2824479" cy="128694"/>
          <a:chOff x="4031826" y="3578013"/>
          <a:chExt cx="2799079" cy="128694"/>
        </a:xfrm>
      </xdr:grpSpPr>
      <xdr:grpSp>
        <xdr:nvGrpSpPr>
          <xdr:cNvPr id="158" name="Gruppo 157">
            <a:extLst>
              <a:ext uri="{FF2B5EF4-FFF2-40B4-BE49-F238E27FC236}">
                <a16:creationId xmlns:a16="http://schemas.microsoft.com/office/drawing/2014/main" id="{0680DC51-3B38-5692-392D-77296D57B0A5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73" name="Elemento grafico 172" descr="Smile di Harvey Ball 0% con riempimento a tinta unita">
              <a:extLst>
                <a:ext uri="{FF2B5EF4-FFF2-40B4-BE49-F238E27FC236}">
                  <a16:creationId xmlns:a16="http://schemas.microsoft.com/office/drawing/2014/main" id="{8DCBAF53-B403-E730-A2AD-28EA7FB0E0B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4" name="Elemento grafico 173" descr="Smile di Harvey Ball 0% con riempimento a tinta unita">
              <a:extLst>
                <a:ext uri="{FF2B5EF4-FFF2-40B4-BE49-F238E27FC236}">
                  <a16:creationId xmlns:a16="http://schemas.microsoft.com/office/drawing/2014/main" id="{8BBFCB7F-BC35-FB92-47E3-145DCD7D3C5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5" name="Elemento grafico 174" descr="Smile di Harvey Ball 0% con riempimento a tinta unita">
              <a:extLst>
                <a:ext uri="{FF2B5EF4-FFF2-40B4-BE49-F238E27FC236}">
                  <a16:creationId xmlns:a16="http://schemas.microsoft.com/office/drawing/2014/main" id="{578DB985-380D-51E8-CDB9-FC66B4247C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6" name="Elemento grafico 175" descr="Smile di Harvey Ball 0% con riempimento a tinta unita">
              <a:extLst>
                <a:ext uri="{FF2B5EF4-FFF2-40B4-BE49-F238E27FC236}">
                  <a16:creationId xmlns:a16="http://schemas.microsoft.com/office/drawing/2014/main" id="{10D7534A-0663-D4F4-7872-87901224D4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7" name="Elemento grafico 176" descr="Smile di Harvey Ball 0% con riempimento a tinta unita">
              <a:extLst>
                <a:ext uri="{FF2B5EF4-FFF2-40B4-BE49-F238E27FC236}">
                  <a16:creationId xmlns:a16="http://schemas.microsoft.com/office/drawing/2014/main" id="{AFD09ABC-987E-0A49-4FCD-7FC81FCD4A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8" name="Elemento grafico 177" descr="Smile di Harvey Ball 0% con riempimento a tinta unita">
              <a:extLst>
                <a:ext uri="{FF2B5EF4-FFF2-40B4-BE49-F238E27FC236}">
                  <a16:creationId xmlns:a16="http://schemas.microsoft.com/office/drawing/2014/main" id="{5DE1D746-3EA6-FD12-227D-0967426D56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59" name="Gruppo 158">
            <a:extLst>
              <a:ext uri="{FF2B5EF4-FFF2-40B4-BE49-F238E27FC236}">
                <a16:creationId xmlns:a16="http://schemas.microsoft.com/office/drawing/2014/main" id="{BEBCDC72-C8BD-128D-4E0B-7AB9BBE58F37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67" name="Elemento grafico 166" descr="Smile di Harvey Ball 0% con riempimento a tinta unita">
              <a:extLst>
                <a:ext uri="{FF2B5EF4-FFF2-40B4-BE49-F238E27FC236}">
                  <a16:creationId xmlns:a16="http://schemas.microsoft.com/office/drawing/2014/main" id="{F8F37714-E04C-6CC0-735B-A08A2FB095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8" name="Elemento grafico 167" descr="Smile di Harvey Ball 0% con riempimento a tinta unita">
              <a:extLst>
                <a:ext uri="{FF2B5EF4-FFF2-40B4-BE49-F238E27FC236}">
                  <a16:creationId xmlns:a16="http://schemas.microsoft.com/office/drawing/2014/main" id="{5B7A2689-FC9C-B443-075B-397E9B5CCD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9" name="Elemento grafico 168" descr="Smile di Harvey Ball 0% con riempimento a tinta unita">
              <a:extLst>
                <a:ext uri="{FF2B5EF4-FFF2-40B4-BE49-F238E27FC236}">
                  <a16:creationId xmlns:a16="http://schemas.microsoft.com/office/drawing/2014/main" id="{1D285476-E4A3-F130-F7F9-63888A411D7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0" name="Elemento grafico 169" descr="Smile di Harvey Ball 0% con riempimento a tinta unita">
              <a:extLst>
                <a:ext uri="{FF2B5EF4-FFF2-40B4-BE49-F238E27FC236}">
                  <a16:creationId xmlns:a16="http://schemas.microsoft.com/office/drawing/2014/main" id="{774DC2B3-27C7-C066-5D2D-922EBD4A7A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1" name="Elemento grafico 170" descr="Smile di Harvey Ball 0% con riempimento a tinta unita">
              <a:extLst>
                <a:ext uri="{FF2B5EF4-FFF2-40B4-BE49-F238E27FC236}">
                  <a16:creationId xmlns:a16="http://schemas.microsoft.com/office/drawing/2014/main" id="{7A4EE1DD-63BA-D4D5-BE67-7B9D040EC6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72" name="Elemento grafico 171" descr="Smile di Harvey Ball 0% con riempimento a tinta unita">
              <a:extLst>
                <a:ext uri="{FF2B5EF4-FFF2-40B4-BE49-F238E27FC236}">
                  <a16:creationId xmlns:a16="http://schemas.microsoft.com/office/drawing/2014/main" id="{A88F45B7-862D-3B73-FDB9-4AD238AD4C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60" name="Gruppo 159">
            <a:extLst>
              <a:ext uri="{FF2B5EF4-FFF2-40B4-BE49-F238E27FC236}">
                <a16:creationId xmlns:a16="http://schemas.microsoft.com/office/drawing/2014/main" id="{BC5358E2-08D8-ED85-25F4-CA00EB4C5E0B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61" name="Elemento grafico 160" descr="Smile di Harvey Ball 0% con riempimento a tinta unita">
              <a:extLst>
                <a:ext uri="{FF2B5EF4-FFF2-40B4-BE49-F238E27FC236}">
                  <a16:creationId xmlns:a16="http://schemas.microsoft.com/office/drawing/2014/main" id="{58C93D47-33BF-C3E1-0D08-01245CB52D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2" name="Elemento grafico 161" descr="Smile di Harvey Ball 0% con riempimento a tinta unita">
              <a:extLst>
                <a:ext uri="{FF2B5EF4-FFF2-40B4-BE49-F238E27FC236}">
                  <a16:creationId xmlns:a16="http://schemas.microsoft.com/office/drawing/2014/main" id="{1D1825D2-3337-186E-289F-740FA2BED8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3" name="Elemento grafico 162" descr="Smile di Harvey Ball 0% con riempimento a tinta unita">
              <a:extLst>
                <a:ext uri="{FF2B5EF4-FFF2-40B4-BE49-F238E27FC236}">
                  <a16:creationId xmlns:a16="http://schemas.microsoft.com/office/drawing/2014/main" id="{1306BD77-007D-A13C-2D11-1ED2B481E8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4" name="Elemento grafico 163" descr="Smile di Harvey Ball 0% con riempimento a tinta unita">
              <a:extLst>
                <a:ext uri="{FF2B5EF4-FFF2-40B4-BE49-F238E27FC236}">
                  <a16:creationId xmlns:a16="http://schemas.microsoft.com/office/drawing/2014/main" id="{4A191B87-CCAA-7DCA-ACED-F1429D9A74C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5" name="Elemento grafico 164" descr="Smile di Harvey Ball 0% con riempimento a tinta unita">
              <a:extLst>
                <a:ext uri="{FF2B5EF4-FFF2-40B4-BE49-F238E27FC236}">
                  <a16:creationId xmlns:a16="http://schemas.microsoft.com/office/drawing/2014/main" id="{8BA299CF-DD5E-330D-F2EE-EAB892C755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66" name="Elemento grafico 165" descr="Smile di Harvey Ball 0% con riempimento a tinta unita">
              <a:extLst>
                <a:ext uri="{FF2B5EF4-FFF2-40B4-BE49-F238E27FC236}">
                  <a16:creationId xmlns:a16="http://schemas.microsoft.com/office/drawing/2014/main" id="{AC19966C-8388-F822-2A1F-2719D54032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>
              <a:extLst>
                <a:ext uri="{96DAC541-7B7A-43D3-8B79-37D633B846F1}">
                  <asvg:svgBlip xmlns:asvg="http://schemas.microsoft.com/office/drawing/2016/SVG/main" r:embed="rId20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40640</xdr:colOff>
      <xdr:row>22</xdr:row>
      <xdr:rowOff>25400</xdr:rowOff>
    </xdr:from>
    <xdr:to>
      <xdr:col>16</xdr:col>
      <xdr:colOff>173919</xdr:colOff>
      <xdr:row>22</xdr:row>
      <xdr:rowOff>154094</xdr:rowOff>
    </xdr:to>
    <xdr:pic>
      <xdr:nvPicPr>
        <xdr:cNvPr id="179" name="Elemento grafico 178" descr="Smile di Harvey Ball 0% con riempimento a tinta unita">
          <a:extLst>
            <a:ext uri="{FF2B5EF4-FFF2-40B4-BE49-F238E27FC236}">
              <a16:creationId xmlns:a16="http://schemas.microsoft.com/office/drawing/2014/main" id="{5A2C7769-204E-48CB-9E66-21D847098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543040" y="4942840"/>
          <a:ext cx="133279" cy="128694"/>
        </a:xfrm>
        <a:prstGeom prst="rect">
          <a:avLst/>
        </a:prstGeom>
      </xdr:spPr>
    </xdr:pic>
    <xdr:clientData/>
  </xdr:twoCellAnchor>
  <xdr:twoCellAnchor>
    <xdr:from>
      <xdr:col>10</xdr:col>
      <xdr:colOff>8466</xdr:colOff>
      <xdr:row>13</xdr:row>
      <xdr:rowOff>54910</xdr:rowOff>
    </xdr:from>
    <xdr:to>
      <xdr:col>16</xdr:col>
      <xdr:colOff>394545</xdr:colOff>
      <xdr:row>13</xdr:row>
      <xdr:rowOff>183604</xdr:rowOff>
    </xdr:to>
    <xdr:grpSp>
      <xdr:nvGrpSpPr>
        <xdr:cNvPr id="180" name="Gruppo 179">
          <a:extLst>
            <a:ext uri="{FF2B5EF4-FFF2-40B4-BE49-F238E27FC236}">
              <a16:creationId xmlns:a16="http://schemas.microsoft.com/office/drawing/2014/main" id="{2479E5FC-D37B-4516-A0AA-94C12DE98536}"/>
            </a:ext>
          </a:extLst>
        </xdr:cNvPr>
        <xdr:cNvGrpSpPr/>
      </xdr:nvGrpSpPr>
      <xdr:grpSpPr>
        <a:xfrm>
          <a:off x="4072466" y="2944160"/>
          <a:ext cx="2824479" cy="128694"/>
          <a:chOff x="4031826" y="3578013"/>
          <a:chExt cx="2799079" cy="128694"/>
        </a:xfrm>
      </xdr:grpSpPr>
      <xdr:grpSp>
        <xdr:nvGrpSpPr>
          <xdr:cNvPr id="181" name="Gruppo 180">
            <a:extLst>
              <a:ext uri="{FF2B5EF4-FFF2-40B4-BE49-F238E27FC236}">
                <a16:creationId xmlns:a16="http://schemas.microsoft.com/office/drawing/2014/main" id="{68D27BEB-3055-7760-8917-F922D3703BBE}"/>
              </a:ext>
            </a:extLst>
          </xdr:cNvPr>
          <xdr:cNvGrpSpPr/>
        </xdr:nvGrpSpPr>
        <xdr:grpSpPr>
          <a:xfrm>
            <a:off x="4031826" y="3578013"/>
            <a:ext cx="860214" cy="128694"/>
            <a:chOff x="4036059" y="3578013"/>
            <a:chExt cx="860214" cy="128694"/>
          </a:xfrm>
        </xdr:grpSpPr>
        <xdr:pic>
          <xdr:nvPicPr>
            <xdr:cNvPr id="196" name="Elemento grafico 195" descr="Smile di Harvey Ball 0% con riempimento a tinta unita">
              <a:extLst>
                <a:ext uri="{FF2B5EF4-FFF2-40B4-BE49-F238E27FC236}">
                  <a16:creationId xmlns:a16="http://schemas.microsoft.com/office/drawing/2014/main" id="{B61112F4-F705-B8BB-F84B-43E6FC3047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7" name="Elemento grafico 196" descr="Smile di Harvey Ball 0% con riempimento a tinta unita">
              <a:extLst>
                <a:ext uri="{FF2B5EF4-FFF2-40B4-BE49-F238E27FC236}">
                  <a16:creationId xmlns:a16="http://schemas.microsoft.com/office/drawing/2014/main" id="{5DB119BE-0E2D-FD88-8167-8160B4F5EF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8" name="Elemento grafico 197" descr="Smile di Harvey Ball 0% con riempimento a tinta unita">
              <a:extLst>
                <a:ext uri="{FF2B5EF4-FFF2-40B4-BE49-F238E27FC236}">
                  <a16:creationId xmlns:a16="http://schemas.microsoft.com/office/drawing/2014/main" id="{65E20A79-6F72-0588-0815-8EC2154E59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9" name="Elemento grafico 198" descr="Smile di Harvey Ball 0% con riempimento a tinta unita">
              <a:extLst>
                <a:ext uri="{FF2B5EF4-FFF2-40B4-BE49-F238E27FC236}">
                  <a16:creationId xmlns:a16="http://schemas.microsoft.com/office/drawing/2014/main" id="{188173BA-0C1E-5A94-4EDD-AE10980BA3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0" name="Elemento grafico 199" descr="Smile di Harvey Ball 0% con riempimento a tinta unita">
              <a:extLst>
                <a:ext uri="{FF2B5EF4-FFF2-40B4-BE49-F238E27FC236}">
                  <a16:creationId xmlns:a16="http://schemas.microsoft.com/office/drawing/2014/main" id="{C006D7F4-D035-0550-ED07-EEAA8C55DA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201" name="Elemento grafico 200" descr="Smile di Harvey Ball 0% con riempimento a tinta unita">
              <a:extLst>
                <a:ext uri="{FF2B5EF4-FFF2-40B4-BE49-F238E27FC236}">
                  <a16:creationId xmlns:a16="http://schemas.microsoft.com/office/drawing/2014/main" id="{065835C8-5230-18A1-892B-956CFC3DECB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>
              <a:extLst>
                <a:ext uri="{96DAC541-7B7A-43D3-8B79-37D633B846F1}">
                  <asvg:svgBlip xmlns:asvg="http://schemas.microsoft.com/office/drawing/2016/SVG/main" r:embed="rId22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2" name="Gruppo 181">
            <a:extLst>
              <a:ext uri="{FF2B5EF4-FFF2-40B4-BE49-F238E27FC236}">
                <a16:creationId xmlns:a16="http://schemas.microsoft.com/office/drawing/2014/main" id="{388985FC-638C-0B92-B890-146C707659D0}"/>
              </a:ext>
            </a:extLst>
          </xdr:cNvPr>
          <xdr:cNvGrpSpPr/>
        </xdr:nvGrpSpPr>
        <xdr:grpSpPr>
          <a:xfrm>
            <a:off x="5001259" y="3578013"/>
            <a:ext cx="860214" cy="128694"/>
            <a:chOff x="4036059" y="3578013"/>
            <a:chExt cx="860214" cy="128694"/>
          </a:xfrm>
        </xdr:grpSpPr>
        <xdr:pic>
          <xdr:nvPicPr>
            <xdr:cNvPr id="190" name="Elemento grafico 189" descr="Smile di Harvey Ball 0% con riempimento a tinta unita">
              <a:extLst>
                <a:ext uri="{FF2B5EF4-FFF2-40B4-BE49-F238E27FC236}">
                  <a16:creationId xmlns:a16="http://schemas.microsoft.com/office/drawing/2014/main" id="{7528AAD8-272F-C938-65F9-1DDBDE3D90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1" name="Elemento grafico 190" descr="Smile di Harvey Ball 0% con riempimento a tinta unita">
              <a:extLst>
                <a:ext uri="{FF2B5EF4-FFF2-40B4-BE49-F238E27FC236}">
                  <a16:creationId xmlns:a16="http://schemas.microsoft.com/office/drawing/2014/main" id="{0BC19690-04F8-3534-8E27-3D16CC47BE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2" name="Elemento grafico 191" descr="Smile di Harvey Ball 0% con riempimento a tinta unita">
              <a:extLst>
                <a:ext uri="{FF2B5EF4-FFF2-40B4-BE49-F238E27FC236}">
                  <a16:creationId xmlns:a16="http://schemas.microsoft.com/office/drawing/2014/main" id="{8D28752B-D4CD-EAC5-A7F3-B7772EC867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3" name="Elemento grafico 192" descr="Smile di Harvey Ball 0% con riempimento a tinta unita">
              <a:extLst>
                <a:ext uri="{FF2B5EF4-FFF2-40B4-BE49-F238E27FC236}">
                  <a16:creationId xmlns:a16="http://schemas.microsoft.com/office/drawing/2014/main" id="{B2D4560E-333C-A908-CCE0-668AC73EFF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4" name="Elemento grafico 193" descr="Smile di Harvey Ball 0% con riempimento a tinta unita">
              <a:extLst>
                <a:ext uri="{FF2B5EF4-FFF2-40B4-BE49-F238E27FC236}">
                  <a16:creationId xmlns:a16="http://schemas.microsoft.com/office/drawing/2014/main" id="{7CA953A3-ED39-D333-B43C-C6C57141968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95" name="Elemento grafico 194" descr="Smile di Harvey Ball 0% con riempimento a tinta unita">
              <a:extLst>
                <a:ext uri="{FF2B5EF4-FFF2-40B4-BE49-F238E27FC236}">
                  <a16:creationId xmlns:a16="http://schemas.microsoft.com/office/drawing/2014/main" id="{92901972-5104-E447-A087-C3C8CF8033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>
              <a:extLst>
                <a:ext uri="{96DAC541-7B7A-43D3-8B79-37D633B846F1}">
                  <asvg:svgBlip xmlns:asvg="http://schemas.microsoft.com/office/drawing/2016/SVG/main" r:embed="rId24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  <xdr:grpSp>
        <xdr:nvGrpSpPr>
          <xdr:cNvPr id="183" name="Gruppo 182">
            <a:extLst>
              <a:ext uri="{FF2B5EF4-FFF2-40B4-BE49-F238E27FC236}">
                <a16:creationId xmlns:a16="http://schemas.microsoft.com/office/drawing/2014/main" id="{2A6382FA-4F96-114B-BB4C-17FB972F19E7}"/>
              </a:ext>
            </a:extLst>
          </xdr:cNvPr>
          <xdr:cNvGrpSpPr/>
        </xdr:nvGrpSpPr>
        <xdr:grpSpPr>
          <a:xfrm>
            <a:off x="5970691" y="3578013"/>
            <a:ext cx="860214" cy="128694"/>
            <a:chOff x="4036059" y="3578013"/>
            <a:chExt cx="860214" cy="128694"/>
          </a:xfrm>
        </xdr:grpSpPr>
        <xdr:pic>
          <xdr:nvPicPr>
            <xdr:cNvPr id="184" name="Elemento grafico 183" descr="Smile di Harvey Ball 0% con riempimento a tinta unita">
              <a:extLst>
                <a:ext uri="{FF2B5EF4-FFF2-40B4-BE49-F238E27FC236}">
                  <a16:creationId xmlns:a16="http://schemas.microsoft.com/office/drawing/2014/main" id="{7CB5DA48-7D9E-14C2-E779-0C9B0E0138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036059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5" name="Elemento grafico 184" descr="Smile di Harvey Ball 0% con riempimento a tinta unita">
              <a:extLst>
                <a:ext uri="{FF2B5EF4-FFF2-40B4-BE49-F238E27FC236}">
                  <a16:creationId xmlns:a16="http://schemas.microsoft.com/office/drawing/2014/main" id="{F2FA5FFE-A570-D77C-162A-C15787ED32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181686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6" name="Elemento grafico 185" descr="Smile di Harvey Ball 0% con riempimento a tinta unita">
              <a:extLst>
                <a:ext uri="{FF2B5EF4-FFF2-40B4-BE49-F238E27FC236}">
                  <a16:creationId xmlns:a16="http://schemas.microsoft.com/office/drawing/2014/main" id="{E95509D1-6F4D-A8D6-66FE-67CC89C3F8B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327313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7" name="Elemento grafico 186" descr="Smile di Harvey Ball 0% con riempimento a tinta unita">
              <a:extLst>
                <a:ext uri="{FF2B5EF4-FFF2-40B4-BE49-F238E27FC236}">
                  <a16:creationId xmlns:a16="http://schemas.microsoft.com/office/drawing/2014/main" id="{291E2FA3-4E84-ABE9-7E6E-D7DD56FC4B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472940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8" name="Elemento grafico 187" descr="Smile di Harvey Ball 0% con riempimento a tinta unita">
              <a:extLst>
                <a:ext uri="{FF2B5EF4-FFF2-40B4-BE49-F238E27FC236}">
                  <a16:creationId xmlns:a16="http://schemas.microsoft.com/office/drawing/2014/main" id="{7E8A57EC-5F88-55E2-E413-2207C8CEA2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618567" y="3578013"/>
              <a:ext cx="132080" cy="128694"/>
            </a:xfrm>
            <a:prstGeom prst="rect">
              <a:avLst/>
            </a:prstGeom>
          </xdr:spPr>
        </xdr:pic>
        <xdr:pic>
          <xdr:nvPicPr>
            <xdr:cNvPr id="189" name="Elemento grafico 188" descr="Smile di Harvey Ball 0% con riempimento a tinta unita">
              <a:extLst>
                <a:ext uri="{FF2B5EF4-FFF2-40B4-BE49-F238E27FC236}">
                  <a16:creationId xmlns:a16="http://schemas.microsoft.com/office/drawing/2014/main" id="{E3E22919-DA3F-E81A-C035-62E8471D937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96DAC541-7B7A-43D3-8B79-37D633B846F1}">
                  <asvg:svgBlip xmlns:asvg="http://schemas.microsoft.com/office/drawing/2016/SVG/main" r:embed="rId26"/>
                </a:ext>
              </a:extLst>
            </a:blip>
            <a:stretch>
              <a:fillRect/>
            </a:stretch>
          </xdr:blipFill>
          <xdr:spPr>
            <a:xfrm>
              <a:off x="4764193" y="3578013"/>
              <a:ext cx="132080" cy="12869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248</xdr:row>
      <xdr:rowOff>78317</xdr:rowOff>
    </xdr:from>
    <xdr:to>
      <xdr:col>0</xdr:col>
      <xdr:colOff>571500</xdr:colOff>
      <xdr:row>251</xdr:row>
      <xdr:rowOff>57150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7C7CEA08-D3AB-AEC8-0D9D-E983F2AA2114}"/>
            </a:ext>
          </a:extLst>
        </xdr:cNvPr>
        <xdr:cNvSpPr/>
      </xdr:nvSpPr>
      <xdr:spPr>
        <a:xfrm>
          <a:off x="12700" y="46541267"/>
          <a:ext cx="558800" cy="51223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0</xdr:col>
      <xdr:colOff>646430</xdr:colOff>
      <xdr:row>248</xdr:row>
      <xdr:rowOff>78317</xdr:rowOff>
    </xdr:from>
    <xdr:to>
      <xdr:col>0</xdr:col>
      <xdr:colOff>1205230</xdr:colOff>
      <xdr:row>251</xdr:row>
      <xdr:rowOff>57150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3F2B6F1A-1DBD-4904-BCEB-29F1F548DE7F}"/>
            </a:ext>
          </a:extLst>
        </xdr:cNvPr>
        <xdr:cNvSpPr/>
      </xdr:nvSpPr>
      <xdr:spPr>
        <a:xfrm>
          <a:off x="646430" y="46541267"/>
          <a:ext cx="558800" cy="51223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0</xdr:col>
      <xdr:colOff>1280160</xdr:colOff>
      <xdr:row>248</xdr:row>
      <xdr:rowOff>78317</xdr:rowOff>
    </xdr:from>
    <xdr:to>
      <xdr:col>0</xdr:col>
      <xdr:colOff>1838960</xdr:colOff>
      <xdr:row>251</xdr:row>
      <xdr:rowOff>57150</xdr:rowOff>
    </xdr:to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43588F72-520E-4D1E-B9C1-7DBCA1A8E258}"/>
            </a:ext>
          </a:extLst>
        </xdr:cNvPr>
        <xdr:cNvSpPr/>
      </xdr:nvSpPr>
      <xdr:spPr>
        <a:xfrm>
          <a:off x="1280160" y="46541267"/>
          <a:ext cx="558800" cy="51223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21590</xdr:colOff>
      <xdr:row>248</xdr:row>
      <xdr:rowOff>78317</xdr:rowOff>
    </xdr:from>
    <xdr:to>
      <xdr:col>2</xdr:col>
      <xdr:colOff>186690</xdr:colOff>
      <xdr:row>251</xdr:row>
      <xdr:rowOff>57150</xdr:rowOff>
    </xdr:to>
    <xdr:sp macro="" textlink="">
      <xdr:nvSpPr>
        <xdr:cNvPr id="9" name="Rettangolo 8">
          <a:extLst>
            <a:ext uri="{FF2B5EF4-FFF2-40B4-BE49-F238E27FC236}">
              <a16:creationId xmlns:a16="http://schemas.microsoft.com/office/drawing/2014/main" id="{1B90CDBF-D58A-471F-991F-52FE070B48E7}"/>
            </a:ext>
          </a:extLst>
        </xdr:cNvPr>
        <xdr:cNvSpPr/>
      </xdr:nvSpPr>
      <xdr:spPr>
        <a:xfrm>
          <a:off x="1913890" y="46541267"/>
          <a:ext cx="558800" cy="51223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261620</xdr:colOff>
      <xdr:row>248</xdr:row>
      <xdr:rowOff>78317</xdr:rowOff>
    </xdr:from>
    <xdr:to>
      <xdr:col>3</xdr:col>
      <xdr:colOff>204470</xdr:colOff>
      <xdr:row>251</xdr:row>
      <xdr:rowOff>57150</xdr:rowOff>
    </xdr:to>
    <xdr:sp macro="" textlink="">
      <xdr:nvSpPr>
        <xdr:cNvPr id="13" name="Rettangolo 12">
          <a:extLst>
            <a:ext uri="{FF2B5EF4-FFF2-40B4-BE49-F238E27FC236}">
              <a16:creationId xmlns:a16="http://schemas.microsoft.com/office/drawing/2014/main" id="{FD8E5E52-9E99-4CFC-A33E-B77C7E156E0E}"/>
            </a:ext>
          </a:extLst>
        </xdr:cNvPr>
        <xdr:cNvSpPr/>
      </xdr:nvSpPr>
      <xdr:spPr>
        <a:xfrm>
          <a:off x="2547620" y="46541267"/>
          <a:ext cx="558800" cy="51223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279400</xdr:colOff>
      <xdr:row>248</xdr:row>
      <xdr:rowOff>78317</xdr:rowOff>
    </xdr:from>
    <xdr:to>
      <xdr:col>4</xdr:col>
      <xdr:colOff>406400</xdr:colOff>
      <xdr:row>251</xdr:row>
      <xdr:rowOff>57150</xdr:rowOff>
    </xdr:to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2951CDDB-BA77-48F9-8E5B-9CC3EBF7C83A}"/>
            </a:ext>
          </a:extLst>
        </xdr:cNvPr>
        <xdr:cNvSpPr/>
      </xdr:nvSpPr>
      <xdr:spPr>
        <a:xfrm>
          <a:off x="3181350" y="46541267"/>
          <a:ext cx="558800" cy="51223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4</xdr:col>
      <xdr:colOff>481330</xdr:colOff>
      <xdr:row>248</xdr:row>
      <xdr:rowOff>78317</xdr:rowOff>
    </xdr:from>
    <xdr:to>
      <xdr:col>4</xdr:col>
      <xdr:colOff>1040130</xdr:colOff>
      <xdr:row>251</xdr:row>
      <xdr:rowOff>57150</xdr:rowOff>
    </xdr:to>
    <xdr:sp macro="" textlink="">
      <xdr:nvSpPr>
        <xdr:cNvPr id="15" name="Rettangolo 14">
          <a:extLst>
            <a:ext uri="{FF2B5EF4-FFF2-40B4-BE49-F238E27FC236}">
              <a16:creationId xmlns:a16="http://schemas.microsoft.com/office/drawing/2014/main" id="{66B973C1-FAD2-421D-957D-6F3AE53AC5CD}"/>
            </a:ext>
          </a:extLst>
        </xdr:cNvPr>
        <xdr:cNvSpPr/>
      </xdr:nvSpPr>
      <xdr:spPr>
        <a:xfrm>
          <a:off x="3815080" y="46541267"/>
          <a:ext cx="558800" cy="51223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4</xdr:col>
      <xdr:colOff>1115060</xdr:colOff>
      <xdr:row>248</xdr:row>
      <xdr:rowOff>78317</xdr:rowOff>
    </xdr:from>
    <xdr:to>
      <xdr:col>4</xdr:col>
      <xdr:colOff>1673860</xdr:colOff>
      <xdr:row>251</xdr:row>
      <xdr:rowOff>57150</xdr:rowOff>
    </xdr:to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A4825EE8-7D7D-4A3E-B334-FED6C140C82D}"/>
            </a:ext>
          </a:extLst>
        </xdr:cNvPr>
        <xdr:cNvSpPr/>
      </xdr:nvSpPr>
      <xdr:spPr>
        <a:xfrm>
          <a:off x="4448810" y="46541267"/>
          <a:ext cx="558800" cy="51223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4</xdr:col>
      <xdr:colOff>1748790</xdr:colOff>
      <xdr:row>248</xdr:row>
      <xdr:rowOff>78317</xdr:rowOff>
    </xdr:from>
    <xdr:to>
      <xdr:col>4</xdr:col>
      <xdr:colOff>2307590</xdr:colOff>
      <xdr:row>251</xdr:row>
      <xdr:rowOff>57150</xdr:rowOff>
    </xdr:to>
    <xdr:sp macro="" textlink="">
      <xdr:nvSpPr>
        <xdr:cNvPr id="17" name="Rettangolo 16">
          <a:extLst>
            <a:ext uri="{FF2B5EF4-FFF2-40B4-BE49-F238E27FC236}">
              <a16:creationId xmlns:a16="http://schemas.microsoft.com/office/drawing/2014/main" id="{204904B5-0AE3-4801-9790-A0D0C97B5F26}"/>
            </a:ext>
          </a:extLst>
        </xdr:cNvPr>
        <xdr:cNvSpPr/>
      </xdr:nvSpPr>
      <xdr:spPr>
        <a:xfrm>
          <a:off x="5082540" y="46541267"/>
          <a:ext cx="558800" cy="51223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4</xdr:col>
      <xdr:colOff>2382520</xdr:colOff>
      <xdr:row>248</xdr:row>
      <xdr:rowOff>78317</xdr:rowOff>
    </xdr:from>
    <xdr:to>
      <xdr:col>4</xdr:col>
      <xdr:colOff>2941320</xdr:colOff>
      <xdr:row>251</xdr:row>
      <xdr:rowOff>57150</xdr:rowOff>
    </xdr:to>
    <xdr:sp macro="" textlink="">
      <xdr:nvSpPr>
        <xdr:cNvPr id="18" name="Rettangolo 17">
          <a:extLst>
            <a:ext uri="{FF2B5EF4-FFF2-40B4-BE49-F238E27FC236}">
              <a16:creationId xmlns:a16="http://schemas.microsoft.com/office/drawing/2014/main" id="{AE45D598-CB93-45F9-873D-97B3A174E2F9}"/>
            </a:ext>
          </a:extLst>
        </xdr:cNvPr>
        <xdr:cNvSpPr/>
      </xdr:nvSpPr>
      <xdr:spPr>
        <a:xfrm>
          <a:off x="5716270" y="46541267"/>
          <a:ext cx="558800" cy="51223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4</xdr:col>
      <xdr:colOff>3016250</xdr:colOff>
      <xdr:row>248</xdr:row>
      <xdr:rowOff>78317</xdr:rowOff>
    </xdr:from>
    <xdr:to>
      <xdr:col>4</xdr:col>
      <xdr:colOff>3575050</xdr:colOff>
      <xdr:row>251</xdr:row>
      <xdr:rowOff>57150</xdr:rowOff>
    </xdr:to>
    <xdr:sp macro="" textlink="">
      <xdr:nvSpPr>
        <xdr:cNvPr id="19" name="Rettangolo 18">
          <a:extLst>
            <a:ext uri="{FF2B5EF4-FFF2-40B4-BE49-F238E27FC236}">
              <a16:creationId xmlns:a16="http://schemas.microsoft.com/office/drawing/2014/main" id="{FBD6B941-3085-4B02-9D12-7E409CEAAF85}"/>
            </a:ext>
          </a:extLst>
        </xdr:cNvPr>
        <xdr:cNvSpPr/>
      </xdr:nvSpPr>
      <xdr:spPr>
        <a:xfrm>
          <a:off x="6350000" y="46541267"/>
          <a:ext cx="558800" cy="512233"/>
        </a:xfrm>
        <a:prstGeom prst="rect">
          <a:avLst/>
        </a:prstGeom>
        <a:noFill/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7</xdr:col>
      <xdr:colOff>0</xdr:colOff>
      <xdr:row>191</xdr:row>
      <xdr:rowOff>0</xdr:rowOff>
    </xdr:from>
    <xdr:to>
      <xdr:col>7</xdr:col>
      <xdr:colOff>304800</xdr:colOff>
      <xdr:row>192</xdr:row>
      <xdr:rowOff>121919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67170978-2B10-7C59-EB6D-98ACCE47D072}"/>
            </a:ext>
          </a:extLst>
        </xdr:cNvPr>
        <xdr:cNvSpPr>
          <a:spLocks noChangeAspect="1" noChangeArrowheads="1"/>
        </xdr:cNvSpPr>
      </xdr:nvSpPr>
      <xdr:spPr bwMode="auto">
        <a:xfrm>
          <a:off x="8138160" y="3890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209</xdr:row>
      <xdr:rowOff>0</xdr:rowOff>
    </xdr:from>
    <xdr:to>
      <xdr:col>7</xdr:col>
      <xdr:colOff>304800</xdr:colOff>
      <xdr:row>210</xdr:row>
      <xdr:rowOff>121920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EB32818F-FE4C-F8FB-DD80-21518EA7C717}"/>
            </a:ext>
          </a:extLst>
        </xdr:cNvPr>
        <xdr:cNvSpPr>
          <a:spLocks noChangeAspect="1" noChangeArrowheads="1"/>
        </xdr:cNvSpPr>
      </xdr:nvSpPr>
      <xdr:spPr bwMode="auto">
        <a:xfrm>
          <a:off x="8138160" y="422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C2B8A-D537-42C2-9576-BDC96890C46F}" name="Tabella1" displayName="Tabella1" ref="A1:E40" totalsRowShown="0" headerRowDxfId="6" dataDxfId="5">
  <tableColumns count="5">
    <tableColumn id="1" xr3:uid="{BE96BCF5-334D-4F20-8722-3145ABDC81EA}" name="Oggetto" dataDxfId="4"/>
    <tableColumn id="2" xr3:uid="{23DBEE6D-E19E-482F-A20A-3F3284C9D84B}" name="Qt." dataDxfId="3"/>
    <tableColumn id="3" xr3:uid="{CE44C6FC-0DBC-4316-AC79-C083711A35A2}" name="Costo" dataDxfId="2"/>
    <tableColumn id="4" xr3:uid="{13F2738A-AAED-4162-A6FC-D1A5B56EBD56}" name="Slot" dataDxfId="1"/>
    <tableColumn id="5" xr3:uid="{C208413F-8AA4-49BE-A972-17EB9781744E}" name="No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096D-79DA-41F6-8B7D-BDB9F86329A6}">
  <dimension ref="A1:AA44"/>
  <sheetViews>
    <sheetView topLeftCell="A9" zoomScale="120" zoomScaleNormal="120" workbookViewId="0">
      <selection activeCell="A43" sqref="A43:O43"/>
    </sheetView>
  </sheetViews>
  <sheetFormatPr defaultRowHeight="14.4" x14ac:dyDescent="0.3"/>
  <cols>
    <col min="1" max="2" width="11.109375" style="2" customWidth="1"/>
    <col min="3" max="3" width="5.77734375" style="2" customWidth="1"/>
    <col min="4" max="12" width="4.77734375" style="2" customWidth="1"/>
    <col min="13" max="13" width="5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29" t="s">
        <v>0</v>
      </c>
      <c r="B1" s="30" t="s">
        <v>186</v>
      </c>
      <c r="C1" s="30"/>
      <c r="D1" s="157"/>
      <c r="E1" s="29"/>
      <c r="F1" s="159"/>
      <c r="G1" s="160" t="s">
        <v>159</v>
      </c>
      <c r="H1" s="30"/>
      <c r="I1" s="159"/>
      <c r="J1" s="52"/>
      <c r="K1" s="29" t="s">
        <v>34</v>
      </c>
      <c r="L1" s="30"/>
      <c r="M1" s="30"/>
      <c r="N1" s="161" t="s">
        <v>94</v>
      </c>
      <c r="O1" s="30"/>
      <c r="P1" s="30"/>
    </row>
    <row r="2" spans="1:16" ht="20.399999999999999" customHeight="1" x14ac:dyDescent="0.3">
      <c r="A2" s="158" t="s">
        <v>93</v>
      </c>
      <c r="B2" s="28" t="s">
        <v>187</v>
      </c>
      <c r="C2" s="28"/>
      <c r="D2" s="52"/>
      <c r="E2" s="29" t="s">
        <v>33</v>
      </c>
      <c r="F2" s="30"/>
      <c r="G2" s="30" t="s">
        <v>187</v>
      </c>
      <c r="H2" s="30"/>
      <c r="I2" s="156" t="s">
        <v>124</v>
      </c>
      <c r="J2" s="52"/>
      <c r="K2" s="29" t="s">
        <v>1</v>
      </c>
      <c r="L2" s="30"/>
      <c r="M2" s="30"/>
      <c r="N2" s="30" t="s">
        <v>50</v>
      </c>
      <c r="O2" s="30"/>
      <c r="P2" s="30"/>
    </row>
    <row r="3" spans="1:16" ht="9.6" customHeight="1" x14ac:dyDescent="0.3">
      <c r="A3" s="3"/>
      <c r="B3" s="3"/>
      <c r="C3" s="3"/>
      <c r="D3" s="3"/>
      <c r="E3" s="3"/>
      <c r="F3" s="3"/>
      <c r="G3" s="3"/>
      <c r="H3" s="3"/>
      <c r="K3" s="3"/>
      <c r="L3" s="3"/>
      <c r="M3" s="3"/>
      <c r="N3" s="3"/>
      <c r="O3" s="3"/>
      <c r="P3" s="3"/>
    </row>
    <row r="4" spans="1:16" ht="18.600000000000001" customHeight="1" x14ac:dyDescent="0.3">
      <c r="A4" s="53" t="s">
        <v>8</v>
      </c>
      <c r="B4" s="177">
        <v>3</v>
      </c>
      <c r="C4" s="1"/>
      <c r="E4" s="53" t="s">
        <v>46</v>
      </c>
      <c r="F4" s="54">
        <v>20</v>
      </c>
      <c r="G4" s="144" t="s">
        <v>162</v>
      </c>
      <c r="H4" s="145" t="s">
        <v>657</v>
      </c>
      <c r="I4" s="1"/>
      <c r="J4" s="55"/>
      <c r="L4" s="56" t="s">
        <v>92</v>
      </c>
      <c r="M4" s="54">
        <v>2</v>
      </c>
      <c r="N4" s="1"/>
      <c r="O4" s="53" t="s">
        <v>9</v>
      </c>
      <c r="P4" s="149">
        <v>25</v>
      </c>
    </row>
    <row r="5" spans="1:16" ht="19.8" customHeight="1" x14ac:dyDescent="0.3">
      <c r="A5" s="25" t="s">
        <v>29</v>
      </c>
      <c r="B5" s="25"/>
      <c r="J5" s="2" t="s">
        <v>91</v>
      </c>
      <c r="M5" s="25" t="s">
        <v>10</v>
      </c>
      <c r="N5" s="24"/>
      <c r="O5" s="24"/>
      <c r="P5" s="24"/>
    </row>
    <row r="6" spans="1:16" ht="32.4" customHeight="1" x14ac:dyDescent="0.3">
      <c r="A6" s="154">
        <v>14</v>
      </c>
      <c r="B6" s="178" t="s">
        <v>2</v>
      </c>
      <c r="C6" s="202" t="s">
        <v>163</v>
      </c>
      <c r="D6" s="202"/>
      <c r="E6" s="202"/>
      <c r="F6" s="202"/>
      <c r="G6" s="202"/>
      <c r="H6" s="202"/>
      <c r="I6" s="202"/>
      <c r="J6" s="57">
        <v>1</v>
      </c>
      <c r="K6" s="57"/>
      <c r="M6" s="203" t="s">
        <v>346</v>
      </c>
      <c r="N6" s="203"/>
      <c r="O6" s="203"/>
      <c r="P6" s="150">
        <v>6</v>
      </c>
    </row>
    <row r="7" spans="1:16" ht="32.4" customHeight="1" x14ac:dyDescent="0.3">
      <c r="A7" s="154">
        <v>14</v>
      </c>
      <c r="B7" s="178" t="s">
        <v>3</v>
      </c>
      <c r="C7" s="202" t="s">
        <v>112</v>
      </c>
      <c r="D7" s="202"/>
      <c r="E7" s="202"/>
      <c r="F7" s="202"/>
      <c r="G7" s="202"/>
      <c r="H7" s="202"/>
      <c r="I7" s="202"/>
      <c r="J7" s="57">
        <v>1</v>
      </c>
      <c r="K7" s="57"/>
      <c r="M7" s="203" t="s">
        <v>11</v>
      </c>
      <c r="N7" s="203"/>
      <c r="O7" s="203"/>
      <c r="P7" s="150">
        <v>7</v>
      </c>
    </row>
    <row r="8" spans="1:16" ht="32.4" customHeight="1" x14ac:dyDescent="0.3">
      <c r="A8" s="154">
        <v>9</v>
      </c>
      <c r="B8" s="178" t="s">
        <v>4</v>
      </c>
      <c r="C8" s="202" t="s">
        <v>86</v>
      </c>
      <c r="D8" s="202"/>
      <c r="E8" s="202"/>
      <c r="F8" s="202"/>
      <c r="G8" s="202"/>
      <c r="H8" s="202"/>
      <c r="I8" s="202"/>
      <c r="J8" s="57">
        <v>0</v>
      </c>
      <c r="K8" s="57"/>
      <c r="M8" s="203" t="s">
        <v>14</v>
      </c>
      <c r="N8" s="203"/>
      <c r="O8" s="203"/>
      <c r="P8" s="150">
        <v>8</v>
      </c>
    </row>
    <row r="9" spans="1:16" ht="32.4" customHeight="1" x14ac:dyDescent="0.3">
      <c r="A9" s="154">
        <v>13</v>
      </c>
      <c r="B9" s="178" t="s">
        <v>5</v>
      </c>
      <c r="C9" s="202" t="s">
        <v>127</v>
      </c>
      <c r="D9" s="202"/>
      <c r="E9" s="202"/>
      <c r="F9" s="202"/>
      <c r="G9" s="202"/>
      <c r="H9" s="202"/>
      <c r="I9" s="202"/>
      <c r="J9" s="57">
        <v>1</v>
      </c>
      <c r="K9" s="57"/>
      <c r="M9" s="203" t="s">
        <v>12</v>
      </c>
      <c r="N9" s="203"/>
      <c r="O9" s="203"/>
      <c r="P9" s="150">
        <v>10</v>
      </c>
    </row>
    <row r="10" spans="1:16" ht="32.4" customHeight="1" x14ac:dyDescent="0.3">
      <c r="A10" s="154">
        <v>12</v>
      </c>
      <c r="B10" s="178" t="s">
        <v>6</v>
      </c>
      <c r="C10" s="202" t="s">
        <v>86</v>
      </c>
      <c r="D10" s="202"/>
      <c r="E10" s="202"/>
      <c r="F10" s="202"/>
      <c r="G10" s="202"/>
      <c r="H10" s="202"/>
      <c r="I10" s="202"/>
      <c r="J10" s="57">
        <v>0</v>
      </c>
      <c r="K10" s="57"/>
      <c r="M10" s="203" t="s">
        <v>13</v>
      </c>
      <c r="N10" s="203"/>
      <c r="O10" s="203"/>
      <c r="P10" s="150">
        <v>10</v>
      </c>
    </row>
    <row r="11" spans="1:16" ht="32.4" customHeight="1" x14ac:dyDescent="0.3">
      <c r="A11" s="154">
        <v>11</v>
      </c>
      <c r="B11" s="178" t="s">
        <v>7</v>
      </c>
      <c r="C11" s="202" t="s">
        <v>89</v>
      </c>
      <c r="D11" s="202"/>
      <c r="E11" s="202"/>
      <c r="F11" s="202"/>
      <c r="G11" s="202"/>
      <c r="H11" s="202"/>
      <c r="I11" s="202"/>
      <c r="J11" s="57">
        <v>0</v>
      </c>
      <c r="K11" s="57"/>
      <c r="M11" s="205" t="s">
        <v>341</v>
      </c>
      <c r="N11" s="205"/>
      <c r="O11" s="205"/>
      <c r="P11" s="205"/>
    </row>
    <row r="12" spans="1:16" ht="8.4" customHeight="1" x14ac:dyDescent="0.3"/>
    <row r="13" spans="1:16" s="3" customFormat="1" ht="15.6" customHeight="1" x14ac:dyDescent="0.3">
      <c r="A13" s="22" t="s">
        <v>16</v>
      </c>
      <c r="B13" s="22"/>
      <c r="C13" s="58"/>
      <c r="D13" s="22" t="s">
        <v>17</v>
      </c>
      <c r="E13" s="22"/>
      <c r="F13" s="22"/>
      <c r="G13" s="58"/>
      <c r="H13" s="59" t="s">
        <v>65</v>
      </c>
      <c r="I13" s="59" t="s">
        <v>66</v>
      </c>
      <c r="J13" s="59" t="s">
        <v>67</v>
      </c>
      <c r="K13" s="110" t="s">
        <v>344</v>
      </c>
      <c r="L13" s="109" t="s">
        <v>342</v>
      </c>
      <c r="N13" s="22" t="s">
        <v>55</v>
      </c>
      <c r="O13" s="23"/>
      <c r="P13" s="22"/>
    </row>
    <row r="14" spans="1:16" s="3" customFormat="1" ht="15.6" customHeight="1" x14ac:dyDescent="0.3">
      <c r="A14" s="204" t="s">
        <v>166</v>
      </c>
      <c r="B14" s="204"/>
      <c r="D14" s="58" t="s">
        <v>21</v>
      </c>
      <c r="E14" s="58"/>
      <c r="G14" s="36" t="s">
        <v>70</v>
      </c>
      <c r="H14" s="60">
        <v>20</v>
      </c>
      <c r="I14" s="1">
        <f>J14*1.5</f>
        <v>6</v>
      </c>
      <c r="J14" s="1">
        <f>H14/5</f>
        <v>4</v>
      </c>
      <c r="K14" s="110" t="s">
        <v>345</v>
      </c>
      <c r="L14" s="109" t="s">
        <v>47</v>
      </c>
      <c r="N14" s="3" t="s">
        <v>181</v>
      </c>
    </row>
    <row r="15" spans="1:16" s="3" customFormat="1" ht="15.6" customHeight="1" x14ac:dyDescent="0.3">
      <c r="A15" s="204"/>
      <c r="B15" s="204"/>
      <c r="D15" s="61" t="s">
        <v>37</v>
      </c>
      <c r="E15" s="61"/>
      <c r="F15" s="62"/>
      <c r="G15" s="63" t="s">
        <v>71</v>
      </c>
      <c r="H15" s="64">
        <f>H14*3</f>
        <v>60</v>
      </c>
      <c r="I15" s="64">
        <f>J15*1.5</f>
        <v>18</v>
      </c>
      <c r="J15" s="64">
        <f t="shared" ref="J15:J18" si="0">H15/5</f>
        <v>12</v>
      </c>
      <c r="K15" s="111" t="s">
        <v>47</v>
      </c>
      <c r="L15" s="112" t="s">
        <v>47</v>
      </c>
      <c r="N15" s="3" t="s">
        <v>131</v>
      </c>
    </row>
    <row r="16" spans="1:16" s="3" customFormat="1" ht="15.6" customHeight="1" x14ac:dyDescent="0.3">
      <c r="A16" s="204"/>
      <c r="B16" s="204"/>
      <c r="D16" s="58" t="s">
        <v>18</v>
      </c>
      <c r="E16" s="58"/>
      <c r="G16" s="36" t="s">
        <v>70</v>
      </c>
      <c r="H16" s="60">
        <f>H14*3</f>
        <v>60</v>
      </c>
      <c r="I16" s="1">
        <f>J16*1.5</f>
        <v>18</v>
      </c>
      <c r="J16" s="1">
        <f t="shared" si="0"/>
        <v>12</v>
      </c>
      <c r="K16" s="110">
        <f>J16+(J16/2)</f>
        <v>18</v>
      </c>
      <c r="L16" s="206" t="s">
        <v>343</v>
      </c>
      <c r="N16" s="3" t="s">
        <v>188</v>
      </c>
    </row>
    <row r="17" spans="1:16" s="3" customFormat="1" ht="15.6" customHeight="1" x14ac:dyDescent="0.3">
      <c r="A17" s="155" t="s">
        <v>195</v>
      </c>
      <c r="B17" s="163"/>
      <c r="D17" s="61" t="s">
        <v>35</v>
      </c>
      <c r="E17" s="61"/>
      <c r="F17" s="62"/>
      <c r="G17" s="63" t="s">
        <v>70</v>
      </c>
      <c r="H17" s="64">
        <f>H14/2</f>
        <v>10</v>
      </c>
      <c r="I17" s="64">
        <f>J17*1.5</f>
        <v>3</v>
      </c>
      <c r="J17" s="64">
        <f t="shared" si="0"/>
        <v>2</v>
      </c>
      <c r="K17" s="111">
        <f t="shared" ref="K17:K18" si="1">J17+(J17/2)</f>
        <v>3</v>
      </c>
      <c r="L17" s="206"/>
      <c r="N17" s="3" t="s">
        <v>59</v>
      </c>
    </row>
    <row r="18" spans="1:16" s="3" customFormat="1" ht="15.6" customHeight="1" x14ac:dyDescent="0.3">
      <c r="A18" s="155" t="s">
        <v>95</v>
      </c>
      <c r="B18" s="164"/>
      <c r="D18" s="58" t="s">
        <v>36</v>
      </c>
      <c r="E18" s="58"/>
      <c r="G18" s="36" t="s">
        <v>70</v>
      </c>
      <c r="H18" s="60">
        <f>H14/2</f>
        <v>10</v>
      </c>
      <c r="I18" s="1">
        <f>J18*1.5</f>
        <v>3</v>
      </c>
      <c r="J18" s="1">
        <f t="shared" si="0"/>
        <v>2</v>
      </c>
      <c r="K18" s="110">
        <f t="shared" si="1"/>
        <v>3</v>
      </c>
      <c r="L18" s="206"/>
      <c r="N18" s="3" t="s">
        <v>58</v>
      </c>
    </row>
    <row r="19" spans="1:16" s="3" customFormat="1" ht="15.6" customHeight="1" x14ac:dyDescent="0.3">
      <c r="A19" s="21"/>
      <c r="B19" s="20"/>
      <c r="D19" s="61" t="s">
        <v>22</v>
      </c>
      <c r="E19" s="61"/>
      <c r="F19" s="62"/>
      <c r="G19" s="63" t="s">
        <v>72</v>
      </c>
      <c r="H19" s="65" t="s">
        <v>141</v>
      </c>
      <c r="I19" s="65" t="s">
        <v>68</v>
      </c>
      <c r="J19" s="65"/>
      <c r="K19" s="111" t="s">
        <v>47</v>
      </c>
      <c r="L19" s="112" t="s">
        <v>47</v>
      </c>
      <c r="N19" s="3" t="s">
        <v>655</v>
      </c>
    </row>
    <row r="20" spans="1:16" s="3" customFormat="1" ht="15.6" customHeight="1" x14ac:dyDescent="0.3">
      <c r="A20" s="18"/>
      <c r="B20" s="18"/>
      <c r="N20" s="201" t="s">
        <v>170</v>
      </c>
      <c r="O20" s="201"/>
      <c r="P20" s="201"/>
    </row>
    <row r="21" spans="1:16" s="3" customFormat="1" ht="15.6" customHeight="1" x14ac:dyDescent="0.3">
      <c r="A21" s="125" t="s">
        <v>663</v>
      </c>
      <c r="B21" s="21"/>
      <c r="D21" s="66"/>
      <c r="O21" s="91"/>
      <c r="P21" s="36"/>
    </row>
    <row r="22" spans="1:16" ht="15.6" customHeight="1" x14ac:dyDescent="0.3">
      <c r="A22" s="125" t="s">
        <v>664</v>
      </c>
      <c r="B22" s="21"/>
      <c r="D22" s="66"/>
      <c r="N22" s="67"/>
      <c r="O22" s="67" t="s">
        <v>46</v>
      </c>
      <c r="P22" s="151">
        <v>8</v>
      </c>
    </row>
    <row r="23" spans="1:16" ht="15.6" customHeight="1" x14ac:dyDescent="0.3">
      <c r="A23" s="125" t="s">
        <v>665</v>
      </c>
      <c r="B23" s="21"/>
      <c r="D23" s="66"/>
      <c r="M23" s="58"/>
      <c r="N23" s="68"/>
      <c r="O23" s="21"/>
      <c r="P23" s="21"/>
    </row>
    <row r="24" spans="1:16" ht="15.6" customHeight="1" x14ac:dyDescent="0.3">
      <c r="A24" s="125" t="s">
        <v>666</v>
      </c>
      <c r="B24" s="21"/>
      <c r="D24" s="66"/>
      <c r="M24" s="58"/>
      <c r="N24" s="33"/>
      <c r="O24" s="33" t="s">
        <v>215</v>
      </c>
      <c r="P24" s="33" t="s">
        <v>216</v>
      </c>
    </row>
    <row r="25" spans="1:16" ht="15.6" customHeight="1" x14ac:dyDescent="0.3">
      <c r="A25" s="125" t="s">
        <v>667</v>
      </c>
      <c r="B25" s="21"/>
      <c r="C25" s="92"/>
      <c r="D25" s="66"/>
      <c r="N25" s="69" t="s">
        <v>42</v>
      </c>
      <c r="O25" s="21"/>
      <c r="P25" s="152"/>
    </row>
    <row r="26" spans="1:16" ht="15.6" customHeight="1" x14ac:dyDescent="0.3">
      <c r="A26" s="49" t="s">
        <v>668</v>
      </c>
      <c r="B26" s="21"/>
      <c r="C26" s="92"/>
      <c r="D26" s="70"/>
      <c r="N26" s="69" t="s">
        <v>39</v>
      </c>
      <c r="O26" s="21"/>
      <c r="P26" s="152">
        <v>500</v>
      </c>
    </row>
    <row r="27" spans="1:16" ht="15.6" customHeight="1" x14ac:dyDescent="0.3">
      <c r="A27" s="49" t="s">
        <v>669</v>
      </c>
      <c r="D27" s="70"/>
      <c r="N27" s="94" t="s">
        <v>43</v>
      </c>
      <c r="O27" s="21"/>
      <c r="P27" s="152"/>
    </row>
    <row r="28" spans="1:16" ht="15.6" customHeight="1" x14ac:dyDescent="0.3">
      <c r="A28" s="126" t="s">
        <v>670</v>
      </c>
      <c r="D28" s="71"/>
      <c r="N28" s="94" t="s">
        <v>40</v>
      </c>
      <c r="O28" s="21"/>
      <c r="P28" s="152"/>
    </row>
    <row r="29" spans="1:16" ht="15.6" customHeight="1" x14ac:dyDescent="0.3">
      <c r="A29" s="126" t="s">
        <v>672</v>
      </c>
      <c r="D29" s="71"/>
      <c r="N29" s="72"/>
      <c r="O29" s="67" t="s">
        <v>46</v>
      </c>
      <c r="P29" s="151">
        <v>5</v>
      </c>
    </row>
    <row r="30" spans="1:16" x14ac:dyDescent="0.3">
      <c r="D30" s="71"/>
    </row>
    <row r="31" spans="1:16" ht="15.6" customHeight="1" x14ac:dyDescent="0.3">
      <c r="E31" s="66"/>
    </row>
    <row r="32" spans="1:16" ht="15.6" customHeight="1" x14ac:dyDescent="0.3">
      <c r="A32" s="148"/>
      <c r="B32" s="89"/>
      <c r="C32" s="92"/>
      <c r="E32" s="66"/>
      <c r="G32" s="60"/>
      <c r="I32" s="60"/>
      <c r="N32" s="22" t="s">
        <v>29</v>
      </c>
      <c r="O32" s="24"/>
      <c r="P32" s="24"/>
    </row>
    <row r="33" spans="1:27" ht="15.6" customHeight="1" x14ac:dyDescent="0.3">
      <c r="A33" s="93" t="s">
        <v>192</v>
      </c>
      <c r="B33" s="5"/>
      <c r="C33" s="92"/>
      <c r="N33" s="2" t="s">
        <v>53</v>
      </c>
    </row>
    <row r="34" spans="1:27" ht="15.6" customHeight="1" x14ac:dyDescent="0.3">
      <c r="A34" s="93" t="s">
        <v>190</v>
      </c>
      <c r="B34" s="5"/>
      <c r="C34" s="92"/>
      <c r="N34" s="2" t="s">
        <v>193</v>
      </c>
    </row>
    <row r="35" spans="1:27" x14ac:dyDescent="0.3">
      <c r="A35" s="93" t="s">
        <v>191</v>
      </c>
      <c r="B35" s="5"/>
      <c r="C35" s="92"/>
      <c r="N35" s="2" t="s">
        <v>54</v>
      </c>
    </row>
    <row r="39" spans="1:27" x14ac:dyDescent="0.3">
      <c r="AA39"/>
    </row>
    <row r="40" spans="1:27" x14ac:dyDescent="0.3">
      <c r="L40" s="73" t="s">
        <v>194</v>
      </c>
    </row>
    <row r="41" spans="1:27" ht="15.6" x14ac:dyDescent="0.3">
      <c r="A41" s="162" t="s">
        <v>15</v>
      </c>
      <c r="B41" s="19" t="s">
        <v>19</v>
      </c>
      <c r="C41" s="26" t="s">
        <v>20</v>
      </c>
      <c r="D41" s="4">
        <v>8</v>
      </c>
      <c r="E41" s="26">
        <f>D41-1</f>
        <v>7</v>
      </c>
      <c r="F41" s="4">
        <f t="shared" ref="F41:L41" si="2">E41-1</f>
        <v>6</v>
      </c>
      <c r="G41" s="26">
        <f t="shared" si="2"/>
        <v>5</v>
      </c>
      <c r="H41" s="4">
        <f t="shared" si="2"/>
        <v>4</v>
      </c>
      <c r="I41" s="26">
        <f t="shared" si="2"/>
        <v>3</v>
      </c>
      <c r="J41" s="4">
        <f t="shared" si="2"/>
        <v>2</v>
      </c>
      <c r="K41" s="26">
        <f t="shared" si="2"/>
        <v>1</v>
      </c>
      <c r="L41" s="4">
        <f t="shared" si="2"/>
        <v>0</v>
      </c>
      <c r="M41" s="19" t="s">
        <v>26</v>
      </c>
      <c r="N41" s="19"/>
      <c r="O41" s="22" t="s">
        <v>27</v>
      </c>
      <c r="P41" s="24"/>
    </row>
    <row r="42" spans="1:27" ht="18" x14ac:dyDescent="0.3">
      <c r="A42" s="93" t="s">
        <v>189</v>
      </c>
      <c r="B42" s="1" t="s">
        <v>23</v>
      </c>
      <c r="C42" s="74">
        <v>6</v>
      </c>
      <c r="D42" s="75">
        <f>C42+1</f>
        <v>7</v>
      </c>
      <c r="E42" s="74">
        <f t="shared" ref="E42:L42" si="3">D42+1</f>
        <v>8</v>
      </c>
      <c r="F42" s="75">
        <f t="shared" si="3"/>
        <v>9</v>
      </c>
      <c r="G42" s="74">
        <f t="shared" si="3"/>
        <v>10</v>
      </c>
      <c r="H42" s="75">
        <f t="shared" si="3"/>
        <v>11</v>
      </c>
      <c r="I42" s="74">
        <f t="shared" si="3"/>
        <v>12</v>
      </c>
      <c r="J42" s="75">
        <f t="shared" si="3"/>
        <v>13</v>
      </c>
      <c r="K42" s="74">
        <f t="shared" si="3"/>
        <v>14</v>
      </c>
      <c r="L42" s="75">
        <f t="shared" si="3"/>
        <v>15</v>
      </c>
      <c r="M42" s="199" t="s">
        <v>656</v>
      </c>
      <c r="N42" s="199"/>
    </row>
    <row r="43" spans="1:27" ht="18" x14ac:dyDescent="0.3">
      <c r="A43" s="93" t="s">
        <v>24</v>
      </c>
      <c r="B43" s="1" t="s">
        <v>23</v>
      </c>
      <c r="C43" s="74">
        <v>7</v>
      </c>
      <c r="D43" s="75">
        <f>C43+1</f>
        <v>8</v>
      </c>
      <c r="E43" s="74">
        <f t="shared" ref="E43" si="4">D43+1</f>
        <v>9</v>
      </c>
      <c r="F43" s="75">
        <f t="shared" ref="F43" si="5">E43+1</f>
        <v>10</v>
      </c>
      <c r="G43" s="74">
        <f t="shared" ref="G43" si="6">F43+1</f>
        <v>11</v>
      </c>
      <c r="H43" s="75">
        <f t="shared" ref="H43" si="7">G43+1</f>
        <v>12</v>
      </c>
      <c r="I43" s="74">
        <f t="shared" ref="I43" si="8">H43+1</f>
        <v>13</v>
      </c>
      <c r="J43" s="75">
        <f t="shared" ref="J43" si="9">I43+1</f>
        <v>14</v>
      </c>
      <c r="K43" s="74">
        <f t="shared" ref="K43" si="10">J43+1</f>
        <v>15</v>
      </c>
      <c r="L43" s="75">
        <f t="shared" ref="L43" si="11">K43+1</f>
        <v>16</v>
      </c>
      <c r="M43" s="200" t="s">
        <v>169</v>
      </c>
      <c r="N43" s="200"/>
      <c r="O43" s="3" t="s">
        <v>114</v>
      </c>
    </row>
    <row r="44" spans="1:27" ht="18" x14ac:dyDescent="0.3">
      <c r="A44" s="93" t="s">
        <v>52</v>
      </c>
      <c r="B44" s="1" t="s">
        <v>79</v>
      </c>
      <c r="C44" s="74">
        <v>8</v>
      </c>
      <c r="D44" s="75">
        <f t="shared" ref="D44:L44" si="12">C44+1</f>
        <v>9</v>
      </c>
      <c r="E44" s="74">
        <f t="shared" si="12"/>
        <v>10</v>
      </c>
      <c r="F44" s="75">
        <f t="shared" si="12"/>
        <v>11</v>
      </c>
      <c r="G44" s="74">
        <f t="shared" si="12"/>
        <v>12</v>
      </c>
      <c r="H44" s="75">
        <f t="shared" si="12"/>
        <v>13</v>
      </c>
      <c r="I44" s="74">
        <f t="shared" si="12"/>
        <v>14</v>
      </c>
      <c r="J44" s="75">
        <f t="shared" si="12"/>
        <v>15</v>
      </c>
      <c r="K44" s="74">
        <f t="shared" si="12"/>
        <v>16</v>
      </c>
      <c r="L44" s="75">
        <f t="shared" si="12"/>
        <v>17</v>
      </c>
      <c r="M44" s="200" t="s">
        <v>83</v>
      </c>
      <c r="N44" s="200"/>
      <c r="O44" s="3" t="s">
        <v>82</v>
      </c>
    </row>
  </sheetData>
  <mergeCells count="18">
    <mergeCell ref="A14:B16"/>
    <mergeCell ref="C9:I9"/>
    <mergeCell ref="M9:O9"/>
    <mergeCell ref="C10:I10"/>
    <mergeCell ref="M10:O10"/>
    <mergeCell ref="C11:I11"/>
    <mergeCell ref="M11:P11"/>
    <mergeCell ref="L16:L18"/>
    <mergeCell ref="M42:N42"/>
    <mergeCell ref="M43:N43"/>
    <mergeCell ref="M44:N44"/>
    <mergeCell ref="N20:P20"/>
    <mergeCell ref="C6:I6"/>
    <mergeCell ref="M6:O6"/>
    <mergeCell ref="C7:I7"/>
    <mergeCell ref="M7:O7"/>
    <mergeCell ref="C8:I8"/>
    <mergeCell ref="M8:O8"/>
  </mergeCells>
  <phoneticPr fontId="13" type="noConversion"/>
  <printOptions horizontalCentered="1" verticalCentered="1"/>
  <pageMargins left="0" right="0" top="0" bottom="0" header="0" footer="0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C5B1-FCB6-4174-BD3E-3AD4397504D4}">
  <dimension ref="A1:U50"/>
  <sheetViews>
    <sheetView topLeftCell="A38" zoomScale="160" zoomScaleNormal="160" workbookViewId="0">
      <selection activeCell="D55" sqref="D55"/>
    </sheetView>
  </sheetViews>
  <sheetFormatPr defaultRowHeight="14.4" x14ac:dyDescent="0.3"/>
  <cols>
    <col min="1" max="1" width="5.88671875" customWidth="1"/>
    <col min="2" max="2" width="5.88671875" style="5" customWidth="1"/>
    <col min="3" max="17" width="5.88671875" customWidth="1"/>
    <col min="18" max="21" width="5.5546875" customWidth="1"/>
  </cols>
  <sheetData>
    <row r="1" spans="1:21" s="2" customFormat="1" ht="17.399999999999999" customHeight="1" x14ac:dyDescent="0.3">
      <c r="A1" s="2" t="s">
        <v>212</v>
      </c>
      <c r="B1" s="1"/>
      <c r="C1" s="143">
        <f>Halfling!F4</f>
        <v>20</v>
      </c>
      <c r="E1" s="2" t="s">
        <v>211</v>
      </c>
      <c r="G1" s="143" t="str">
        <f>Halfling!G4</f>
        <v>+7</v>
      </c>
      <c r="I1" s="2" t="s">
        <v>214</v>
      </c>
      <c r="K1" s="14"/>
      <c r="M1" s="2" t="s">
        <v>213</v>
      </c>
      <c r="O1" s="146">
        <f>Halfling!P22+Halfling!P29</f>
        <v>13</v>
      </c>
      <c r="P1" s="16"/>
      <c r="Q1" s="17"/>
    </row>
    <row r="2" spans="1:21" ht="17.399999999999999" customHeight="1" x14ac:dyDescent="0.3">
      <c r="A2" s="82" t="s">
        <v>45</v>
      </c>
      <c r="B2" s="76"/>
      <c r="C2" s="76"/>
      <c r="D2" s="76"/>
      <c r="E2" s="76"/>
      <c r="F2" s="76"/>
      <c r="G2" s="76"/>
      <c r="H2" s="34" t="s">
        <v>44</v>
      </c>
      <c r="I2" s="34" t="s">
        <v>46</v>
      </c>
      <c r="J2" s="208" t="s">
        <v>359</v>
      </c>
      <c r="K2" s="208"/>
      <c r="L2" s="208"/>
      <c r="M2" s="208"/>
      <c r="N2" s="208"/>
      <c r="O2" s="208"/>
      <c r="P2" s="209"/>
      <c r="Q2" s="208"/>
      <c r="R2" s="6"/>
      <c r="S2" s="6"/>
      <c r="T2" s="6"/>
      <c r="U2" s="6"/>
    </row>
    <row r="3" spans="1:21" ht="17.399999999999999" customHeight="1" x14ac:dyDescent="0.3">
      <c r="A3" s="59">
        <v>1</v>
      </c>
      <c r="B3" s="2"/>
      <c r="C3" s="2"/>
      <c r="D3" s="2"/>
      <c r="E3" s="1"/>
      <c r="F3" s="2"/>
      <c r="G3" s="2"/>
      <c r="H3" s="9"/>
      <c r="I3" s="10"/>
      <c r="J3" s="143" t="s">
        <v>9</v>
      </c>
      <c r="K3" s="107"/>
      <c r="L3" s="107"/>
      <c r="M3" s="107"/>
      <c r="N3" s="107"/>
      <c r="O3" s="107"/>
      <c r="P3" s="107"/>
      <c r="Q3" s="107"/>
    </row>
    <row r="4" spans="1:21" ht="17.399999999999999" customHeight="1" x14ac:dyDescent="0.3">
      <c r="A4" s="83">
        <f>A3+1</f>
        <v>2</v>
      </c>
      <c r="B4" s="77"/>
      <c r="C4" s="77"/>
      <c r="D4" s="77"/>
      <c r="E4" s="77"/>
      <c r="F4" s="77"/>
      <c r="G4" s="77"/>
      <c r="H4" s="11"/>
      <c r="I4" s="11"/>
      <c r="J4" s="165"/>
      <c r="K4" s="107"/>
      <c r="L4" s="107"/>
      <c r="M4" s="107"/>
      <c r="N4" s="107"/>
      <c r="O4" s="107"/>
      <c r="P4" s="107"/>
      <c r="Q4" s="107"/>
    </row>
    <row r="5" spans="1:21" ht="17.399999999999999" customHeight="1" x14ac:dyDescent="0.3">
      <c r="A5" s="59">
        <f>A4+1</f>
        <v>3</v>
      </c>
      <c r="B5" s="2"/>
      <c r="C5" s="2"/>
      <c r="D5" s="2"/>
      <c r="E5" s="1"/>
      <c r="F5" s="2"/>
      <c r="G5" s="2"/>
      <c r="H5" s="10"/>
      <c r="I5" s="10"/>
      <c r="J5" s="165"/>
      <c r="K5" s="107"/>
      <c r="L5" s="107"/>
      <c r="M5" s="107"/>
      <c r="N5" s="107"/>
      <c r="O5" s="107"/>
      <c r="P5" s="107"/>
      <c r="Q5" s="107"/>
    </row>
    <row r="6" spans="1:21" ht="17.399999999999999" customHeight="1" x14ac:dyDescent="0.3">
      <c r="A6" s="83">
        <f t="shared" ref="A6:A22" si="0">A5+1</f>
        <v>4</v>
      </c>
      <c r="B6" s="77"/>
      <c r="C6" s="77"/>
      <c r="D6" s="77"/>
      <c r="E6" s="77"/>
      <c r="F6" s="77"/>
      <c r="G6" s="77"/>
      <c r="H6" s="11"/>
      <c r="I6" s="11"/>
      <c r="J6" s="166" t="s">
        <v>335</v>
      </c>
      <c r="K6" s="14"/>
      <c r="L6" s="14"/>
      <c r="M6" s="14"/>
      <c r="N6" s="14"/>
      <c r="O6" s="14"/>
      <c r="P6" s="14"/>
      <c r="Q6" s="14"/>
    </row>
    <row r="7" spans="1:21" ht="17.399999999999999" customHeight="1" x14ac:dyDescent="0.3">
      <c r="A7" s="59">
        <f t="shared" si="0"/>
        <v>5</v>
      </c>
      <c r="B7" s="2"/>
      <c r="C7" s="2"/>
      <c r="D7" s="2"/>
      <c r="E7" s="1"/>
      <c r="F7" s="2"/>
      <c r="G7" s="2"/>
      <c r="H7" s="10"/>
      <c r="I7" s="10"/>
      <c r="J7" s="167" t="s">
        <v>353</v>
      </c>
      <c r="K7" s="114" t="s">
        <v>347</v>
      </c>
      <c r="L7" s="114" t="s">
        <v>348</v>
      </c>
      <c r="M7" s="114" t="s">
        <v>349</v>
      </c>
      <c r="N7" s="114" t="s">
        <v>350</v>
      </c>
      <c r="O7" s="114" t="s">
        <v>351</v>
      </c>
      <c r="P7" s="114"/>
      <c r="Q7" s="114"/>
    </row>
    <row r="8" spans="1:21" ht="17.399999999999999" customHeight="1" x14ac:dyDescent="0.3">
      <c r="A8" s="83">
        <f t="shared" si="0"/>
        <v>6</v>
      </c>
      <c r="B8" s="77"/>
      <c r="C8" s="77"/>
      <c r="D8" s="77"/>
      <c r="E8" s="77"/>
      <c r="F8" s="77"/>
      <c r="G8" s="77"/>
      <c r="H8" s="11"/>
      <c r="I8" s="11"/>
      <c r="J8" s="168" t="s">
        <v>8</v>
      </c>
      <c r="K8" s="14"/>
      <c r="L8" s="14"/>
      <c r="M8" s="14"/>
      <c r="N8" s="14"/>
      <c r="O8" s="14"/>
      <c r="P8" s="14"/>
      <c r="Q8" s="14"/>
    </row>
    <row r="9" spans="1:21" ht="17.399999999999999" customHeight="1" x14ac:dyDescent="0.3">
      <c r="A9" s="59">
        <f t="shared" si="0"/>
        <v>7</v>
      </c>
      <c r="B9" s="2"/>
      <c r="C9" s="2"/>
      <c r="D9" s="2"/>
      <c r="E9" s="1"/>
      <c r="F9" s="2"/>
      <c r="G9" s="2"/>
      <c r="H9" s="10"/>
      <c r="I9" s="10"/>
      <c r="J9" s="168" t="s">
        <v>336</v>
      </c>
      <c r="K9" s="14"/>
      <c r="L9" s="14"/>
      <c r="M9" s="14"/>
      <c r="N9" s="14"/>
      <c r="O9" s="14"/>
      <c r="P9" s="14"/>
      <c r="Q9" s="14"/>
    </row>
    <row r="10" spans="1:21" ht="17.399999999999999" customHeight="1" x14ac:dyDescent="0.3">
      <c r="A10" s="83">
        <f t="shared" si="0"/>
        <v>8</v>
      </c>
      <c r="B10" s="77"/>
      <c r="C10" s="77"/>
      <c r="D10" s="77"/>
      <c r="E10" s="77"/>
      <c r="F10" s="77"/>
      <c r="G10" s="77"/>
      <c r="H10" s="11"/>
      <c r="I10" s="11"/>
      <c r="J10" s="168" t="s">
        <v>337</v>
      </c>
      <c r="K10" s="14"/>
      <c r="L10" s="14"/>
      <c r="M10" s="14"/>
      <c r="N10" s="14"/>
      <c r="O10" s="14"/>
      <c r="P10" s="14"/>
      <c r="Q10" s="14"/>
    </row>
    <row r="11" spans="1:21" ht="17.399999999999999" customHeight="1" x14ac:dyDescent="0.3">
      <c r="A11" s="59">
        <f t="shared" si="0"/>
        <v>9</v>
      </c>
      <c r="B11" s="2"/>
      <c r="C11" s="2"/>
      <c r="D11" s="2"/>
      <c r="E11" s="1"/>
      <c r="F11" s="2"/>
      <c r="G11" s="2"/>
      <c r="H11" s="10"/>
      <c r="I11" s="10"/>
      <c r="J11" s="168" t="s">
        <v>338</v>
      </c>
      <c r="K11" s="14"/>
      <c r="L11" s="14"/>
      <c r="M11" s="14"/>
      <c r="N11" s="14"/>
      <c r="O11" s="14"/>
      <c r="P11" s="14"/>
      <c r="Q11" s="14"/>
    </row>
    <row r="12" spans="1:21" ht="17.399999999999999" customHeight="1" x14ac:dyDescent="0.3">
      <c r="A12" s="83">
        <f t="shared" si="0"/>
        <v>10</v>
      </c>
      <c r="B12" s="77"/>
      <c r="C12" s="77"/>
      <c r="D12" s="77"/>
      <c r="E12" s="77"/>
      <c r="F12" s="77"/>
      <c r="G12" s="77"/>
      <c r="H12" s="11"/>
      <c r="I12" s="11"/>
      <c r="J12" s="168" t="s">
        <v>340</v>
      </c>
      <c r="K12" s="14"/>
      <c r="L12" s="14"/>
      <c r="M12" s="14"/>
      <c r="N12" s="14"/>
      <c r="O12" s="14"/>
      <c r="P12" s="14"/>
      <c r="Q12" s="14"/>
    </row>
    <row r="13" spans="1:21" ht="17.399999999999999" customHeight="1" x14ac:dyDescent="0.3">
      <c r="A13" s="59">
        <f t="shared" si="0"/>
        <v>11</v>
      </c>
      <c r="B13" s="2"/>
      <c r="C13" s="2"/>
      <c r="D13" s="2"/>
      <c r="E13" s="1"/>
      <c r="F13" s="2"/>
      <c r="G13" s="2"/>
      <c r="H13" s="10"/>
      <c r="I13" s="10"/>
      <c r="J13" s="168" t="s">
        <v>339</v>
      </c>
      <c r="K13" s="14"/>
      <c r="L13" s="14"/>
      <c r="M13" s="14"/>
      <c r="N13" s="14"/>
      <c r="O13" s="14"/>
      <c r="P13" s="14"/>
      <c r="Q13" s="14"/>
    </row>
    <row r="14" spans="1:21" ht="17.399999999999999" customHeight="1" x14ac:dyDescent="0.3">
      <c r="A14" s="83">
        <f t="shared" si="0"/>
        <v>12</v>
      </c>
      <c r="B14" s="77"/>
      <c r="C14" s="77"/>
      <c r="D14" s="77"/>
      <c r="E14" s="77"/>
      <c r="F14" s="77"/>
      <c r="G14" s="77"/>
      <c r="H14" s="11"/>
      <c r="I14" s="11"/>
      <c r="J14" s="170" t="s">
        <v>358</v>
      </c>
      <c r="K14" s="171"/>
      <c r="L14" s="171"/>
      <c r="M14" s="171"/>
      <c r="N14" s="171"/>
      <c r="O14" s="171"/>
      <c r="P14" s="171"/>
      <c r="Q14" s="172"/>
      <c r="R14" s="169"/>
    </row>
    <row r="15" spans="1:21" ht="17.399999999999999" customHeight="1" x14ac:dyDescent="0.3">
      <c r="A15" s="59">
        <f t="shared" si="0"/>
        <v>13</v>
      </c>
      <c r="B15" s="2"/>
      <c r="C15" s="2"/>
      <c r="D15" s="2"/>
      <c r="E15" s="1"/>
      <c r="F15" s="2"/>
      <c r="G15" s="2"/>
      <c r="H15" s="10"/>
      <c r="I15" s="10"/>
      <c r="J15" s="108" t="s">
        <v>352</v>
      </c>
      <c r="K15" s="2"/>
      <c r="L15" s="2"/>
      <c r="M15" s="2"/>
      <c r="N15" s="2"/>
      <c r="O15" s="2"/>
      <c r="P15" s="2"/>
      <c r="Q15" s="115"/>
      <c r="S15" s="124"/>
    </row>
    <row r="16" spans="1:21" ht="17.399999999999999" customHeight="1" x14ac:dyDescent="0.3">
      <c r="A16" s="83">
        <f t="shared" si="0"/>
        <v>14</v>
      </c>
      <c r="B16" s="77"/>
      <c r="C16" s="77"/>
      <c r="D16" s="77"/>
      <c r="E16" s="77"/>
      <c r="F16" s="77"/>
      <c r="G16" s="77"/>
      <c r="H16" s="11"/>
      <c r="I16" s="11"/>
      <c r="J16" s="108" t="s">
        <v>220</v>
      </c>
      <c r="K16" s="2"/>
      <c r="L16" s="2"/>
      <c r="M16" s="2"/>
      <c r="N16" s="2"/>
      <c r="O16" s="2"/>
      <c r="P16" s="2"/>
      <c r="Q16" s="115"/>
      <c r="S16" s="125"/>
    </row>
    <row r="17" spans="1:21" ht="17.399999999999999" customHeight="1" x14ac:dyDescent="0.3">
      <c r="A17" s="59">
        <f t="shared" si="0"/>
        <v>15</v>
      </c>
      <c r="B17" s="2"/>
      <c r="C17" s="2"/>
      <c r="D17" s="2"/>
      <c r="E17" s="1"/>
      <c r="F17" s="2"/>
      <c r="G17" s="2"/>
      <c r="H17" s="10"/>
      <c r="I17" s="10"/>
      <c r="J17" s="108" t="s">
        <v>334</v>
      </c>
      <c r="K17" s="2"/>
      <c r="L17" s="2"/>
      <c r="M17" s="2"/>
      <c r="N17" s="2"/>
      <c r="O17" s="2"/>
      <c r="P17" s="2"/>
      <c r="Q17" s="115"/>
      <c r="S17" s="125"/>
    </row>
    <row r="18" spans="1:21" ht="17.399999999999999" customHeight="1" x14ac:dyDescent="0.3">
      <c r="A18" s="83">
        <f t="shared" si="0"/>
        <v>16</v>
      </c>
      <c r="B18" s="77"/>
      <c r="C18" s="77"/>
      <c r="D18" s="77"/>
      <c r="E18" s="77"/>
      <c r="F18" s="77"/>
      <c r="G18" s="77"/>
      <c r="H18" s="11"/>
      <c r="I18" s="11"/>
      <c r="J18" s="108" t="s">
        <v>219</v>
      </c>
      <c r="K18" s="2"/>
      <c r="L18" s="2"/>
      <c r="M18" s="2"/>
      <c r="N18" s="2"/>
      <c r="O18" s="2"/>
      <c r="P18" s="2"/>
      <c r="Q18" s="115"/>
      <c r="S18" s="125"/>
    </row>
    <row r="19" spans="1:21" ht="17.399999999999999" customHeight="1" x14ac:dyDescent="0.3">
      <c r="A19" s="59">
        <f t="shared" si="0"/>
        <v>17</v>
      </c>
      <c r="B19" s="2"/>
      <c r="C19" s="2"/>
      <c r="D19" s="2"/>
      <c r="E19" s="1"/>
      <c r="F19" s="2"/>
      <c r="G19" s="2"/>
      <c r="H19" s="10"/>
      <c r="I19" s="10"/>
      <c r="J19" s="108" t="s">
        <v>217</v>
      </c>
      <c r="K19" s="2"/>
      <c r="L19" s="2"/>
      <c r="M19" s="2"/>
      <c r="N19" s="2"/>
      <c r="O19" s="2"/>
      <c r="P19" s="2"/>
      <c r="Q19" s="115"/>
      <c r="S19" s="125"/>
    </row>
    <row r="20" spans="1:21" ht="17.399999999999999" customHeight="1" x14ac:dyDescent="0.3">
      <c r="A20" s="84">
        <f t="shared" si="0"/>
        <v>18</v>
      </c>
      <c r="B20" s="78"/>
      <c r="C20" s="77"/>
      <c r="D20" s="77"/>
      <c r="E20" s="77"/>
      <c r="F20" s="77"/>
      <c r="G20" s="77"/>
      <c r="H20" s="11"/>
      <c r="I20" s="11"/>
      <c r="J20" s="108" t="s">
        <v>356</v>
      </c>
      <c r="K20" s="2"/>
      <c r="L20" s="2"/>
      <c r="M20" s="2"/>
      <c r="N20" s="2"/>
      <c r="O20" s="2"/>
      <c r="P20" s="2"/>
      <c r="Q20" s="115"/>
      <c r="S20" s="125" t="s">
        <v>354</v>
      </c>
    </row>
    <row r="21" spans="1:21" ht="17.399999999999999" customHeight="1" x14ac:dyDescent="0.3">
      <c r="A21" s="35">
        <f t="shared" si="0"/>
        <v>19</v>
      </c>
      <c r="B21" s="2"/>
      <c r="C21" s="2"/>
      <c r="D21" s="2"/>
      <c r="E21" s="1"/>
      <c r="F21" s="2"/>
      <c r="G21" s="2"/>
      <c r="H21" s="10"/>
      <c r="I21" s="10"/>
      <c r="J21" s="108" t="s">
        <v>355</v>
      </c>
      <c r="K21" s="2"/>
      <c r="L21" s="2"/>
      <c r="M21" s="2"/>
      <c r="N21" s="2"/>
      <c r="O21" s="2"/>
      <c r="P21" s="2"/>
      <c r="Q21" s="115"/>
      <c r="S21" s="125" t="s">
        <v>354</v>
      </c>
    </row>
    <row r="22" spans="1:21" ht="17.399999999999999" customHeight="1" x14ac:dyDescent="0.3">
      <c r="A22" s="84">
        <f t="shared" si="0"/>
        <v>20</v>
      </c>
      <c r="B22" s="77"/>
      <c r="C22" s="8"/>
      <c r="D22" s="8"/>
      <c r="E22" s="8"/>
      <c r="F22" s="8"/>
      <c r="G22" s="8"/>
      <c r="H22" s="12"/>
      <c r="I22" s="12"/>
      <c r="J22" s="116" t="s">
        <v>218</v>
      </c>
      <c r="K22" s="24"/>
      <c r="L22" s="24"/>
      <c r="M22" s="24"/>
      <c r="N22" s="24"/>
      <c r="O22" s="24"/>
      <c r="P22" s="24"/>
      <c r="Q22" s="173"/>
      <c r="S22" s="126" t="s">
        <v>354</v>
      </c>
    </row>
    <row r="23" spans="1:21" ht="14.4" customHeight="1" thickBot="1" x14ac:dyDescent="0.35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27" t="s">
        <v>357</v>
      </c>
    </row>
    <row r="24" spans="1:21" ht="17.399999999999999" customHeight="1" x14ac:dyDescent="0.3">
      <c r="A24" s="210" t="s">
        <v>194</v>
      </c>
      <c r="B24" s="211"/>
      <c r="C24" s="81" t="s">
        <v>8</v>
      </c>
      <c r="D24" s="81" t="s">
        <v>8</v>
      </c>
      <c r="E24" s="81" t="s">
        <v>8</v>
      </c>
      <c r="F24" s="81" t="s">
        <v>8</v>
      </c>
      <c r="G24" s="81" t="s">
        <v>8</v>
      </c>
      <c r="H24" s="81" t="s">
        <v>8</v>
      </c>
      <c r="I24" s="81" t="s">
        <v>8</v>
      </c>
      <c r="J24" s="81" t="s">
        <v>8</v>
      </c>
      <c r="K24" s="81" t="s">
        <v>8</v>
      </c>
      <c r="L24" s="81" t="s">
        <v>8</v>
      </c>
      <c r="M24" s="81" t="s">
        <v>8</v>
      </c>
      <c r="N24" s="81" t="s">
        <v>8</v>
      </c>
      <c r="O24" s="81" t="s">
        <v>8</v>
      </c>
      <c r="P24" s="81" t="s">
        <v>8</v>
      </c>
      <c r="Q24" s="81" t="s">
        <v>8</v>
      </c>
    </row>
    <row r="25" spans="1:21" ht="17.399999999999999" customHeight="1" x14ac:dyDescent="0.3">
      <c r="A25" s="85"/>
      <c r="B25" s="86"/>
      <c r="C25" s="7">
        <v>-3</v>
      </c>
      <c r="D25" s="7">
        <f t="shared" ref="D25:Q25" si="1">C25+1</f>
        <v>-2</v>
      </c>
      <c r="E25" s="7">
        <f t="shared" si="1"/>
        <v>-1</v>
      </c>
      <c r="F25" s="7">
        <f t="shared" si="1"/>
        <v>0</v>
      </c>
      <c r="G25" s="7">
        <f t="shared" si="1"/>
        <v>1</v>
      </c>
      <c r="H25" s="7">
        <f t="shared" si="1"/>
        <v>2</v>
      </c>
      <c r="I25" s="7">
        <f t="shared" si="1"/>
        <v>3</v>
      </c>
      <c r="J25" s="7">
        <f t="shared" si="1"/>
        <v>4</v>
      </c>
      <c r="K25" s="7">
        <f t="shared" si="1"/>
        <v>5</v>
      </c>
      <c r="L25" s="7">
        <f t="shared" si="1"/>
        <v>6</v>
      </c>
      <c r="M25" s="7">
        <f t="shared" si="1"/>
        <v>7</v>
      </c>
      <c r="N25" s="7">
        <f t="shared" si="1"/>
        <v>8</v>
      </c>
      <c r="O25" s="7">
        <f t="shared" si="1"/>
        <v>9</v>
      </c>
      <c r="P25" s="7">
        <f t="shared" si="1"/>
        <v>10</v>
      </c>
      <c r="Q25" s="7">
        <f t="shared" si="1"/>
        <v>11</v>
      </c>
      <c r="R25" s="1"/>
      <c r="S25" s="1"/>
      <c r="T25" s="1"/>
      <c r="U25" s="1"/>
    </row>
    <row r="26" spans="1:21" ht="14.4" customHeight="1" x14ac:dyDescent="0.3">
      <c r="A26" s="212">
        <v>19</v>
      </c>
      <c r="B26" s="213"/>
      <c r="C26" s="79">
        <f>$A26-C$25</f>
        <v>22</v>
      </c>
      <c r="D26" s="79">
        <f t="shared" ref="D26:Q26" si="2">$A26-D$25</f>
        <v>21</v>
      </c>
      <c r="E26" s="79">
        <f t="shared" si="2"/>
        <v>20</v>
      </c>
      <c r="F26" s="79">
        <f t="shared" si="2"/>
        <v>19</v>
      </c>
      <c r="G26" s="79">
        <f t="shared" si="2"/>
        <v>18</v>
      </c>
      <c r="H26" s="79">
        <f t="shared" si="2"/>
        <v>17</v>
      </c>
      <c r="I26" s="79">
        <f t="shared" si="2"/>
        <v>16</v>
      </c>
      <c r="J26" s="79">
        <f t="shared" si="2"/>
        <v>15</v>
      </c>
      <c r="K26" s="79">
        <f t="shared" si="2"/>
        <v>14</v>
      </c>
      <c r="L26" s="79">
        <f t="shared" si="2"/>
        <v>13</v>
      </c>
      <c r="M26" s="79">
        <f t="shared" si="2"/>
        <v>12</v>
      </c>
      <c r="N26" s="79">
        <f t="shared" si="2"/>
        <v>11</v>
      </c>
      <c r="O26" s="79">
        <f t="shared" si="2"/>
        <v>10</v>
      </c>
      <c r="P26" s="79">
        <f t="shared" si="2"/>
        <v>9</v>
      </c>
      <c r="Q26" s="79">
        <f t="shared" si="2"/>
        <v>8</v>
      </c>
    </row>
    <row r="27" spans="1:21" ht="14.4" customHeight="1" x14ac:dyDescent="0.3">
      <c r="A27" s="214">
        <v>18</v>
      </c>
      <c r="B27" s="207"/>
      <c r="C27" s="80">
        <f t="shared" ref="C27:Q34" si="3">$A27-C$25</f>
        <v>21</v>
      </c>
      <c r="D27" s="80">
        <f t="shared" si="3"/>
        <v>20</v>
      </c>
      <c r="E27" s="80">
        <f t="shared" si="3"/>
        <v>19</v>
      </c>
      <c r="F27" s="80">
        <f t="shared" si="3"/>
        <v>18</v>
      </c>
      <c r="G27" s="80">
        <f t="shared" si="3"/>
        <v>17</v>
      </c>
      <c r="H27" s="80">
        <f t="shared" si="3"/>
        <v>16</v>
      </c>
      <c r="I27" s="80">
        <f t="shared" si="3"/>
        <v>15</v>
      </c>
      <c r="J27" s="80">
        <f t="shared" si="3"/>
        <v>14</v>
      </c>
      <c r="K27" s="80">
        <f t="shared" si="3"/>
        <v>13</v>
      </c>
      <c r="L27" s="80">
        <f t="shared" si="3"/>
        <v>12</v>
      </c>
      <c r="M27" s="80">
        <f t="shared" si="3"/>
        <v>11</v>
      </c>
      <c r="N27" s="80">
        <f t="shared" si="3"/>
        <v>10</v>
      </c>
      <c r="O27" s="80">
        <f t="shared" si="3"/>
        <v>9</v>
      </c>
      <c r="P27" s="80">
        <f t="shared" si="3"/>
        <v>8</v>
      </c>
      <c r="Q27" s="80">
        <f t="shared" si="3"/>
        <v>7</v>
      </c>
    </row>
    <row r="28" spans="1:21" ht="14.4" customHeight="1" x14ac:dyDescent="0.3">
      <c r="A28" s="213">
        <v>17</v>
      </c>
      <c r="B28" s="213"/>
      <c r="C28" s="79">
        <f t="shared" si="3"/>
        <v>20</v>
      </c>
      <c r="D28" s="79">
        <f t="shared" si="3"/>
        <v>19</v>
      </c>
      <c r="E28" s="79">
        <f t="shared" si="3"/>
        <v>18</v>
      </c>
      <c r="F28" s="79">
        <f t="shared" si="3"/>
        <v>17</v>
      </c>
      <c r="G28" s="79">
        <f t="shared" si="3"/>
        <v>16</v>
      </c>
      <c r="H28" s="79">
        <f t="shared" si="3"/>
        <v>15</v>
      </c>
      <c r="I28" s="79">
        <f t="shared" si="3"/>
        <v>14</v>
      </c>
      <c r="J28" s="79">
        <f t="shared" si="3"/>
        <v>13</v>
      </c>
      <c r="K28" s="79">
        <f t="shared" si="3"/>
        <v>12</v>
      </c>
      <c r="L28" s="79">
        <f t="shared" si="3"/>
        <v>11</v>
      </c>
      <c r="M28" s="79">
        <f t="shared" si="3"/>
        <v>10</v>
      </c>
      <c r="N28" s="79">
        <f t="shared" si="3"/>
        <v>9</v>
      </c>
      <c r="O28" s="79">
        <f t="shared" si="3"/>
        <v>8</v>
      </c>
      <c r="P28" s="79">
        <f t="shared" si="3"/>
        <v>7</v>
      </c>
      <c r="Q28" s="79">
        <f t="shared" si="3"/>
        <v>6</v>
      </c>
    </row>
    <row r="29" spans="1:21" ht="14.4" customHeight="1" x14ac:dyDescent="0.3">
      <c r="A29" s="207">
        <v>16</v>
      </c>
      <c r="B29" s="207"/>
      <c r="C29" s="80">
        <f t="shared" si="3"/>
        <v>19</v>
      </c>
      <c r="D29" s="80">
        <f t="shared" si="3"/>
        <v>18</v>
      </c>
      <c r="E29" s="80">
        <f t="shared" si="3"/>
        <v>17</v>
      </c>
      <c r="F29" s="80">
        <f t="shared" si="3"/>
        <v>16</v>
      </c>
      <c r="G29" s="80">
        <f t="shared" si="3"/>
        <v>15</v>
      </c>
      <c r="H29" s="80">
        <f t="shared" si="3"/>
        <v>14</v>
      </c>
      <c r="I29" s="80">
        <f t="shared" si="3"/>
        <v>13</v>
      </c>
      <c r="J29" s="80">
        <f t="shared" si="3"/>
        <v>12</v>
      </c>
      <c r="K29" s="80">
        <f t="shared" si="3"/>
        <v>11</v>
      </c>
      <c r="L29" s="80">
        <f t="shared" si="3"/>
        <v>10</v>
      </c>
      <c r="M29" s="80">
        <f t="shared" si="3"/>
        <v>9</v>
      </c>
      <c r="N29" s="80">
        <f t="shared" si="3"/>
        <v>8</v>
      </c>
      <c r="O29" s="80">
        <f t="shared" si="3"/>
        <v>7</v>
      </c>
      <c r="P29" s="80">
        <f t="shared" si="3"/>
        <v>6</v>
      </c>
      <c r="Q29" s="80">
        <f t="shared" si="3"/>
        <v>5</v>
      </c>
    </row>
    <row r="30" spans="1:21" ht="14.4" customHeight="1" x14ac:dyDescent="0.3">
      <c r="A30" s="213">
        <v>15</v>
      </c>
      <c r="B30" s="213"/>
      <c r="C30" s="79">
        <f t="shared" si="3"/>
        <v>18</v>
      </c>
      <c r="D30" s="79">
        <f t="shared" si="3"/>
        <v>17</v>
      </c>
      <c r="E30" s="79">
        <f t="shared" si="3"/>
        <v>16</v>
      </c>
      <c r="F30" s="79">
        <f t="shared" si="3"/>
        <v>15</v>
      </c>
      <c r="G30" s="79">
        <f t="shared" si="3"/>
        <v>14</v>
      </c>
      <c r="H30" s="79">
        <f t="shared" si="3"/>
        <v>13</v>
      </c>
      <c r="I30" s="79">
        <f t="shared" si="3"/>
        <v>12</v>
      </c>
      <c r="J30" s="79">
        <f t="shared" si="3"/>
        <v>11</v>
      </c>
      <c r="K30" s="79">
        <f t="shared" si="3"/>
        <v>10</v>
      </c>
      <c r="L30" s="79">
        <f t="shared" si="3"/>
        <v>9</v>
      </c>
      <c r="M30" s="79">
        <f t="shared" si="3"/>
        <v>8</v>
      </c>
      <c r="N30" s="79">
        <f t="shared" si="3"/>
        <v>7</v>
      </c>
      <c r="O30" s="79">
        <f t="shared" si="3"/>
        <v>6</v>
      </c>
      <c r="P30" s="79">
        <f t="shared" si="3"/>
        <v>5</v>
      </c>
      <c r="Q30" s="79">
        <f t="shared" si="3"/>
        <v>4</v>
      </c>
    </row>
    <row r="31" spans="1:21" ht="14.4" customHeight="1" x14ac:dyDescent="0.3">
      <c r="A31" s="207">
        <v>14</v>
      </c>
      <c r="B31" s="207"/>
      <c r="C31" s="80">
        <f t="shared" si="3"/>
        <v>17</v>
      </c>
      <c r="D31" s="80">
        <f t="shared" si="3"/>
        <v>16</v>
      </c>
      <c r="E31" s="80">
        <f t="shared" si="3"/>
        <v>15</v>
      </c>
      <c r="F31" s="80">
        <f t="shared" si="3"/>
        <v>14</v>
      </c>
      <c r="G31" s="80">
        <f t="shared" si="3"/>
        <v>13</v>
      </c>
      <c r="H31" s="80">
        <f t="shared" si="3"/>
        <v>12</v>
      </c>
      <c r="I31" s="80">
        <f t="shared" si="3"/>
        <v>11</v>
      </c>
      <c r="J31" s="80">
        <f t="shared" si="3"/>
        <v>10</v>
      </c>
      <c r="K31" s="80">
        <f t="shared" si="3"/>
        <v>9</v>
      </c>
      <c r="L31" s="80">
        <f t="shared" si="3"/>
        <v>8</v>
      </c>
      <c r="M31" s="80">
        <f t="shared" si="3"/>
        <v>7</v>
      </c>
      <c r="N31" s="80">
        <f t="shared" si="3"/>
        <v>6</v>
      </c>
      <c r="O31" s="80">
        <f t="shared" si="3"/>
        <v>5</v>
      </c>
      <c r="P31" s="80">
        <f t="shared" si="3"/>
        <v>4</v>
      </c>
      <c r="Q31" s="80">
        <f t="shared" si="3"/>
        <v>3</v>
      </c>
    </row>
    <row r="32" spans="1:21" ht="14.4" customHeight="1" x14ac:dyDescent="0.3">
      <c r="A32" s="213">
        <v>13</v>
      </c>
      <c r="B32" s="213"/>
      <c r="C32" s="79">
        <f t="shared" si="3"/>
        <v>16</v>
      </c>
      <c r="D32" s="79">
        <f t="shared" si="3"/>
        <v>15</v>
      </c>
      <c r="E32" s="79">
        <f t="shared" si="3"/>
        <v>14</v>
      </c>
      <c r="F32" s="79">
        <f t="shared" si="3"/>
        <v>13</v>
      </c>
      <c r="G32" s="79">
        <f t="shared" si="3"/>
        <v>12</v>
      </c>
      <c r="H32" s="79">
        <f t="shared" si="3"/>
        <v>11</v>
      </c>
      <c r="I32" s="79">
        <f t="shared" si="3"/>
        <v>10</v>
      </c>
      <c r="J32" s="79">
        <f t="shared" si="3"/>
        <v>9</v>
      </c>
      <c r="K32" s="79">
        <f t="shared" si="3"/>
        <v>8</v>
      </c>
      <c r="L32" s="79">
        <f t="shared" si="3"/>
        <v>7</v>
      </c>
      <c r="M32" s="79">
        <f t="shared" si="3"/>
        <v>6</v>
      </c>
      <c r="N32" s="79">
        <f t="shared" si="3"/>
        <v>5</v>
      </c>
      <c r="O32" s="79">
        <f t="shared" si="3"/>
        <v>4</v>
      </c>
      <c r="P32" s="79">
        <f t="shared" si="3"/>
        <v>3</v>
      </c>
      <c r="Q32" s="79">
        <f t="shared" si="3"/>
        <v>2</v>
      </c>
    </row>
    <row r="33" spans="1:17" ht="14.4" customHeight="1" x14ac:dyDescent="0.3">
      <c r="A33" s="207">
        <v>12</v>
      </c>
      <c r="B33" s="207"/>
      <c r="C33" s="80">
        <f t="shared" si="3"/>
        <v>15</v>
      </c>
      <c r="D33" s="80">
        <f t="shared" si="3"/>
        <v>14</v>
      </c>
      <c r="E33" s="80">
        <f t="shared" si="3"/>
        <v>13</v>
      </c>
      <c r="F33" s="80">
        <f t="shared" si="3"/>
        <v>12</v>
      </c>
      <c r="G33" s="80">
        <f t="shared" si="3"/>
        <v>11</v>
      </c>
      <c r="H33" s="80">
        <f t="shared" si="3"/>
        <v>10</v>
      </c>
      <c r="I33" s="80">
        <f t="shared" si="3"/>
        <v>9</v>
      </c>
      <c r="J33" s="80">
        <f t="shared" si="3"/>
        <v>8</v>
      </c>
      <c r="K33" s="80">
        <f t="shared" si="3"/>
        <v>7</v>
      </c>
      <c r="L33" s="80">
        <f t="shared" si="3"/>
        <v>6</v>
      </c>
      <c r="M33" s="80">
        <f t="shared" si="3"/>
        <v>5</v>
      </c>
      <c r="N33" s="80">
        <f t="shared" si="3"/>
        <v>4</v>
      </c>
      <c r="O33" s="80">
        <f t="shared" si="3"/>
        <v>3</v>
      </c>
      <c r="P33" s="80">
        <f t="shared" si="3"/>
        <v>2</v>
      </c>
      <c r="Q33" s="80">
        <f t="shared" si="3"/>
        <v>1</v>
      </c>
    </row>
    <row r="34" spans="1:17" ht="14.4" customHeight="1" x14ac:dyDescent="0.3">
      <c r="A34" s="213">
        <v>11</v>
      </c>
      <c r="B34" s="213"/>
      <c r="C34" s="79">
        <f t="shared" si="3"/>
        <v>14</v>
      </c>
      <c r="D34" s="79">
        <f t="shared" si="3"/>
        <v>13</v>
      </c>
      <c r="E34" s="79">
        <f t="shared" si="3"/>
        <v>12</v>
      </c>
      <c r="F34" s="79">
        <f t="shared" si="3"/>
        <v>11</v>
      </c>
      <c r="G34" s="79">
        <f t="shared" si="3"/>
        <v>10</v>
      </c>
      <c r="H34" s="79">
        <f t="shared" si="3"/>
        <v>9</v>
      </c>
      <c r="I34" s="79">
        <f t="shared" si="3"/>
        <v>8</v>
      </c>
      <c r="J34" s="79">
        <f t="shared" si="3"/>
        <v>7</v>
      </c>
      <c r="K34" s="79">
        <f t="shared" si="3"/>
        <v>6</v>
      </c>
      <c r="L34" s="79">
        <f t="shared" si="3"/>
        <v>5</v>
      </c>
      <c r="M34" s="79">
        <f t="shared" si="3"/>
        <v>4</v>
      </c>
      <c r="N34" s="79">
        <f t="shared" si="3"/>
        <v>3</v>
      </c>
      <c r="O34" s="79">
        <f t="shared" si="3"/>
        <v>2</v>
      </c>
      <c r="P34" s="79">
        <f t="shared" si="3"/>
        <v>1</v>
      </c>
      <c r="Q34" s="79">
        <f t="shared" si="3"/>
        <v>0</v>
      </c>
    </row>
    <row r="35" spans="1:17" ht="14.4" customHeight="1" x14ac:dyDescent="0.3">
      <c r="A35" s="119"/>
      <c r="B35" s="120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1" t="s">
        <v>195</v>
      </c>
    </row>
    <row r="36" spans="1:17" ht="12.6" customHeight="1" thickBot="1" x14ac:dyDescent="0.35">
      <c r="A36" s="122"/>
      <c r="B36" s="123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1:17" ht="12.6" customHeight="1" x14ac:dyDescent="0.3">
      <c r="A37" s="38" t="s">
        <v>46</v>
      </c>
      <c r="B37" s="39" t="s">
        <v>48</v>
      </c>
      <c r="C37" s="38"/>
      <c r="D37" s="38"/>
      <c r="E37" s="38"/>
      <c r="F37" s="38"/>
      <c r="G37" s="38"/>
      <c r="H37" s="38"/>
      <c r="I37" s="38"/>
      <c r="J37" s="38"/>
      <c r="K37" s="40" t="s">
        <v>203</v>
      </c>
      <c r="L37" s="41"/>
      <c r="M37" s="42" t="s">
        <v>8</v>
      </c>
      <c r="N37" s="42" t="s">
        <v>46</v>
      </c>
      <c r="O37" s="42" t="s">
        <v>204</v>
      </c>
      <c r="P37" s="42" t="s">
        <v>205</v>
      </c>
      <c r="Q37" s="42" t="s">
        <v>206</v>
      </c>
    </row>
    <row r="38" spans="1:17" ht="12.6" customHeight="1" x14ac:dyDescent="0.3">
      <c r="A38" s="36">
        <v>0</v>
      </c>
      <c r="B38" s="37" t="s">
        <v>221</v>
      </c>
      <c r="K38" s="35" t="s">
        <v>196</v>
      </c>
      <c r="L38" s="2"/>
      <c r="M38" s="43">
        <v>9</v>
      </c>
      <c r="N38" s="43">
        <v>0</v>
      </c>
      <c r="O38" s="43" t="s">
        <v>207</v>
      </c>
      <c r="P38" s="43" t="s">
        <v>208</v>
      </c>
      <c r="Q38" s="43" t="s">
        <v>209</v>
      </c>
    </row>
    <row r="39" spans="1:17" ht="12.6" customHeight="1" x14ac:dyDescent="0.3">
      <c r="A39" s="36" t="s">
        <v>223</v>
      </c>
      <c r="B39" s="47" t="s">
        <v>222</v>
      </c>
      <c r="C39" s="48"/>
      <c r="D39" s="48"/>
      <c r="E39" s="48"/>
      <c r="F39" s="48"/>
      <c r="G39" s="48"/>
      <c r="H39" s="48"/>
      <c r="I39" s="48"/>
      <c r="J39" s="48"/>
      <c r="K39" s="44" t="s">
        <v>233</v>
      </c>
      <c r="L39" s="45"/>
      <c r="M39" s="46">
        <v>8</v>
      </c>
      <c r="N39" s="46">
        <v>1</v>
      </c>
      <c r="O39" s="46" t="s">
        <v>207</v>
      </c>
      <c r="P39" s="46" t="s">
        <v>208</v>
      </c>
      <c r="Q39" s="46" t="s">
        <v>209</v>
      </c>
    </row>
    <row r="40" spans="1:17" ht="12.6" customHeight="1" x14ac:dyDescent="0.3">
      <c r="A40" s="36" t="s">
        <v>224</v>
      </c>
      <c r="B40" s="49" t="s">
        <v>225</v>
      </c>
      <c r="K40" s="35" t="s">
        <v>197</v>
      </c>
      <c r="L40" s="2"/>
      <c r="M40" s="43">
        <v>7</v>
      </c>
      <c r="N40" s="43">
        <v>2</v>
      </c>
      <c r="O40" s="43"/>
      <c r="P40" s="43" t="s">
        <v>208</v>
      </c>
      <c r="Q40" s="43" t="s">
        <v>209</v>
      </c>
    </row>
    <row r="41" spans="1:17" ht="12.6" customHeight="1" x14ac:dyDescent="0.3">
      <c r="A41" s="36">
        <v>1</v>
      </c>
      <c r="B41" s="47" t="s">
        <v>226</v>
      </c>
      <c r="C41" s="47"/>
      <c r="D41" s="47"/>
      <c r="E41" s="47"/>
      <c r="F41" s="47"/>
      <c r="G41" s="47"/>
      <c r="H41" s="47"/>
      <c r="I41" s="47"/>
      <c r="J41" s="47"/>
      <c r="K41" s="44" t="s">
        <v>198</v>
      </c>
      <c r="L41" s="45"/>
      <c r="M41" s="46">
        <v>6</v>
      </c>
      <c r="N41" s="46">
        <v>2</v>
      </c>
      <c r="O41" s="46" t="s">
        <v>207</v>
      </c>
      <c r="P41" s="46" t="s">
        <v>208</v>
      </c>
      <c r="Q41" s="46" t="s">
        <v>209</v>
      </c>
    </row>
    <row r="42" spans="1:17" ht="12.6" customHeight="1" x14ac:dyDescent="0.3">
      <c r="A42" s="36">
        <v>2</v>
      </c>
      <c r="B42" s="49" t="s">
        <v>228</v>
      </c>
      <c r="K42" s="35" t="s">
        <v>199</v>
      </c>
      <c r="L42" s="2"/>
      <c r="M42" s="43">
        <v>5</v>
      </c>
      <c r="N42" s="43">
        <v>2</v>
      </c>
      <c r="O42" s="43" t="s">
        <v>209</v>
      </c>
      <c r="P42" s="43" t="s">
        <v>208</v>
      </c>
      <c r="Q42" s="43" t="s">
        <v>208</v>
      </c>
    </row>
    <row r="43" spans="1:17" ht="12.6" customHeight="1" x14ac:dyDescent="0.3">
      <c r="A43" s="36">
        <v>3</v>
      </c>
      <c r="B43" s="47" t="s">
        <v>227</v>
      </c>
      <c r="C43" s="47"/>
      <c r="D43" s="47"/>
      <c r="E43" s="47"/>
      <c r="F43" s="47"/>
      <c r="G43" s="47"/>
      <c r="H43" s="47"/>
      <c r="I43" s="47"/>
      <c r="J43" s="47"/>
      <c r="K43" s="44" t="s">
        <v>201</v>
      </c>
      <c r="L43" s="45"/>
      <c r="M43" s="46">
        <v>4</v>
      </c>
      <c r="N43" s="46">
        <v>3</v>
      </c>
      <c r="O43" s="46" t="s">
        <v>208</v>
      </c>
      <c r="P43" s="46" t="s">
        <v>208</v>
      </c>
      <c r="Q43" s="46" t="s">
        <v>47</v>
      </c>
    </row>
    <row r="44" spans="1:17" ht="12.6" customHeight="1" x14ac:dyDescent="0.3">
      <c r="A44" s="36"/>
      <c r="B44" s="50"/>
      <c r="C44" s="13"/>
      <c r="D44" s="13"/>
      <c r="E44" s="13"/>
      <c r="G44" s="13"/>
      <c r="H44" s="13"/>
      <c r="I44" s="13"/>
      <c r="J44" s="3"/>
      <c r="K44" s="35" t="s">
        <v>202</v>
      </c>
      <c r="L44" s="2"/>
      <c r="M44" s="43">
        <v>3</v>
      </c>
      <c r="N44" s="43">
        <v>3</v>
      </c>
      <c r="O44" s="43" t="s">
        <v>208</v>
      </c>
      <c r="P44" s="43" t="s">
        <v>208</v>
      </c>
      <c r="Q44" s="43" t="s">
        <v>47</v>
      </c>
    </row>
    <row r="45" spans="1:17" ht="12.6" customHeight="1" x14ac:dyDescent="0.3">
      <c r="A45" t="s">
        <v>230</v>
      </c>
      <c r="B45" s="50"/>
      <c r="C45" s="13"/>
      <c r="D45" s="13"/>
      <c r="E45" s="13"/>
      <c r="F45" s="51"/>
      <c r="G45" s="13"/>
      <c r="H45" s="13"/>
      <c r="I45" s="13"/>
      <c r="J45" s="3"/>
      <c r="K45" s="44" t="s">
        <v>234</v>
      </c>
      <c r="L45" s="45"/>
      <c r="M45" s="46">
        <v>2</v>
      </c>
      <c r="N45" s="46">
        <v>3</v>
      </c>
      <c r="O45" s="46" t="s">
        <v>208</v>
      </c>
      <c r="P45" s="46" t="s">
        <v>208</v>
      </c>
      <c r="Q45" s="46" t="s">
        <v>47</v>
      </c>
    </row>
    <row r="46" spans="1:17" ht="12.6" customHeight="1" x14ac:dyDescent="0.3">
      <c r="A46" t="s">
        <v>229</v>
      </c>
      <c r="B46" s="50"/>
      <c r="C46" s="13"/>
      <c r="D46" s="13"/>
      <c r="E46" s="13"/>
      <c r="F46" s="13"/>
      <c r="G46" s="13"/>
      <c r="H46" s="13"/>
      <c r="I46" s="13"/>
      <c r="J46" s="3"/>
      <c r="K46" s="35" t="s">
        <v>200</v>
      </c>
      <c r="L46" s="2"/>
      <c r="M46" s="43">
        <v>-1</v>
      </c>
      <c r="N46" s="43">
        <v>2</v>
      </c>
      <c r="O46" s="43"/>
      <c r="P46" s="43"/>
      <c r="Q46" s="43"/>
    </row>
    <row r="47" spans="1:17" ht="12.6" customHeight="1" x14ac:dyDescent="0.3">
      <c r="A47" t="s">
        <v>231</v>
      </c>
      <c r="B47" s="50"/>
      <c r="C47" s="13"/>
      <c r="D47" s="13"/>
      <c r="E47" s="13"/>
      <c r="F47" s="13"/>
      <c r="G47" s="13"/>
      <c r="H47" s="13"/>
      <c r="I47" s="13"/>
      <c r="J47" s="3"/>
      <c r="K47" s="44" t="s">
        <v>235</v>
      </c>
      <c r="L47" s="45"/>
      <c r="M47" s="46">
        <v>-2</v>
      </c>
      <c r="N47" s="46">
        <v>3</v>
      </c>
      <c r="O47" s="46" t="s">
        <v>236</v>
      </c>
      <c r="P47" s="46"/>
      <c r="Q47" s="46"/>
    </row>
    <row r="48" spans="1:17" ht="12.6" customHeight="1" x14ac:dyDescent="0.3">
      <c r="A48" t="s">
        <v>232</v>
      </c>
      <c r="B48" s="13"/>
      <c r="C48" s="13"/>
      <c r="D48" s="13"/>
      <c r="E48" s="13"/>
      <c r="F48" s="13"/>
      <c r="G48" s="13"/>
      <c r="H48" s="13"/>
      <c r="I48" s="13"/>
      <c r="J48" s="3"/>
      <c r="Q48" s="128" t="s">
        <v>360</v>
      </c>
    </row>
    <row r="49" spans="1:17" ht="17.399999999999999" customHeight="1" x14ac:dyDescent="0.3"/>
    <row r="50" spans="1:17" ht="15" thickBot="1" x14ac:dyDescent="0.35">
      <c r="A50" s="118"/>
      <c r="B50" s="181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</row>
  </sheetData>
  <mergeCells count="11">
    <mergeCell ref="A30:B30"/>
    <mergeCell ref="A31:B31"/>
    <mergeCell ref="A32:B32"/>
    <mergeCell ref="A33:B33"/>
    <mergeCell ref="A34:B34"/>
    <mergeCell ref="A29:B29"/>
    <mergeCell ref="J2:Q2"/>
    <mergeCell ref="A24:B24"/>
    <mergeCell ref="A26:B26"/>
    <mergeCell ref="A27:B27"/>
    <mergeCell ref="A28:B28"/>
  </mergeCells>
  <printOptions horizontalCentered="1" verticalCentered="1"/>
  <pageMargins left="0" right="0" top="0" bottom="0" header="0" footer="0"/>
  <pageSetup paperSize="9" fitToWidth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BED5-6492-4A4B-BB83-28F0C7345C12}">
  <dimension ref="A1:AA44"/>
  <sheetViews>
    <sheetView topLeftCell="A9" zoomScale="140" zoomScaleNormal="140" workbookViewId="0">
      <selection activeCell="E37" sqref="E37"/>
    </sheetView>
  </sheetViews>
  <sheetFormatPr defaultRowHeight="14.4" x14ac:dyDescent="0.3"/>
  <cols>
    <col min="1" max="2" width="11.109375" style="2" customWidth="1"/>
    <col min="3" max="3" width="5.77734375" style="2" customWidth="1"/>
    <col min="4" max="12" width="4.77734375" style="2" customWidth="1"/>
    <col min="13" max="13" width="5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29" t="s">
        <v>0</v>
      </c>
      <c r="B1" s="30" t="s">
        <v>172</v>
      </c>
      <c r="C1" s="30"/>
      <c r="D1" s="157"/>
      <c r="E1" s="29"/>
      <c r="F1" s="159"/>
      <c r="G1" s="160" t="s">
        <v>182</v>
      </c>
      <c r="H1" s="30"/>
      <c r="I1" s="159"/>
      <c r="J1" s="52"/>
      <c r="K1" s="29" t="s">
        <v>34</v>
      </c>
      <c r="L1" s="30"/>
      <c r="M1" s="30"/>
      <c r="N1" s="161" t="s">
        <v>174</v>
      </c>
      <c r="O1" s="30"/>
      <c r="P1" s="30"/>
    </row>
    <row r="2" spans="1:16" ht="20.399999999999999" customHeight="1" x14ac:dyDescent="0.3">
      <c r="A2" s="158" t="s">
        <v>93</v>
      </c>
      <c r="B2" s="28" t="s">
        <v>173</v>
      </c>
      <c r="C2" s="28"/>
      <c r="D2" s="52"/>
      <c r="E2" s="29" t="s">
        <v>33</v>
      </c>
      <c r="F2" s="30"/>
      <c r="G2" s="30" t="s">
        <v>173</v>
      </c>
      <c r="H2" s="30"/>
      <c r="I2" s="156" t="s">
        <v>124</v>
      </c>
      <c r="J2" s="52"/>
      <c r="K2" s="29" t="s">
        <v>1</v>
      </c>
      <c r="L2" s="30"/>
      <c r="M2" s="30"/>
      <c r="N2" s="30" t="s">
        <v>50</v>
      </c>
      <c r="O2" s="30"/>
      <c r="P2" s="30"/>
    </row>
    <row r="3" spans="1:16" ht="9.6" customHeight="1" x14ac:dyDescent="0.3">
      <c r="A3" s="3"/>
      <c r="B3" s="3"/>
      <c r="C3" s="3"/>
      <c r="D3" s="3"/>
      <c r="E3" s="3"/>
      <c r="F3" s="3"/>
      <c r="G3" s="3"/>
      <c r="H3" s="3"/>
      <c r="K3" s="3"/>
      <c r="L3" s="3"/>
      <c r="M3" s="3"/>
      <c r="N3" s="3"/>
      <c r="O3" s="3"/>
      <c r="P3" s="3"/>
    </row>
    <row r="4" spans="1:16" ht="18.600000000000001" customHeight="1" x14ac:dyDescent="0.3">
      <c r="A4" s="53" t="s">
        <v>8</v>
      </c>
      <c r="B4" s="177">
        <v>4</v>
      </c>
      <c r="C4" s="1"/>
      <c r="E4" s="53" t="s">
        <v>46</v>
      </c>
      <c r="F4" s="54">
        <v>24</v>
      </c>
      <c r="G4" s="144" t="s">
        <v>108</v>
      </c>
      <c r="H4" s="145" t="s">
        <v>657</v>
      </c>
      <c r="I4" s="1"/>
      <c r="J4" s="55"/>
      <c r="L4" s="56" t="s">
        <v>92</v>
      </c>
      <c r="M4" s="54">
        <v>0</v>
      </c>
      <c r="N4" s="1"/>
      <c r="O4" s="53" t="s">
        <v>9</v>
      </c>
      <c r="P4" s="149">
        <v>30</v>
      </c>
    </row>
    <row r="5" spans="1:16" ht="19.8" customHeight="1" x14ac:dyDescent="0.3">
      <c r="A5" s="25" t="s">
        <v>29</v>
      </c>
      <c r="B5" s="25"/>
      <c r="J5" s="2" t="s">
        <v>91</v>
      </c>
      <c r="M5" s="25" t="s">
        <v>10</v>
      </c>
      <c r="N5" s="24"/>
      <c r="O5" s="24"/>
      <c r="P5" s="24"/>
    </row>
    <row r="6" spans="1:16" ht="32.4" customHeight="1" x14ac:dyDescent="0.3">
      <c r="A6" s="154">
        <v>16</v>
      </c>
      <c r="B6" s="178" t="s">
        <v>2</v>
      </c>
      <c r="C6" s="202" t="s">
        <v>111</v>
      </c>
      <c r="D6" s="202"/>
      <c r="E6" s="202"/>
      <c r="F6" s="202"/>
      <c r="G6" s="202"/>
      <c r="H6" s="202"/>
      <c r="I6" s="202"/>
      <c r="J6" s="57">
        <v>2</v>
      </c>
      <c r="K6" s="57"/>
      <c r="M6" s="203" t="s">
        <v>346</v>
      </c>
      <c r="N6" s="203"/>
      <c r="O6" s="203"/>
      <c r="P6" s="150">
        <v>10</v>
      </c>
    </row>
    <row r="7" spans="1:16" ht="32.4" customHeight="1" x14ac:dyDescent="0.3">
      <c r="A7" s="154">
        <v>12</v>
      </c>
      <c r="B7" s="178" t="s">
        <v>3</v>
      </c>
      <c r="C7" s="202" t="s">
        <v>86</v>
      </c>
      <c r="D7" s="202"/>
      <c r="E7" s="202"/>
      <c r="F7" s="202"/>
      <c r="G7" s="202"/>
      <c r="H7" s="202"/>
      <c r="I7" s="202"/>
      <c r="J7" s="57">
        <v>0</v>
      </c>
      <c r="K7" s="57"/>
      <c r="M7" s="203" t="s">
        <v>11</v>
      </c>
      <c r="N7" s="203"/>
      <c r="O7" s="203"/>
      <c r="P7" s="150">
        <v>11</v>
      </c>
    </row>
    <row r="8" spans="1:16" ht="32.4" customHeight="1" x14ac:dyDescent="0.3">
      <c r="A8" s="154">
        <v>13</v>
      </c>
      <c r="B8" s="178" t="s">
        <v>4</v>
      </c>
      <c r="C8" s="202" t="s">
        <v>126</v>
      </c>
      <c r="D8" s="202"/>
      <c r="E8" s="202"/>
      <c r="F8" s="202"/>
      <c r="G8" s="202"/>
      <c r="H8" s="202"/>
      <c r="I8" s="202"/>
      <c r="J8" s="57">
        <v>1</v>
      </c>
      <c r="K8" s="57"/>
      <c r="M8" s="203" t="s">
        <v>14</v>
      </c>
      <c r="N8" s="203"/>
      <c r="O8" s="203"/>
      <c r="P8" s="150">
        <v>11</v>
      </c>
    </row>
    <row r="9" spans="1:16" ht="32.4" customHeight="1" x14ac:dyDescent="0.3">
      <c r="A9" s="154">
        <v>17</v>
      </c>
      <c r="B9" s="178" t="s">
        <v>5</v>
      </c>
      <c r="C9" s="202" t="s">
        <v>127</v>
      </c>
      <c r="D9" s="202"/>
      <c r="E9" s="202"/>
      <c r="F9" s="202"/>
      <c r="G9" s="202"/>
      <c r="H9" s="202"/>
      <c r="I9" s="202"/>
      <c r="J9" s="57">
        <v>2</v>
      </c>
      <c r="K9" s="57"/>
      <c r="M9" s="203" t="s">
        <v>12</v>
      </c>
      <c r="N9" s="203"/>
      <c r="O9" s="203"/>
      <c r="P9" s="150">
        <v>13</v>
      </c>
    </row>
    <row r="10" spans="1:16" ht="32.4" customHeight="1" x14ac:dyDescent="0.3">
      <c r="A10" s="154">
        <v>11</v>
      </c>
      <c r="B10" s="178" t="s">
        <v>6</v>
      </c>
      <c r="C10" s="202" t="s">
        <v>86</v>
      </c>
      <c r="D10" s="202"/>
      <c r="E10" s="202"/>
      <c r="F10" s="202"/>
      <c r="G10" s="202"/>
      <c r="H10" s="202"/>
      <c r="I10" s="202"/>
      <c r="J10" s="57">
        <v>0</v>
      </c>
      <c r="K10" s="57"/>
      <c r="M10" s="203" t="s">
        <v>13</v>
      </c>
      <c r="N10" s="203"/>
      <c r="O10" s="203"/>
      <c r="P10" s="150">
        <v>12</v>
      </c>
    </row>
    <row r="11" spans="1:16" ht="32.4" customHeight="1" x14ac:dyDescent="0.3">
      <c r="A11" s="154">
        <v>10</v>
      </c>
      <c r="B11" s="178" t="s">
        <v>7</v>
      </c>
      <c r="C11" s="202" t="s">
        <v>89</v>
      </c>
      <c r="D11" s="202"/>
      <c r="E11" s="202"/>
      <c r="F11" s="202"/>
      <c r="G11" s="202"/>
      <c r="H11" s="202"/>
      <c r="I11" s="202"/>
      <c r="J11" s="57">
        <v>0</v>
      </c>
      <c r="K11" s="57"/>
      <c r="M11" s="205" t="s">
        <v>341</v>
      </c>
      <c r="N11" s="205"/>
      <c r="O11" s="205"/>
      <c r="P11" s="205"/>
    </row>
    <row r="12" spans="1:16" ht="8.4" customHeight="1" x14ac:dyDescent="0.3"/>
    <row r="13" spans="1:16" s="3" customFormat="1" ht="15.6" customHeight="1" x14ac:dyDescent="0.3">
      <c r="A13" s="22" t="s">
        <v>16</v>
      </c>
      <c r="B13" s="22"/>
      <c r="C13" s="58"/>
      <c r="D13" s="22" t="s">
        <v>17</v>
      </c>
      <c r="E13" s="22"/>
      <c r="F13" s="22"/>
      <c r="G13" s="58"/>
      <c r="H13" s="59" t="s">
        <v>65</v>
      </c>
      <c r="I13" s="59" t="s">
        <v>66</v>
      </c>
      <c r="J13" s="59" t="s">
        <v>67</v>
      </c>
      <c r="K13" s="110" t="s">
        <v>344</v>
      </c>
      <c r="L13" s="109" t="s">
        <v>342</v>
      </c>
      <c r="N13" s="22" t="s">
        <v>55</v>
      </c>
      <c r="O13" s="23"/>
      <c r="P13" s="22"/>
    </row>
    <row r="14" spans="1:16" s="3" customFormat="1" ht="15.6" customHeight="1" x14ac:dyDescent="0.3">
      <c r="A14" s="204" t="s">
        <v>166</v>
      </c>
      <c r="B14" s="204"/>
      <c r="D14" s="58" t="s">
        <v>21</v>
      </c>
      <c r="E14" s="58"/>
      <c r="G14" s="36" t="s">
        <v>70</v>
      </c>
      <c r="H14" s="60">
        <v>30</v>
      </c>
      <c r="I14" s="1">
        <f>J14*1.5</f>
        <v>9</v>
      </c>
      <c r="J14" s="1">
        <f>H14/5</f>
        <v>6</v>
      </c>
      <c r="K14" s="110" t="s">
        <v>662</v>
      </c>
      <c r="L14" s="109" t="s">
        <v>47</v>
      </c>
      <c r="N14" s="3" t="s">
        <v>181</v>
      </c>
    </row>
    <row r="15" spans="1:16" s="3" customFormat="1" ht="15.6" customHeight="1" x14ac:dyDescent="0.3">
      <c r="A15" s="204"/>
      <c r="B15" s="204"/>
      <c r="D15" s="61" t="s">
        <v>37</v>
      </c>
      <c r="E15" s="61"/>
      <c r="F15" s="62"/>
      <c r="G15" s="63" t="s">
        <v>71</v>
      </c>
      <c r="H15" s="64">
        <f>H14*3</f>
        <v>90</v>
      </c>
      <c r="I15" s="64">
        <f>J15*1.5</f>
        <v>27</v>
      </c>
      <c r="J15" s="64">
        <f t="shared" ref="J15:J18" si="0">H15/5</f>
        <v>18</v>
      </c>
      <c r="K15" s="111" t="s">
        <v>47</v>
      </c>
      <c r="L15" s="112" t="s">
        <v>47</v>
      </c>
      <c r="N15" s="3" t="s">
        <v>131</v>
      </c>
    </row>
    <row r="16" spans="1:16" s="3" customFormat="1" ht="15.6" customHeight="1" x14ac:dyDescent="0.3">
      <c r="A16" s="204"/>
      <c r="B16" s="204"/>
      <c r="D16" s="58" t="s">
        <v>18</v>
      </c>
      <c r="E16" s="58"/>
      <c r="G16" s="36" t="s">
        <v>70</v>
      </c>
      <c r="H16" s="60">
        <f>H14*3</f>
        <v>90</v>
      </c>
      <c r="I16" s="1">
        <f>J16*1.5</f>
        <v>27</v>
      </c>
      <c r="J16" s="1">
        <f t="shared" si="0"/>
        <v>18</v>
      </c>
      <c r="K16" s="110">
        <f>J16+(J16/2)</f>
        <v>27</v>
      </c>
      <c r="L16" s="206" t="s">
        <v>343</v>
      </c>
      <c r="N16" s="3" t="s">
        <v>649</v>
      </c>
    </row>
    <row r="17" spans="1:16" s="3" customFormat="1" ht="15.6" customHeight="1" x14ac:dyDescent="0.3">
      <c r="A17" s="155" t="s">
        <v>195</v>
      </c>
      <c r="B17" s="163"/>
      <c r="D17" s="61" t="s">
        <v>35</v>
      </c>
      <c r="E17" s="61"/>
      <c r="F17" s="62"/>
      <c r="G17" s="63" t="s">
        <v>70</v>
      </c>
      <c r="H17" s="64">
        <f>H14/2</f>
        <v>15</v>
      </c>
      <c r="I17" s="64">
        <f>J17*1.5</f>
        <v>4.5</v>
      </c>
      <c r="J17" s="64">
        <f t="shared" si="0"/>
        <v>3</v>
      </c>
      <c r="K17" s="111">
        <f t="shared" ref="K17:K18" si="1">J17+(J17/2)</f>
        <v>4.5</v>
      </c>
      <c r="L17" s="206"/>
      <c r="N17" s="3" t="s">
        <v>110</v>
      </c>
    </row>
    <row r="18" spans="1:16" s="3" customFormat="1" ht="15.6" customHeight="1" x14ac:dyDescent="0.3">
      <c r="A18" s="155" t="s">
        <v>95</v>
      </c>
      <c r="B18" s="164"/>
      <c r="D18" s="58" t="s">
        <v>36</v>
      </c>
      <c r="E18" s="58"/>
      <c r="G18" s="36" t="s">
        <v>70</v>
      </c>
      <c r="H18" s="60">
        <f>H14/2</f>
        <v>15</v>
      </c>
      <c r="I18" s="1">
        <f>J18*1.5</f>
        <v>4.5</v>
      </c>
      <c r="J18" s="1">
        <f t="shared" si="0"/>
        <v>3</v>
      </c>
      <c r="K18" s="110">
        <f t="shared" si="1"/>
        <v>4.5</v>
      </c>
      <c r="L18" s="206"/>
      <c r="N18" s="3" t="s">
        <v>59</v>
      </c>
    </row>
    <row r="19" spans="1:16" s="3" customFormat="1" ht="15.6" customHeight="1" x14ac:dyDescent="0.3">
      <c r="A19" s="21"/>
      <c r="B19" s="20"/>
      <c r="D19" s="61" t="s">
        <v>22</v>
      </c>
      <c r="E19" s="61"/>
      <c r="F19" s="62"/>
      <c r="G19" s="63" t="s">
        <v>72</v>
      </c>
      <c r="H19" s="65" t="s">
        <v>184</v>
      </c>
      <c r="I19" s="65" t="s">
        <v>185</v>
      </c>
      <c r="J19" s="65"/>
      <c r="K19" s="111" t="s">
        <v>47</v>
      </c>
      <c r="L19" s="112" t="s">
        <v>47</v>
      </c>
      <c r="N19" s="3" t="s">
        <v>132</v>
      </c>
    </row>
    <row r="20" spans="1:16" s="3" customFormat="1" ht="15.6" customHeight="1" x14ac:dyDescent="0.3">
      <c r="A20" s="18"/>
      <c r="B20" s="18"/>
      <c r="N20" s="201" t="s">
        <v>116</v>
      </c>
      <c r="O20" s="201"/>
      <c r="P20" s="201"/>
    </row>
    <row r="21" spans="1:16" s="3" customFormat="1" ht="15.6" customHeight="1" x14ac:dyDescent="0.3">
      <c r="A21" s="125" t="s">
        <v>663</v>
      </c>
      <c r="B21" s="21"/>
      <c r="D21" s="66"/>
      <c r="N21" s="3" t="s">
        <v>170</v>
      </c>
      <c r="P21" s="36"/>
    </row>
    <row r="22" spans="1:16" ht="15.6" customHeight="1" x14ac:dyDescent="0.3">
      <c r="A22" s="125" t="s">
        <v>664</v>
      </c>
      <c r="B22" s="21"/>
      <c r="D22" s="66"/>
      <c r="N22" s="67"/>
      <c r="O22" s="67" t="s">
        <v>46</v>
      </c>
      <c r="P22" s="151">
        <v>12</v>
      </c>
    </row>
    <row r="23" spans="1:16" ht="15.6" customHeight="1" x14ac:dyDescent="0.3">
      <c r="A23" s="125" t="s">
        <v>665</v>
      </c>
      <c r="B23" s="21"/>
      <c r="D23" s="66"/>
      <c r="M23" s="58"/>
      <c r="N23" s="68"/>
      <c r="O23" s="21"/>
      <c r="P23" s="21"/>
    </row>
    <row r="24" spans="1:16" ht="15.6" customHeight="1" x14ac:dyDescent="0.3">
      <c r="A24" s="125" t="s">
        <v>666</v>
      </c>
      <c r="B24" s="21"/>
      <c r="D24" s="66"/>
      <c r="M24" s="58"/>
      <c r="N24" s="33"/>
      <c r="O24" s="33" t="s">
        <v>215</v>
      </c>
      <c r="P24" s="33" t="s">
        <v>216</v>
      </c>
    </row>
    <row r="25" spans="1:16" ht="15.6" customHeight="1" x14ac:dyDescent="0.3">
      <c r="A25" s="125" t="s">
        <v>667</v>
      </c>
      <c r="B25" s="21"/>
      <c r="D25" s="66"/>
      <c r="N25" s="69" t="s">
        <v>42</v>
      </c>
      <c r="O25" s="21"/>
      <c r="P25" s="152"/>
    </row>
    <row r="26" spans="1:16" ht="15.6" customHeight="1" x14ac:dyDescent="0.3">
      <c r="A26" s="49" t="s">
        <v>668</v>
      </c>
      <c r="B26" s="21"/>
      <c r="D26" s="70"/>
      <c r="N26" s="69" t="s">
        <v>39</v>
      </c>
      <c r="O26" s="21"/>
      <c r="P26" s="152">
        <v>500</v>
      </c>
    </row>
    <row r="27" spans="1:16" ht="15.6" customHeight="1" x14ac:dyDescent="0.3">
      <c r="A27" s="49" t="s">
        <v>669</v>
      </c>
      <c r="D27" s="70"/>
      <c r="N27" s="69" t="s">
        <v>43</v>
      </c>
      <c r="O27" s="21"/>
      <c r="P27" s="152"/>
    </row>
    <row r="28" spans="1:16" ht="15.6" customHeight="1" x14ac:dyDescent="0.3">
      <c r="A28" s="126" t="s">
        <v>670</v>
      </c>
      <c r="D28" s="71"/>
      <c r="N28" s="69" t="s">
        <v>40</v>
      </c>
      <c r="O28" s="21"/>
      <c r="P28" s="152"/>
    </row>
    <row r="29" spans="1:16" ht="15.6" customHeight="1" x14ac:dyDescent="0.3">
      <c r="A29" s="126" t="s">
        <v>672</v>
      </c>
      <c r="D29" s="71"/>
      <c r="N29" s="72"/>
      <c r="O29" s="67" t="s">
        <v>46</v>
      </c>
      <c r="P29" s="151">
        <v>5</v>
      </c>
    </row>
    <row r="30" spans="1:16" x14ac:dyDescent="0.3">
      <c r="D30" s="71"/>
    </row>
    <row r="31" spans="1:16" ht="15.6" customHeight="1" x14ac:dyDescent="0.3">
      <c r="A31" s="22" t="s">
        <v>41</v>
      </c>
      <c r="B31" s="22"/>
      <c r="C31" s="27" t="s">
        <v>96</v>
      </c>
      <c r="D31" s="24"/>
      <c r="E31" s="27" t="s">
        <v>97</v>
      </c>
      <c r="F31" s="24"/>
      <c r="G31" s="27" t="s">
        <v>98</v>
      </c>
      <c r="H31" s="24"/>
      <c r="I31" s="27"/>
      <c r="J31" s="24"/>
      <c r="K31" s="24"/>
      <c r="N31" s="22" t="s">
        <v>29</v>
      </c>
      <c r="O31" s="24"/>
      <c r="P31" s="24"/>
    </row>
    <row r="32" spans="1:16" x14ac:dyDescent="0.3">
      <c r="A32" s="52" t="s">
        <v>30</v>
      </c>
      <c r="B32" s="2" t="s">
        <v>179</v>
      </c>
      <c r="N32" s="2" t="s">
        <v>175</v>
      </c>
    </row>
    <row r="33" spans="1:27" x14ac:dyDescent="0.3">
      <c r="A33" s="52" t="s">
        <v>31</v>
      </c>
      <c r="B33" s="2" t="s">
        <v>180</v>
      </c>
      <c r="N33" s="2" t="s">
        <v>32</v>
      </c>
    </row>
    <row r="34" spans="1:27" x14ac:dyDescent="0.3">
      <c r="A34" s="52" t="s">
        <v>38</v>
      </c>
      <c r="B34" s="2" t="s">
        <v>178</v>
      </c>
      <c r="N34" s="2" t="s">
        <v>183</v>
      </c>
    </row>
    <row r="35" spans="1:27" x14ac:dyDescent="0.3">
      <c r="N35" s="2" t="s">
        <v>176</v>
      </c>
    </row>
    <row r="39" spans="1:27" x14ac:dyDescent="0.3">
      <c r="AA39"/>
    </row>
    <row r="40" spans="1:27" x14ac:dyDescent="0.3">
      <c r="L40" s="73" t="s">
        <v>194</v>
      </c>
    </row>
    <row r="41" spans="1:27" ht="15.6" x14ac:dyDescent="0.3">
      <c r="A41" s="162" t="s">
        <v>15</v>
      </c>
      <c r="B41" s="19" t="s">
        <v>19</v>
      </c>
      <c r="C41" s="26" t="s">
        <v>20</v>
      </c>
      <c r="D41" s="4">
        <v>8</v>
      </c>
      <c r="E41" s="26">
        <f>D41-1</f>
        <v>7</v>
      </c>
      <c r="F41" s="4">
        <f t="shared" ref="F41:L41" si="2">E41-1</f>
        <v>6</v>
      </c>
      <c r="G41" s="26">
        <f t="shared" si="2"/>
        <v>5</v>
      </c>
      <c r="H41" s="4">
        <f t="shared" si="2"/>
        <v>4</v>
      </c>
      <c r="I41" s="26">
        <f t="shared" si="2"/>
        <v>3</v>
      </c>
      <c r="J41" s="4">
        <f t="shared" si="2"/>
        <v>2</v>
      </c>
      <c r="K41" s="26">
        <f t="shared" si="2"/>
        <v>1</v>
      </c>
      <c r="L41" s="4">
        <f t="shared" si="2"/>
        <v>0</v>
      </c>
      <c r="M41" s="215" t="s">
        <v>26</v>
      </c>
      <c r="N41" s="215"/>
      <c r="O41" s="22" t="s">
        <v>27</v>
      </c>
      <c r="P41" s="24"/>
    </row>
    <row r="42" spans="1:27" ht="18" x14ac:dyDescent="0.3">
      <c r="A42" s="93" t="s">
        <v>142</v>
      </c>
      <c r="B42" s="1" t="s">
        <v>23</v>
      </c>
      <c r="C42" s="74">
        <v>5</v>
      </c>
      <c r="D42" s="75">
        <f>C42+1</f>
        <v>6</v>
      </c>
      <c r="E42" s="74">
        <f t="shared" ref="E42:L43" si="3">D42+1</f>
        <v>7</v>
      </c>
      <c r="F42" s="75">
        <f t="shared" si="3"/>
        <v>8</v>
      </c>
      <c r="G42" s="74">
        <f t="shared" si="3"/>
        <v>9</v>
      </c>
      <c r="H42" s="75">
        <f t="shared" si="3"/>
        <v>10</v>
      </c>
      <c r="I42" s="74">
        <f t="shared" si="3"/>
        <v>11</v>
      </c>
      <c r="J42" s="75">
        <f t="shared" si="3"/>
        <v>12</v>
      </c>
      <c r="K42" s="74">
        <f t="shared" si="3"/>
        <v>13</v>
      </c>
      <c r="L42" s="75">
        <f t="shared" si="3"/>
        <v>14</v>
      </c>
      <c r="M42" s="199" t="s">
        <v>105</v>
      </c>
      <c r="N42" s="199"/>
    </row>
    <row r="43" spans="1:27" ht="18" x14ac:dyDescent="0.3">
      <c r="A43" s="93" t="s">
        <v>24</v>
      </c>
      <c r="B43" s="1" t="s">
        <v>23</v>
      </c>
      <c r="C43" s="74">
        <v>6</v>
      </c>
      <c r="D43" s="75">
        <f>C43+1</f>
        <v>7</v>
      </c>
      <c r="E43" s="74">
        <f t="shared" si="3"/>
        <v>8</v>
      </c>
      <c r="F43" s="75">
        <f t="shared" si="3"/>
        <v>9</v>
      </c>
      <c r="G43" s="74">
        <f t="shared" si="3"/>
        <v>10</v>
      </c>
      <c r="H43" s="75">
        <f t="shared" si="3"/>
        <v>11</v>
      </c>
      <c r="I43" s="74">
        <f t="shared" si="3"/>
        <v>12</v>
      </c>
      <c r="J43" s="75">
        <f t="shared" si="3"/>
        <v>13</v>
      </c>
      <c r="K43" s="74">
        <f t="shared" si="3"/>
        <v>14</v>
      </c>
      <c r="L43" s="75">
        <f t="shared" si="3"/>
        <v>15</v>
      </c>
      <c r="M43" s="200" t="s">
        <v>106</v>
      </c>
      <c r="N43" s="200"/>
      <c r="O43" s="3" t="s">
        <v>114</v>
      </c>
    </row>
    <row r="44" spans="1:27" ht="18" x14ac:dyDescent="0.3">
      <c r="A44" s="93" t="s">
        <v>25</v>
      </c>
      <c r="B44" s="1" t="s">
        <v>107</v>
      </c>
      <c r="C44" s="74">
        <v>8</v>
      </c>
      <c r="D44" s="75">
        <f t="shared" ref="D44:L44" si="4">C44+1</f>
        <v>9</v>
      </c>
      <c r="E44" s="74">
        <f t="shared" si="4"/>
        <v>10</v>
      </c>
      <c r="F44" s="75">
        <f t="shared" si="4"/>
        <v>11</v>
      </c>
      <c r="G44" s="74">
        <f t="shared" si="4"/>
        <v>12</v>
      </c>
      <c r="H44" s="75">
        <f t="shared" si="4"/>
        <v>13</v>
      </c>
      <c r="I44" s="74">
        <f t="shared" si="4"/>
        <v>14</v>
      </c>
      <c r="J44" s="75">
        <f t="shared" si="4"/>
        <v>15</v>
      </c>
      <c r="K44" s="74">
        <f t="shared" si="4"/>
        <v>16</v>
      </c>
      <c r="L44" s="75">
        <f t="shared" si="4"/>
        <v>17</v>
      </c>
      <c r="M44" s="200" t="s">
        <v>28</v>
      </c>
      <c r="N44" s="200"/>
      <c r="O44" s="3" t="s">
        <v>115</v>
      </c>
    </row>
  </sheetData>
  <mergeCells count="19">
    <mergeCell ref="A14:B16"/>
    <mergeCell ref="C9:I9"/>
    <mergeCell ref="M9:O9"/>
    <mergeCell ref="C10:I10"/>
    <mergeCell ref="M10:O10"/>
    <mergeCell ref="C11:I11"/>
    <mergeCell ref="M11:P11"/>
    <mergeCell ref="L16:L18"/>
    <mergeCell ref="C6:I6"/>
    <mergeCell ref="M6:O6"/>
    <mergeCell ref="C7:I7"/>
    <mergeCell ref="M7:O7"/>
    <mergeCell ref="C8:I8"/>
    <mergeCell ref="M8:O8"/>
    <mergeCell ref="M42:N42"/>
    <mergeCell ref="M43:N43"/>
    <mergeCell ref="N20:P20"/>
    <mergeCell ref="M44:N44"/>
    <mergeCell ref="M41:N41"/>
  </mergeCells>
  <printOptions horizontalCentered="1" verticalCentered="1"/>
  <pageMargins left="0" right="0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F4C1-AEF3-496C-9FD2-A8FAE52743A1}">
  <dimension ref="A1:U50"/>
  <sheetViews>
    <sheetView zoomScale="120" zoomScaleNormal="120" workbookViewId="0">
      <selection activeCell="E37" sqref="E37"/>
    </sheetView>
  </sheetViews>
  <sheetFormatPr defaultRowHeight="14.4" x14ac:dyDescent="0.3"/>
  <cols>
    <col min="1" max="1" width="5.88671875" customWidth="1"/>
    <col min="2" max="2" width="5.88671875" style="5" customWidth="1"/>
    <col min="3" max="17" width="5.88671875" customWidth="1"/>
    <col min="18" max="21" width="5.5546875" customWidth="1"/>
  </cols>
  <sheetData>
    <row r="1" spans="1:21" s="2" customFormat="1" ht="17.399999999999999" customHeight="1" x14ac:dyDescent="0.3">
      <c r="A1" s="2" t="s">
        <v>212</v>
      </c>
      <c r="B1" s="1"/>
      <c r="C1" s="143">
        <f>Elf!F4</f>
        <v>24</v>
      </c>
      <c r="E1" s="2" t="s">
        <v>211</v>
      </c>
      <c r="G1" s="143" t="str">
        <f>Elf!G4</f>
        <v>+8</v>
      </c>
      <c r="I1" s="2" t="s">
        <v>214</v>
      </c>
      <c r="K1" s="143"/>
      <c r="M1" s="2" t="s">
        <v>213</v>
      </c>
      <c r="O1" s="146">
        <f>Elf!P22+Elf!P29</f>
        <v>17</v>
      </c>
      <c r="P1" s="16"/>
      <c r="Q1" s="17"/>
    </row>
    <row r="2" spans="1:21" ht="17.399999999999999" customHeight="1" x14ac:dyDescent="0.3">
      <c r="A2" s="82" t="s">
        <v>45</v>
      </c>
      <c r="B2" s="76"/>
      <c r="C2" s="76"/>
      <c r="D2" s="76"/>
      <c r="E2" s="76"/>
      <c r="F2" s="76"/>
      <c r="G2" s="76"/>
      <c r="H2" s="34" t="s">
        <v>44</v>
      </c>
      <c r="I2" s="34" t="s">
        <v>46</v>
      </c>
      <c r="J2" s="208" t="s">
        <v>359</v>
      </c>
      <c r="K2" s="208"/>
      <c r="L2" s="208"/>
      <c r="M2" s="208"/>
      <c r="N2" s="208"/>
      <c r="O2" s="208"/>
      <c r="P2" s="209"/>
      <c r="Q2" s="208"/>
      <c r="R2" s="6"/>
      <c r="S2" s="6"/>
      <c r="T2" s="6"/>
      <c r="U2" s="6"/>
    </row>
    <row r="3" spans="1:21" ht="17.399999999999999" customHeight="1" x14ac:dyDescent="0.3">
      <c r="A3" s="59">
        <v>1</v>
      </c>
      <c r="B3" s="2"/>
      <c r="C3" s="2"/>
      <c r="D3" s="2"/>
      <c r="E3" s="1"/>
      <c r="F3" s="2"/>
      <c r="G3" s="2"/>
      <c r="H3" s="9"/>
      <c r="I3" s="10"/>
      <c r="J3" s="143" t="s">
        <v>9</v>
      </c>
      <c r="K3" s="107"/>
      <c r="L3" s="107"/>
      <c r="M3" s="107"/>
      <c r="N3" s="107"/>
      <c r="O3" s="107"/>
      <c r="P3" s="107"/>
      <c r="Q3" s="107"/>
    </row>
    <row r="4" spans="1:21" ht="17.399999999999999" customHeight="1" x14ac:dyDescent="0.3">
      <c r="A4" s="83">
        <f>A3+1</f>
        <v>2</v>
      </c>
      <c r="B4" s="77"/>
      <c r="C4" s="77"/>
      <c r="D4" s="77"/>
      <c r="E4" s="77"/>
      <c r="F4" s="77"/>
      <c r="G4" s="77"/>
      <c r="H4" s="11"/>
      <c r="I4" s="11"/>
      <c r="J4" s="165"/>
      <c r="K4" s="107"/>
      <c r="L4" s="107"/>
      <c r="M4" s="107"/>
      <c r="N4" s="107"/>
      <c r="O4" s="107"/>
      <c r="P4" s="107"/>
      <c r="Q4" s="107"/>
    </row>
    <row r="5" spans="1:21" ht="17.399999999999999" customHeight="1" x14ac:dyDescent="0.3">
      <c r="A5" s="59">
        <f>A4+1</f>
        <v>3</v>
      </c>
      <c r="B5" s="2"/>
      <c r="C5" s="2"/>
      <c r="D5" s="2"/>
      <c r="E5" s="1"/>
      <c r="F5" s="2"/>
      <c r="G5" s="2"/>
      <c r="H5" s="10"/>
      <c r="I5" s="10"/>
      <c r="J5" s="165"/>
      <c r="K5" s="107"/>
      <c r="L5" s="107"/>
      <c r="M5" s="107"/>
      <c r="N5" s="107"/>
      <c r="O5" s="107"/>
      <c r="P5" s="107"/>
      <c r="Q5" s="107"/>
    </row>
    <row r="6" spans="1:21" ht="17.399999999999999" customHeight="1" x14ac:dyDescent="0.3">
      <c r="A6" s="83">
        <f t="shared" ref="A6:A22" si="0">A5+1</f>
        <v>4</v>
      </c>
      <c r="B6" s="77"/>
      <c r="C6" s="77"/>
      <c r="D6" s="77"/>
      <c r="E6" s="77"/>
      <c r="F6" s="77"/>
      <c r="G6" s="77"/>
      <c r="H6" s="11"/>
      <c r="I6" s="11"/>
      <c r="J6" s="166" t="s">
        <v>335</v>
      </c>
      <c r="K6" s="14"/>
      <c r="L6" s="14"/>
      <c r="M6" s="14"/>
      <c r="N6" s="14"/>
      <c r="O6" s="14"/>
      <c r="P6" s="14"/>
      <c r="Q6" s="14"/>
    </row>
    <row r="7" spans="1:21" ht="17.399999999999999" customHeight="1" x14ac:dyDescent="0.3">
      <c r="A7" s="59">
        <f t="shared" si="0"/>
        <v>5</v>
      </c>
      <c r="B7" s="2"/>
      <c r="C7" s="2"/>
      <c r="D7" s="2"/>
      <c r="E7" s="1"/>
      <c r="F7" s="2"/>
      <c r="G7" s="2"/>
      <c r="H7" s="10"/>
      <c r="I7" s="10"/>
      <c r="J7" s="167" t="s">
        <v>353</v>
      </c>
      <c r="K7" s="114" t="s">
        <v>347</v>
      </c>
      <c r="L7" s="114" t="s">
        <v>348</v>
      </c>
      <c r="M7" s="114" t="s">
        <v>349</v>
      </c>
      <c r="N7" s="114" t="s">
        <v>350</v>
      </c>
      <c r="O7" s="114" t="s">
        <v>351</v>
      </c>
      <c r="P7" s="114"/>
      <c r="Q7" s="114"/>
    </row>
    <row r="8" spans="1:21" ht="17.399999999999999" customHeight="1" x14ac:dyDescent="0.3">
      <c r="A8" s="83">
        <f t="shared" si="0"/>
        <v>6</v>
      </c>
      <c r="B8" s="77"/>
      <c r="C8" s="77"/>
      <c r="D8" s="77"/>
      <c r="E8" s="77"/>
      <c r="F8" s="77"/>
      <c r="G8" s="77"/>
      <c r="H8" s="11"/>
      <c r="I8" s="11"/>
      <c r="J8" s="168" t="s">
        <v>8</v>
      </c>
      <c r="K8" s="14"/>
      <c r="L8" s="14"/>
      <c r="M8" s="14"/>
      <c r="N8" s="14"/>
      <c r="O8" s="14"/>
      <c r="P8" s="14"/>
      <c r="Q8" s="14"/>
    </row>
    <row r="9" spans="1:21" ht="17.399999999999999" customHeight="1" x14ac:dyDescent="0.3">
      <c r="A9" s="59">
        <f t="shared" si="0"/>
        <v>7</v>
      </c>
      <c r="B9" s="2"/>
      <c r="C9" s="2"/>
      <c r="D9" s="2"/>
      <c r="E9" s="1"/>
      <c r="F9" s="2"/>
      <c r="G9" s="2"/>
      <c r="H9" s="10"/>
      <c r="I9" s="10"/>
      <c r="J9" s="168" t="s">
        <v>336</v>
      </c>
      <c r="K9" s="14"/>
      <c r="L9" s="14"/>
      <c r="M9" s="14"/>
      <c r="N9" s="14"/>
      <c r="O9" s="14"/>
      <c r="P9" s="14"/>
      <c r="Q9" s="14"/>
    </row>
    <row r="10" spans="1:21" ht="17.399999999999999" customHeight="1" x14ac:dyDescent="0.3">
      <c r="A10" s="83">
        <f t="shared" si="0"/>
        <v>8</v>
      </c>
      <c r="B10" s="77"/>
      <c r="C10" s="77"/>
      <c r="D10" s="77"/>
      <c r="E10" s="77"/>
      <c r="F10" s="77"/>
      <c r="G10" s="77"/>
      <c r="H10" s="11"/>
      <c r="I10" s="11"/>
      <c r="J10" s="168" t="s">
        <v>337</v>
      </c>
      <c r="K10" s="14"/>
      <c r="L10" s="14"/>
      <c r="M10" s="14"/>
      <c r="N10" s="14"/>
      <c r="O10" s="14"/>
      <c r="P10" s="14"/>
      <c r="Q10" s="14"/>
    </row>
    <row r="11" spans="1:21" ht="17.399999999999999" customHeight="1" x14ac:dyDescent="0.3">
      <c r="A11" s="59">
        <f t="shared" si="0"/>
        <v>9</v>
      </c>
      <c r="B11" s="2"/>
      <c r="C11" s="2"/>
      <c r="D11" s="2"/>
      <c r="E11" s="1"/>
      <c r="F11" s="2"/>
      <c r="G11" s="2"/>
      <c r="H11" s="10"/>
      <c r="I11" s="10"/>
      <c r="J11" s="168" t="s">
        <v>338</v>
      </c>
      <c r="K11" s="14"/>
      <c r="L11" s="14"/>
      <c r="M11" s="14"/>
      <c r="N11" s="14"/>
      <c r="O11" s="14"/>
      <c r="P11" s="14"/>
      <c r="Q11" s="14"/>
    </row>
    <row r="12" spans="1:21" ht="17.399999999999999" customHeight="1" x14ac:dyDescent="0.3">
      <c r="A12" s="83">
        <f t="shared" si="0"/>
        <v>10</v>
      </c>
      <c r="B12" s="77"/>
      <c r="C12" s="77"/>
      <c r="D12" s="77"/>
      <c r="E12" s="77"/>
      <c r="F12" s="77"/>
      <c r="G12" s="77"/>
      <c r="H12" s="11"/>
      <c r="I12" s="11"/>
      <c r="J12" s="168" t="s">
        <v>340</v>
      </c>
      <c r="K12" s="14"/>
      <c r="L12" s="14"/>
      <c r="M12" s="14"/>
      <c r="N12" s="14"/>
      <c r="O12" s="14"/>
      <c r="P12" s="14"/>
      <c r="Q12" s="14"/>
    </row>
    <row r="13" spans="1:21" ht="17.399999999999999" customHeight="1" x14ac:dyDescent="0.3">
      <c r="A13" s="59">
        <f t="shared" si="0"/>
        <v>11</v>
      </c>
      <c r="B13" s="2"/>
      <c r="C13" s="2"/>
      <c r="D13" s="2"/>
      <c r="E13" s="1"/>
      <c r="F13" s="2"/>
      <c r="G13" s="2"/>
      <c r="H13" s="10"/>
      <c r="I13" s="10"/>
      <c r="J13" s="168" t="s">
        <v>339</v>
      </c>
      <c r="K13" s="14"/>
      <c r="L13" s="14"/>
      <c r="M13" s="14"/>
      <c r="N13" s="14"/>
      <c r="O13" s="14"/>
      <c r="P13" s="14"/>
      <c r="Q13" s="14"/>
    </row>
    <row r="14" spans="1:21" ht="17.399999999999999" customHeight="1" x14ac:dyDescent="0.3">
      <c r="A14" s="83">
        <f t="shared" si="0"/>
        <v>12</v>
      </c>
      <c r="B14" s="77"/>
      <c r="C14" s="77"/>
      <c r="D14" s="77"/>
      <c r="E14" s="77"/>
      <c r="F14" s="77"/>
      <c r="G14" s="77"/>
      <c r="H14" s="11"/>
      <c r="I14" s="11"/>
      <c r="J14" s="174" t="s">
        <v>358</v>
      </c>
      <c r="K14" s="171"/>
      <c r="L14" s="171"/>
      <c r="M14" s="171"/>
      <c r="N14" s="171"/>
      <c r="O14" s="171"/>
      <c r="P14" s="171"/>
      <c r="Q14" s="172"/>
    </row>
    <row r="15" spans="1:21" ht="17.399999999999999" customHeight="1" x14ac:dyDescent="0.3">
      <c r="A15" s="59">
        <f t="shared" si="0"/>
        <v>13</v>
      </c>
      <c r="B15" s="2"/>
      <c r="C15" s="2"/>
      <c r="D15" s="2"/>
      <c r="E15" s="1"/>
      <c r="F15" s="2"/>
      <c r="G15" s="2"/>
      <c r="H15" s="10"/>
      <c r="I15" s="10"/>
      <c r="J15" s="175" t="s">
        <v>352</v>
      </c>
      <c r="K15" s="2"/>
      <c r="L15" s="2"/>
      <c r="M15" s="2"/>
      <c r="N15" s="2"/>
      <c r="O15" s="2"/>
      <c r="P15" s="2"/>
      <c r="Q15" s="115"/>
      <c r="S15" s="124"/>
    </row>
    <row r="16" spans="1:21" ht="17.399999999999999" customHeight="1" x14ac:dyDescent="0.3">
      <c r="A16" s="83">
        <f t="shared" si="0"/>
        <v>14</v>
      </c>
      <c r="B16" s="77"/>
      <c r="C16" s="77"/>
      <c r="D16" s="77"/>
      <c r="E16" s="77"/>
      <c r="F16" s="77"/>
      <c r="G16" s="77"/>
      <c r="H16" s="11"/>
      <c r="I16" s="11"/>
      <c r="J16" s="175" t="s">
        <v>220</v>
      </c>
      <c r="K16" s="2"/>
      <c r="L16" s="2"/>
      <c r="M16" s="2"/>
      <c r="N16" s="2"/>
      <c r="O16" s="2"/>
      <c r="P16" s="2"/>
      <c r="Q16" s="115"/>
      <c r="S16" s="125"/>
    </row>
    <row r="17" spans="1:21" ht="17.399999999999999" customHeight="1" x14ac:dyDescent="0.3">
      <c r="A17" s="59">
        <f t="shared" si="0"/>
        <v>15</v>
      </c>
      <c r="B17" s="2"/>
      <c r="C17" s="2"/>
      <c r="D17" s="2"/>
      <c r="E17" s="1"/>
      <c r="F17" s="2"/>
      <c r="G17" s="2"/>
      <c r="H17" s="10"/>
      <c r="I17" s="10"/>
      <c r="J17" s="175" t="s">
        <v>334</v>
      </c>
      <c r="K17" s="2"/>
      <c r="L17" s="2"/>
      <c r="M17" s="2"/>
      <c r="N17" s="2"/>
      <c r="O17" s="2"/>
      <c r="P17" s="2"/>
      <c r="Q17" s="115"/>
      <c r="S17" s="125"/>
    </row>
    <row r="18" spans="1:21" ht="17.399999999999999" customHeight="1" x14ac:dyDescent="0.3">
      <c r="A18" s="83">
        <f t="shared" si="0"/>
        <v>16</v>
      </c>
      <c r="B18" s="77"/>
      <c r="C18" s="77"/>
      <c r="D18" s="77"/>
      <c r="E18" s="77"/>
      <c r="F18" s="77"/>
      <c r="G18" s="77"/>
      <c r="H18" s="11"/>
      <c r="I18" s="11"/>
      <c r="J18" s="175" t="s">
        <v>219</v>
      </c>
      <c r="K18" s="2"/>
      <c r="L18" s="2"/>
      <c r="M18" s="2"/>
      <c r="N18" s="2"/>
      <c r="O18" s="2"/>
      <c r="P18" s="2"/>
      <c r="Q18" s="115"/>
      <c r="S18" s="125"/>
    </row>
    <row r="19" spans="1:21" ht="17.399999999999999" customHeight="1" x14ac:dyDescent="0.3">
      <c r="A19" s="59">
        <f t="shared" si="0"/>
        <v>17</v>
      </c>
      <c r="B19" s="2"/>
      <c r="C19" s="2"/>
      <c r="D19" s="2"/>
      <c r="E19" s="1"/>
      <c r="F19" s="2"/>
      <c r="G19" s="2"/>
      <c r="H19" s="10"/>
      <c r="I19" s="10"/>
      <c r="J19" s="175" t="s">
        <v>217</v>
      </c>
      <c r="K19" s="2"/>
      <c r="L19" s="2"/>
      <c r="M19" s="2"/>
      <c r="N19" s="2"/>
      <c r="O19" s="2"/>
      <c r="P19" s="2"/>
      <c r="Q19" s="115"/>
      <c r="S19" s="125"/>
    </row>
    <row r="20" spans="1:21" ht="17.399999999999999" customHeight="1" x14ac:dyDescent="0.3">
      <c r="A20" s="84">
        <f t="shared" si="0"/>
        <v>18</v>
      </c>
      <c r="B20" s="78"/>
      <c r="C20" s="77"/>
      <c r="D20" s="77"/>
      <c r="E20" s="77"/>
      <c r="F20" s="77"/>
      <c r="G20" s="77"/>
      <c r="H20" s="11"/>
      <c r="I20" s="11"/>
      <c r="J20" s="175" t="s">
        <v>356</v>
      </c>
      <c r="K20" s="2"/>
      <c r="L20" s="2"/>
      <c r="M20" s="2"/>
      <c r="N20" s="2"/>
      <c r="O20" s="2"/>
      <c r="P20" s="2"/>
      <c r="Q20" s="115"/>
      <c r="S20" s="125" t="s">
        <v>354</v>
      </c>
    </row>
    <row r="21" spans="1:21" ht="17.399999999999999" customHeight="1" x14ac:dyDescent="0.3">
      <c r="A21" s="35">
        <f t="shared" si="0"/>
        <v>19</v>
      </c>
      <c r="B21" s="2"/>
      <c r="C21" s="2"/>
      <c r="D21" s="2"/>
      <c r="E21" s="1"/>
      <c r="F21" s="2"/>
      <c r="G21" s="2"/>
      <c r="H21" s="10"/>
      <c r="I21" s="10"/>
      <c r="J21" s="175" t="s">
        <v>355</v>
      </c>
      <c r="K21" s="2"/>
      <c r="L21" s="2"/>
      <c r="M21" s="2"/>
      <c r="N21" s="2"/>
      <c r="O21" s="2"/>
      <c r="P21" s="2"/>
      <c r="Q21" s="115"/>
      <c r="S21" s="125" t="s">
        <v>354</v>
      </c>
    </row>
    <row r="22" spans="1:21" ht="17.399999999999999" customHeight="1" x14ac:dyDescent="0.3">
      <c r="A22" s="84">
        <f t="shared" si="0"/>
        <v>20</v>
      </c>
      <c r="B22" s="77"/>
      <c r="C22" s="8"/>
      <c r="D22" s="8"/>
      <c r="E22" s="8"/>
      <c r="F22" s="8"/>
      <c r="G22" s="8"/>
      <c r="H22" s="12"/>
      <c r="I22" s="12"/>
      <c r="J22" s="176" t="s">
        <v>218</v>
      </c>
      <c r="K22" s="24"/>
      <c r="L22" s="24"/>
      <c r="M22" s="24"/>
      <c r="N22" s="24"/>
      <c r="O22" s="24"/>
      <c r="P22" s="24"/>
      <c r="Q22" s="173"/>
      <c r="S22" s="126" t="s">
        <v>354</v>
      </c>
    </row>
    <row r="23" spans="1:21" ht="14.4" customHeight="1" thickBot="1" x14ac:dyDescent="0.35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27" t="s">
        <v>357</v>
      </c>
    </row>
    <row r="24" spans="1:21" ht="17.399999999999999" customHeight="1" x14ac:dyDescent="0.3">
      <c r="A24" s="210" t="s">
        <v>194</v>
      </c>
      <c r="B24" s="211"/>
      <c r="C24" s="81" t="s">
        <v>8</v>
      </c>
      <c r="D24" s="81" t="s">
        <v>8</v>
      </c>
      <c r="E24" s="81" t="s">
        <v>8</v>
      </c>
      <c r="F24" s="81" t="s">
        <v>8</v>
      </c>
      <c r="G24" s="81" t="s">
        <v>8</v>
      </c>
      <c r="H24" s="81" t="s">
        <v>8</v>
      </c>
      <c r="I24" s="81" t="s">
        <v>8</v>
      </c>
      <c r="J24" s="81" t="s">
        <v>8</v>
      </c>
      <c r="K24" s="81" t="s">
        <v>8</v>
      </c>
      <c r="L24" s="81" t="s">
        <v>8</v>
      </c>
      <c r="M24" s="81" t="s">
        <v>8</v>
      </c>
      <c r="N24" s="81" t="s">
        <v>8</v>
      </c>
      <c r="O24" s="81" t="s">
        <v>8</v>
      </c>
      <c r="P24" s="81" t="s">
        <v>8</v>
      </c>
      <c r="Q24" s="81" t="s">
        <v>8</v>
      </c>
    </row>
    <row r="25" spans="1:21" ht="17.399999999999999" customHeight="1" x14ac:dyDescent="0.3">
      <c r="A25" s="85"/>
      <c r="B25" s="86"/>
      <c r="C25" s="7">
        <v>-3</v>
      </c>
      <c r="D25" s="7">
        <f t="shared" ref="D25:Q25" si="1">C25+1</f>
        <v>-2</v>
      </c>
      <c r="E25" s="7">
        <f t="shared" si="1"/>
        <v>-1</v>
      </c>
      <c r="F25" s="7">
        <f t="shared" si="1"/>
        <v>0</v>
      </c>
      <c r="G25" s="7">
        <f t="shared" si="1"/>
        <v>1</v>
      </c>
      <c r="H25" s="7">
        <f t="shared" si="1"/>
        <v>2</v>
      </c>
      <c r="I25" s="7">
        <f t="shared" si="1"/>
        <v>3</v>
      </c>
      <c r="J25" s="7">
        <f t="shared" si="1"/>
        <v>4</v>
      </c>
      <c r="K25" s="7">
        <f t="shared" si="1"/>
        <v>5</v>
      </c>
      <c r="L25" s="7">
        <f t="shared" si="1"/>
        <v>6</v>
      </c>
      <c r="M25" s="7">
        <f t="shared" si="1"/>
        <v>7</v>
      </c>
      <c r="N25" s="7">
        <f t="shared" si="1"/>
        <v>8</v>
      </c>
      <c r="O25" s="7">
        <f t="shared" si="1"/>
        <v>9</v>
      </c>
      <c r="P25" s="7">
        <f t="shared" si="1"/>
        <v>10</v>
      </c>
      <c r="Q25" s="7">
        <f t="shared" si="1"/>
        <v>11</v>
      </c>
      <c r="R25" s="1"/>
      <c r="S25" s="1"/>
      <c r="T25" s="1"/>
      <c r="U25" s="1"/>
    </row>
    <row r="26" spans="1:21" ht="14.4" customHeight="1" x14ac:dyDescent="0.3">
      <c r="A26" s="212">
        <v>19</v>
      </c>
      <c r="B26" s="213"/>
      <c r="C26" s="79">
        <f>$A26-C$25</f>
        <v>22</v>
      </c>
      <c r="D26" s="79">
        <f t="shared" ref="D26:Q26" si="2">$A26-D$25</f>
        <v>21</v>
      </c>
      <c r="E26" s="79">
        <f t="shared" si="2"/>
        <v>20</v>
      </c>
      <c r="F26" s="79">
        <f t="shared" si="2"/>
        <v>19</v>
      </c>
      <c r="G26" s="79">
        <f t="shared" si="2"/>
        <v>18</v>
      </c>
      <c r="H26" s="79">
        <f t="shared" si="2"/>
        <v>17</v>
      </c>
      <c r="I26" s="79">
        <f t="shared" si="2"/>
        <v>16</v>
      </c>
      <c r="J26" s="79">
        <f t="shared" si="2"/>
        <v>15</v>
      </c>
      <c r="K26" s="79">
        <f t="shared" si="2"/>
        <v>14</v>
      </c>
      <c r="L26" s="79">
        <f t="shared" si="2"/>
        <v>13</v>
      </c>
      <c r="M26" s="79">
        <f t="shared" si="2"/>
        <v>12</v>
      </c>
      <c r="N26" s="79">
        <f t="shared" si="2"/>
        <v>11</v>
      </c>
      <c r="O26" s="79">
        <f t="shared" si="2"/>
        <v>10</v>
      </c>
      <c r="P26" s="79">
        <f t="shared" si="2"/>
        <v>9</v>
      </c>
      <c r="Q26" s="79">
        <f t="shared" si="2"/>
        <v>8</v>
      </c>
    </row>
    <row r="27" spans="1:21" ht="14.4" customHeight="1" x14ac:dyDescent="0.3">
      <c r="A27" s="214">
        <v>18</v>
      </c>
      <c r="B27" s="207"/>
      <c r="C27" s="80">
        <f t="shared" ref="C27:Q34" si="3">$A27-C$25</f>
        <v>21</v>
      </c>
      <c r="D27" s="80">
        <f t="shared" si="3"/>
        <v>20</v>
      </c>
      <c r="E27" s="80">
        <f t="shared" si="3"/>
        <v>19</v>
      </c>
      <c r="F27" s="80">
        <f t="shared" si="3"/>
        <v>18</v>
      </c>
      <c r="G27" s="80">
        <f t="shared" si="3"/>
        <v>17</v>
      </c>
      <c r="H27" s="80">
        <f t="shared" si="3"/>
        <v>16</v>
      </c>
      <c r="I27" s="80">
        <f t="shared" si="3"/>
        <v>15</v>
      </c>
      <c r="J27" s="80">
        <f t="shared" si="3"/>
        <v>14</v>
      </c>
      <c r="K27" s="80">
        <f t="shared" si="3"/>
        <v>13</v>
      </c>
      <c r="L27" s="80">
        <f t="shared" si="3"/>
        <v>12</v>
      </c>
      <c r="M27" s="80">
        <f t="shared" si="3"/>
        <v>11</v>
      </c>
      <c r="N27" s="80">
        <f t="shared" si="3"/>
        <v>10</v>
      </c>
      <c r="O27" s="80">
        <f t="shared" si="3"/>
        <v>9</v>
      </c>
      <c r="P27" s="80">
        <f t="shared" si="3"/>
        <v>8</v>
      </c>
      <c r="Q27" s="80">
        <f t="shared" si="3"/>
        <v>7</v>
      </c>
    </row>
    <row r="28" spans="1:21" ht="14.4" customHeight="1" x14ac:dyDescent="0.3">
      <c r="A28" s="213">
        <v>17</v>
      </c>
      <c r="B28" s="213"/>
      <c r="C28" s="79">
        <f t="shared" si="3"/>
        <v>20</v>
      </c>
      <c r="D28" s="79">
        <f t="shared" si="3"/>
        <v>19</v>
      </c>
      <c r="E28" s="79">
        <f t="shared" si="3"/>
        <v>18</v>
      </c>
      <c r="F28" s="79">
        <f t="shared" si="3"/>
        <v>17</v>
      </c>
      <c r="G28" s="79">
        <f t="shared" si="3"/>
        <v>16</v>
      </c>
      <c r="H28" s="79">
        <f t="shared" si="3"/>
        <v>15</v>
      </c>
      <c r="I28" s="79">
        <f t="shared" si="3"/>
        <v>14</v>
      </c>
      <c r="J28" s="79">
        <f t="shared" si="3"/>
        <v>13</v>
      </c>
      <c r="K28" s="79">
        <f t="shared" si="3"/>
        <v>12</v>
      </c>
      <c r="L28" s="79">
        <f t="shared" si="3"/>
        <v>11</v>
      </c>
      <c r="M28" s="79">
        <f t="shared" si="3"/>
        <v>10</v>
      </c>
      <c r="N28" s="79">
        <f t="shared" si="3"/>
        <v>9</v>
      </c>
      <c r="O28" s="79">
        <f t="shared" si="3"/>
        <v>8</v>
      </c>
      <c r="P28" s="79">
        <f t="shared" si="3"/>
        <v>7</v>
      </c>
      <c r="Q28" s="79">
        <f t="shared" si="3"/>
        <v>6</v>
      </c>
    </row>
    <row r="29" spans="1:21" ht="14.4" customHeight="1" x14ac:dyDescent="0.3">
      <c r="A29" s="207">
        <v>16</v>
      </c>
      <c r="B29" s="207"/>
      <c r="C29" s="80">
        <f t="shared" si="3"/>
        <v>19</v>
      </c>
      <c r="D29" s="80">
        <f t="shared" si="3"/>
        <v>18</v>
      </c>
      <c r="E29" s="80">
        <f t="shared" si="3"/>
        <v>17</v>
      </c>
      <c r="F29" s="80">
        <f t="shared" si="3"/>
        <v>16</v>
      </c>
      <c r="G29" s="80">
        <f t="shared" si="3"/>
        <v>15</v>
      </c>
      <c r="H29" s="80">
        <f t="shared" si="3"/>
        <v>14</v>
      </c>
      <c r="I29" s="80">
        <f t="shared" si="3"/>
        <v>13</v>
      </c>
      <c r="J29" s="80">
        <f t="shared" si="3"/>
        <v>12</v>
      </c>
      <c r="K29" s="80">
        <f t="shared" si="3"/>
        <v>11</v>
      </c>
      <c r="L29" s="80">
        <f t="shared" si="3"/>
        <v>10</v>
      </c>
      <c r="M29" s="80">
        <f t="shared" si="3"/>
        <v>9</v>
      </c>
      <c r="N29" s="80">
        <f t="shared" si="3"/>
        <v>8</v>
      </c>
      <c r="O29" s="80">
        <f t="shared" si="3"/>
        <v>7</v>
      </c>
      <c r="P29" s="80">
        <f t="shared" si="3"/>
        <v>6</v>
      </c>
      <c r="Q29" s="80">
        <f t="shared" si="3"/>
        <v>5</v>
      </c>
    </row>
    <row r="30" spans="1:21" ht="14.4" customHeight="1" x14ac:dyDescent="0.3">
      <c r="A30" s="213">
        <v>15</v>
      </c>
      <c r="B30" s="213"/>
      <c r="C30" s="79">
        <f t="shared" si="3"/>
        <v>18</v>
      </c>
      <c r="D30" s="79">
        <f t="shared" si="3"/>
        <v>17</v>
      </c>
      <c r="E30" s="79">
        <f t="shared" si="3"/>
        <v>16</v>
      </c>
      <c r="F30" s="79">
        <f t="shared" si="3"/>
        <v>15</v>
      </c>
      <c r="G30" s="79">
        <f t="shared" si="3"/>
        <v>14</v>
      </c>
      <c r="H30" s="79">
        <f t="shared" si="3"/>
        <v>13</v>
      </c>
      <c r="I30" s="79">
        <f t="shared" si="3"/>
        <v>12</v>
      </c>
      <c r="J30" s="79">
        <f t="shared" si="3"/>
        <v>11</v>
      </c>
      <c r="K30" s="79">
        <f t="shared" si="3"/>
        <v>10</v>
      </c>
      <c r="L30" s="79">
        <f t="shared" si="3"/>
        <v>9</v>
      </c>
      <c r="M30" s="79">
        <f t="shared" si="3"/>
        <v>8</v>
      </c>
      <c r="N30" s="79">
        <f t="shared" si="3"/>
        <v>7</v>
      </c>
      <c r="O30" s="79">
        <f t="shared" si="3"/>
        <v>6</v>
      </c>
      <c r="P30" s="79">
        <f t="shared" si="3"/>
        <v>5</v>
      </c>
      <c r="Q30" s="79">
        <f t="shared" si="3"/>
        <v>4</v>
      </c>
    </row>
    <row r="31" spans="1:21" ht="14.4" customHeight="1" x14ac:dyDescent="0.3">
      <c r="A31" s="207">
        <v>14</v>
      </c>
      <c r="B31" s="207"/>
      <c r="C31" s="80">
        <f t="shared" si="3"/>
        <v>17</v>
      </c>
      <c r="D31" s="80">
        <f t="shared" si="3"/>
        <v>16</v>
      </c>
      <c r="E31" s="80">
        <f t="shared" si="3"/>
        <v>15</v>
      </c>
      <c r="F31" s="80">
        <f t="shared" si="3"/>
        <v>14</v>
      </c>
      <c r="G31" s="80">
        <f t="shared" si="3"/>
        <v>13</v>
      </c>
      <c r="H31" s="80">
        <f t="shared" si="3"/>
        <v>12</v>
      </c>
      <c r="I31" s="80">
        <f t="shared" si="3"/>
        <v>11</v>
      </c>
      <c r="J31" s="80">
        <f t="shared" si="3"/>
        <v>10</v>
      </c>
      <c r="K31" s="80">
        <f t="shared" si="3"/>
        <v>9</v>
      </c>
      <c r="L31" s="80">
        <f t="shared" si="3"/>
        <v>8</v>
      </c>
      <c r="M31" s="80">
        <f t="shared" si="3"/>
        <v>7</v>
      </c>
      <c r="N31" s="80">
        <f t="shared" si="3"/>
        <v>6</v>
      </c>
      <c r="O31" s="80">
        <f t="shared" si="3"/>
        <v>5</v>
      </c>
      <c r="P31" s="80">
        <f t="shared" si="3"/>
        <v>4</v>
      </c>
      <c r="Q31" s="80">
        <f t="shared" si="3"/>
        <v>3</v>
      </c>
    </row>
    <row r="32" spans="1:21" ht="14.4" customHeight="1" x14ac:dyDescent="0.3">
      <c r="A32" s="213">
        <v>13</v>
      </c>
      <c r="B32" s="213"/>
      <c r="C32" s="79">
        <f t="shared" si="3"/>
        <v>16</v>
      </c>
      <c r="D32" s="79">
        <f t="shared" si="3"/>
        <v>15</v>
      </c>
      <c r="E32" s="79">
        <f t="shared" si="3"/>
        <v>14</v>
      </c>
      <c r="F32" s="79">
        <f t="shared" si="3"/>
        <v>13</v>
      </c>
      <c r="G32" s="79">
        <f t="shared" si="3"/>
        <v>12</v>
      </c>
      <c r="H32" s="79">
        <f t="shared" si="3"/>
        <v>11</v>
      </c>
      <c r="I32" s="79">
        <f t="shared" si="3"/>
        <v>10</v>
      </c>
      <c r="J32" s="79">
        <f t="shared" si="3"/>
        <v>9</v>
      </c>
      <c r="K32" s="79">
        <f t="shared" si="3"/>
        <v>8</v>
      </c>
      <c r="L32" s="79">
        <f t="shared" si="3"/>
        <v>7</v>
      </c>
      <c r="M32" s="79">
        <f t="shared" si="3"/>
        <v>6</v>
      </c>
      <c r="N32" s="79">
        <f t="shared" si="3"/>
        <v>5</v>
      </c>
      <c r="O32" s="79">
        <f t="shared" si="3"/>
        <v>4</v>
      </c>
      <c r="P32" s="79">
        <f t="shared" si="3"/>
        <v>3</v>
      </c>
      <c r="Q32" s="79">
        <f t="shared" si="3"/>
        <v>2</v>
      </c>
    </row>
    <row r="33" spans="1:17" ht="14.4" customHeight="1" x14ac:dyDescent="0.3">
      <c r="A33" s="207">
        <v>12</v>
      </c>
      <c r="B33" s="207"/>
      <c r="C33" s="80">
        <f t="shared" si="3"/>
        <v>15</v>
      </c>
      <c r="D33" s="80">
        <f t="shared" si="3"/>
        <v>14</v>
      </c>
      <c r="E33" s="80">
        <f t="shared" si="3"/>
        <v>13</v>
      </c>
      <c r="F33" s="80">
        <f t="shared" si="3"/>
        <v>12</v>
      </c>
      <c r="G33" s="80">
        <f t="shared" si="3"/>
        <v>11</v>
      </c>
      <c r="H33" s="80">
        <f t="shared" si="3"/>
        <v>10</v>
      </c>
      <c r="I33" s="80">
        <f t="shared" si="3"/>
        <v>9</v>
      </c>
      <c r="J33" s="80">
        <f t="shared" si="3"/>
        <v>8</v>
      </c>
      <c r="K33" s="80">
        <f t="shared" si="3"/>
        <v>7</v>
      </c>
      <c r="L33" s="80">
        <f t="shared" si="3"/>
        <v>6</v>
      </c>
      <c r="M33" s="80">
        <f t="shared" si="3"/>
        <v>5</v>
      </c>
      <c r="N33" s="80">
        <f t="shared" si="3"/>
        <v>4</v>
      </c>
      <c r="O33" s="80">
        <f t="shared" si="3"/>
        <v>3</v>
      </c>
      <c r="P33" s="80">
        <f t="shared" si="3"/>
        <v>2</v>
      </c>
      <c r="Q33" s="80">
        <f t="shared" si="3"/>
        <v>1</v>
      </c>
    </row>
    <row r="34" spans="1:17" ht="14.4" customHeight="1" x14ac:dyDescent="0.3">
      <c r="A34" s="213">
        <v>11</v>
      </c>
      <c r="B34" s="213"/>
      <c r="C34" s="79">
        <f t="shared" si="3"/>
        <v>14</v>
      </c>
      <c r="D34" s="79">
        <f t="shared" si="3"/>
        <v>13</v>
      </c>
      <c r="E34" s="79">
        <f t="shared" si="3"/>
        <v>12</v>
      </c>
      <c r="F34" s="79">
        <f t="shared" si="3"/>
        <v>11</v>
      </c>
      <c r="G34" s="79">
        <f t="shared" si="3"/>
        <v>10</v>
      </c>
      <c r="H34" s="79">
        <f t="shared" si="3"/>
        <v>9</v>
      </c>
      <c r="I34" s="79">
        <f t="shared" si="3"/>
        <v>8</v>
      </c>
      <c r="J34" s="79">
        <f t="shared" si="3"/>
        <v>7</v>
      </c>
      <c r="K34" s="79">
        <f t="shared" si="3"/>
        <v>6</v>
      </c>
      <c r="L34" s="79">
        <f t="shared" si="3"/>
        <v>5</v>
      </c>
      <c r="M34" s="79">
        <f t="shared" si="3"/>
        <v>4</v>
      </c>
      <c r="N34" s="79">
        <f t="shared" si="3"/>
        <v>3</v>
      </c>
      <c r="O34" s="79">
        <f t="shared" si="3"/>
        <v>2</v>
      </c>
      <c r="P34" s="79">
        <f t="shared" si="3"/>
        <v>1</v>
      </c>
      <c r="Q34" s="79">
        <f t="shared" si="3"/>
        <v>0</v>
      </c>
    </row>
    <row r="35" spans="1:17" ht="14.4" customHeight="1" x14ac:dyDescent="0.3">
      <c r="A35" s="119"/>
      <c r="B35" s="120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1" t="s">
        <v>195</v>
      </c>
    </row>
    <row r="36" spans="1:17" ht="12.6" customHeight="1" thickBot="1" x14ac:dyDescent="0.35">
      <c r="A36" s="122"/>
      <c r="B36" s="123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1:17" ht="12.6" customHeight="1" x14ac:dyDescent="0.3">
      <c r="A37" s="38" t="s">
        <v>46</v>
      </c>
      <c r="B37" s="39" t="s">
        <v>48</v>
      </c>
      <c r="C37" s="38"/>
      <c r="D37" s="38"/>
      <c r="E37" s="38"/>
      <c r="F37" s="38"/>
      <c r="G37" s="38"/>
      <c r="H37" s="38"/>
      <c r="I37" s="38"/>
      <c r="J37" s="38"/>
      <c r="K37" s="40" t="s">
        <v>203</v>
      </c>
      <c r="L37" s="41"/>
      <c r="M37" s="42" t="s">
        <v>8</v>
      </c>
      <c r="N37" s="42" t="s">
        <v>46</v>
      </c>
      <c r="O37" s="42" t="s">
        <v>204</v>
      </c>
      <c r="P37" s="42" t="s">
        <v>205</v>
      </c>
      <c r="Q37" s="42" t="s">
        <v>206</v>
      </c>
    </row>
    <row r="38" spans="1:17" ht="12.6" customHeight="1" x14ac:dyDescent="0.3">
      <c r="A38" s="36">
        <v>0</v>
      </c>
      <c r="B38" s="37" t="s">
        <v>221</v>
      </c>
      <c r="K38" s="35" t="s">
        <v>196</v>
      </c>
      <c r="L38" s="2"/>
      <c r="M38" s="43">
        <v>9</v>
      </c>
      <c r="N38" s="43">
        <v>0</v>
      </c>
      <c r="O38" s="43" t="s">
        <v>207</v>
      </c>
      <c r="P38" s="43" t="s">
        <v>208</v>
      </c>
      <c r="Q38" s="43" t="s">
        <v>209</v>
      </c>
    </row>
    <row r="39" spans="1:17" ht="12.6" customHeight="1" x14ac:dyDescent="0.3">
      <c r="A39" s="36" t="s">
        <v>223</v>
      </c>
      <c r="B39" s="47" t="s">
        <v>222</v>
      </c>
      <c r="C39" s="48"/>
      <c r="D39" s="48"/>
      <c r="E39" s="48"/>
      <c r="F39" s="48"/>
      <c r="G39" s="48"/>
      <c r="H39" s="48"/>
      <c r="I39" s="48"/>
      <c r="J39" s="48"/>
      <c r="K39" s="44" t="s">
        <v>233</v>
      </c>
      <c r="L39" s="45"/>
      <c r="M39" s="46">
        <v>8</v>
      </c>
      <c r="N39" s="46">
        <v>1</v>
      </c>
      <c r="O39" s="46" t="s">
        <v>207</v>
      </c>
      <c r="P39" s="46" t="s">
        <v>208</v>
      </c>
      <c r="Q39" s="46" t="s">
        <v>209</v>
      </c>
    </row>
    <row r="40" spans="1:17" ht="12.6" customHeight="1" x14ac:dyDescent="0.3">
      <c r="A40" s="36" t="s">
        <v>224</v>
      </c>
      <c r="B40" s="49" t="s">
        <v>225</v>
      </c>
      <c r="K40" s="35" t="s">
        <v>197</v>
      </c>
      <c r="L40" s="2"/>
      <c r="M40" s="43">
        <v>7</v>
      </c>
      <c r="N40" s="43">
        <v>2</v>
      </c>
      <c r="O40" s="43"/>
      <c r="P40" s="43" t="s">
        <v>208</v>
      </c>
      <c r="Q40" s="43" t="s">
        <v>209</v>
      </c>
    </row>
    <row r="41" spans="1:17" ht="12.6" customHeight="1" x14ac:dyDescent="0.3">
      <c r="A41" s="36">
        <v>1</v>
      </c>
      <c r="B41" s="47" t="s">
        <v>226</v>
      </c>
      <c r="C41" s="47"/>
      <c r="D41" s="47"/>
      <c r="E41" s="47"/>
      <c r="F41" s="47"/>
      <c r="G41" s="47"/>
      <c r="H41" s="47"/>
      <c r="I41" s="47"/>
      <c r="J41" s="47"/>
      <c r="K41" s="44" t="s">
        <v>198</v>
      </c>
      <c r="L41" s="45"/>
      <c r="M41" s="46">
        <v>6</v>
      </c>
      <c r="N41" s="46">
        <v>2</v>
      </c>
      <c r="O41" s="46" t="s">
        <v>207</v>
      </c>
      <c r="P41" s="46" t="s">
        <v>208</v>
      </c>
      <c r="Q41" s="46" t="s">
        <v>209</v>
      </c>
    </row>
    <row r="42" spans="1:17" ht="12.6" customHeight="1" x14ac:dyDescent="0.3">
      <c r="A42" s="36">
        <v>2</v>
      </c>
      <c r="B42" s="49" t="s">
        <v>228</v>
      </c>
      <c r="K42" s="35" t="s">
        <v>199</v>
      </c>
      <c r="L42" s="2"/>
      <c r="M42" s="43" t="s">
        <v>105</v>
      </c>
      <c r="N42" s="43">
        <v>2</v>
      </c>
      <c r="O42" s="43" t="s">
        <v>209</v>
      </c>
      <c r="P42" s="43" t="s">
        <v>208</v>
      </c>
      <c r="Q42" s="43" t="s">
        <v>208</v>
      </c>
    </row>
    <row r="43" spans="1:17" ht="12.6" customHeight="1" x14ac:dyDescent="0.3">
      <c r="A43" s="36">
        <v>3</v>
      </c>
      <c r="B43" s="47" t="s">
        <v>227</v>
      </c>
      <c r="C43" s="47"/>
      <c r="D43" s="47"/>
      <c r="E43" s="47"/>
      <c r="F43" s="47"/>
      <c r="G43" s="47"/>
      <c r="H43" s="47"/>
      <c r="I43" s="47"/>
      <c r="J43" s="47"/>
      <c r="K43" s="44" t="s">
        <v>201</v>
      </c>
      <c r="L43" s="45"/>
      <c r="M43" s="46">
        <v>4</v>
      </c>
      <c r="N43" s="46">
        <v>3</v>
      </c>
      <c r="O43" s="46" t="s">
        <v>208</v>
      </c>
      <c r="P43" s="46" t="s">
        <v>208</v>
      </c>
      <c r="Q43" s="46" t="s">
        <v>47</v>
      </c>
    </row>
    <row r="44" spans="1:17" ht="12.6" customHeight="1" x14ac:dyDescent="0.3">
      <c r="A44" s="36"/>
      <c r="B44" s="50"/>
      <c r="C44" s="13"/>
      <c r="D44" s="13"/>
      <c r="E44" s="13"/>
      <c r="G44" s="13"/>
      <c r="H44" s="13"/>
      <c r="I44" s="13"/>
      <c r="J44" s="3"/>
      <c r="K44" s="35" t="s">
        <v>202</v>
      </c>
      <c r="L44" s="2"/>
      <c r="M44" s="43">
        <v>3</v>
      </c>
      <c r="N44" s="43">
        <v>3</v>
      </c>
      <c r="O44" s="43" t="s">
        <v>208</v>
      </c>
      <c r="P44" s="43" t="s">
        <v>208</v>
      </c>
      <c r="Q44" s="43" t="s">
        <v>47</v>
      </c>
    </row>
    <row r="45" spans="1:17" ht="12.6" customHeight="1" x14ac:dyDescent="0.3">
      <c r="A45" t="s">
        <v>230</v>
      </c>
      <c r="B45" s="50"/>
      <c r="C45" s="13"/>
      <c r="D45" s="13"/>
      <c r="E45" s="13"/>
      <c r="F45" s="51"/>
      <c r="G45" s="13"/>
      <c r="H45" s="13"/>
      <c r="I45" s="13"/>
      <c r="J45" s="3"/>
      <c r="K45" s="44" t="s">
        <v>234</v>
      </c>
      <c r="L45" s="45"/>
      <c r="M45" s="46">
        <v>2</v>
      </c>
      <c r="N45" s="46">
        <v>3</v>
      </c>
      <c r="O45" s="46" t="s">
        <v>208</v>
      </c>
      <c r="P45" s="46" t="s">
        <v>208</v>
      </c>
      <c r="Q45" s="46" t="s">
        <v>47</v>
      </c>
    </row>
    <row r="46" spans="1:17" ht="12.6" customHeight="1" x14ac:dyDescent="0.3">
      <c r="A46" t="s">
        <v>229</v>
      </c>
      <c r="B46" s="50"/>
      <c r="C46" s="13"/>
      <c r="D46" s="13"/>
      <c r="E46" s="13"/>
      <c r="F46" s="13"/>
      <c r="G46" s="13"/>
      <c r="H46" s="13"/>
      <c r="I46" s="13"/>
      <c r="J46" s="3"/>
      <c r="K46" s="35" t="s">
        <v>200</v>
      </c>
      <c r="L46" s="2"/>
      <c r="M46" s="43">
        <v>-1</v>
      </c>
      <c r="N46" s="43">
        <v>2</v>
      </c>
      <c r="O46" s="43"/>
      <c r="P46" s="43"/>
      <c r="Q46" s="43"/>
    </row>
    <row r="47" spans="1:17" ht="12.6" customHeight="1" x14ac:dyDescent="0.3">
      <c r="A47" t="s">
        <v>231</v>
      </c>
      <c r="B47" s="50"/>
      <c r="C47" s="13"/>
      <c r="D47" s="13"/>
      <c r="E47" s="13"/>
      <c r="F47" s="13"/>
      <c r="G47" s="13"/>
      <c r="H47" s="13"/>
      <c r="I47" s="13"/>
      <c r="J47" s="3"/>
      <c r="K47" s="44" t="s">
        <v>235</v>
      </c>
      <c r="L47" s="45"/>
      <c r="M47" s="46">
        <v>-2</v>
      </c>
      <c r="N47" s="46">
        <v>3</v>
      </c>
      <c r="O47" s="46" t="s">
        <v>236</v>
      </c>
      <c r="P47" s="46"/>
      <c r="Q47" s="46"/>
    </row>
    <row r="48" spans="1:17" ht="12.6" customHeight="1" x14ac:dyDescent="0.3">
      <c r="A48" t="s">
        <v>232</v>
      </c>
      <c r="B48" s="13"/>
      <c r="C48" s="13"/>
      <c r="D48" s="13"/>
      <c r="E48" s="13"/>
      <c r="F48" s="13"/>
      <c r="G48" s="13"/>
      <c r="H48" s="13"/>
      <c r="I48" s="13"/>
      <c r="J48" s="3"/>
      <c r="Q48" s="128" t="s">
        <v>360</v>
      </c>
    </row>
    <row r="49" spans="1:17" ht="17.399999999999999" customHeight="1" x14ac:dyDescent="0.3"/>
    <row r="50" spans="1:17" ht="15" thickBot="1" x14ac:dyDescent="0.35">
      <c r="A50" s="118"/>
      <c r="B50" s="181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</row>
  </sheetData>
  <mergeCells count="11">
    <mergeCell ref="A30:B30"/>
    <mergeCell ref="A31:B31"/>
    <mergeCell ref="A32:B32"/>
    <mergeCell ref="A33:B33"/>
    <mergeCell ref="A34:B34"/>
    <mergeCell ref="A29:B29"/>
    <mergeCell ref="J2:Q2"/>
    <mergeCell ref="A24:B24"/>
    <mergeCell ref="A26:B26"/>
    <mergeCell ref="A27:B27"/>
    <mergeCell ref="A28:B28"/>
  </mergeCells>
  <printOptions horizontalCentered="1" verticalCentered="1"/>
  <pageMargins left="0" right="0" top="0" bottom="0" header="0" footer="0"/>
  <pageSetup paperSize="9" fitToWidth="0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2626-440A-421A-816A-4B07BD0E71A6}">
  <dimension ref="A1:AA44"/>
  <sheetViews>
    <sheetView topLeftCell="A13" zoomScale="120" zoomScaleNormal="120" workbookViewId="0">
      <selection activeCell="F49" sqref="F49"/>
    </sheetView>
  </sheetViews>
  <sheetFormatPr defaultRowHeight="14.4" x14ac:dyDescent="0.3"/>
  <cols>
    <col min="1" max="2" width="11.109375" style="2" customWidth="1"/>
    <col min="3" max="3" width="5.77734375" style="2" customWidth="1"/>
    <col min="4" max="12" width="4.77734375" style="2" customWidth="1"/>
    <col min="13" max="13" width="5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29" t="s">
        <v>0</v>
      </c>
      <c r="B1" s="30" t="s">
        <v>160</v>
      </c>
      <c r="C1" s="30"/>
      <c r="D1" s="157"/>
      <c r="E1" s="29"/>
      <c r="F1" s="159"/>
      <c r="G1" s="160" t="s">
        <v>171</v>
      </c>
      <c r="H1" s="30"/>
      <c r="I1" s="159"/>
      <c r="J1" s="52"/>
      <c r="K1" s="29" t="s">
        <v>34</v>
      </c>
      <c r="L1" s="30"/>
      <c r="M1" s="30"/>
      <c r="N1" s="161" t="s">
        <v>94</v>
      </c>
      <c r="O1" s="30"/>
      <c r="P1" s="30"/>
    </row>
    <row r="2" spans="1:16" ht="20.399999999999999" customHeight="1" x14ac:dyDescent="0.3">
      <c r="A2" s="158" t="s">
        <v>93</v>
      </c>
      <c r="B2" s="28" t="s">
        <v>161</v>
      </c>
      <c r="C2" s="28"/>
      <c r="D2" s="52"/>
      <c r="E2" s="29" t="s">
        <v>33</v>
      </c>
      <c r="F2" s="30"/>
      <c r="G2" s="30" t="s">
        <v>161</v>
      </c>
      <c r="H2" s="30"/>
      <c r="I2" s="156" t="s">
        <v>124</v>
      </c>
      <c r="J2" s="52"/>
      <c r="K2" s="29" t="s">
        <v>1</v>
      </c>
      <c r="L2" s="30"/>
      <c r="M2" s="30"/>
      <c r="N2" s="30" t="s">
        <v>50</v>
      </c>
      <c r="O2" s="30"/>
      <c r="P2" s="30"/>
    </row>
    <row r="3" spans="1:16" ht="9.6" customHeight="1" x14ac:dyDescent="0.3">
      <c r="A3" s="3"/>
      <c r="B3" s="3"/>
      <c r="C3" s="3"/>
      <c r="D3" s="3"/>
      <c r="E3" s="3"/>
      <c r="F3" s="3"/>
      <c r="G3" s="3"/>
      <c r="H3" s="3"/>
      <c r="K3" s="3"/>
      <c r="L3" s="3"/>
      <c r="M3" s="3"/>
      <c r="N3" s="3"/>
      <c r="O3" s="3"/>
      <c r="P3" s="3"/>
    </row>
    <row r="4" spans="1:16" ht="18.600000000000001" customHeight="1" x14ac:dyDescent="0.3">
      <c r="A4" s="53" t="s">
        <v>8</v>
      </c>
      <c r="B4" s="177">
        <v>2</v>
      </c>
      <c r="C4" s="1"/>
      <c r="E4" s="53" t="s">
        <v>46</v>
      </c>
      <c r="F4" s="54">
        <v>22</v>
      </c>
      <c r="G4" s="144" t="s">
        <v>162</v>
      </c>
      <c r="H4" s="145" t="s">
        <v>657</v>
      </c>
      <c r="I4" s="1"/>
      <c r="J4" s="55"/>
      <c r="L4" s="56" t="s">
        <v>92</v>
      </c>
      <c r="M4" s="54">
        <v>0</v>
      </c>
      <c r="N4" s="1"/>
      <c r="O4" s="53" t="s">
        <v>9</v>
      </c>
      <c r="P4" s="149">
        <v>44</v>
      </c>
    </row>
    <row r="5" spans="1:16" ht="19.8" customHeight="1" x14ac:dyDescent="0.3">
      <c r="A5" s="25" t="s">
        <v>29</v>
      </c>
      <c r="B5" s="25"/>
      <c r="J5" s="2" t="s">
        <v>91</v>
      </c>
      <c r="M5" s="25" t="s">
        <v>10</v>
      </c>
      <c r="N5" s="24"/>
      <c r="O5" s="24"/>
      <c r="P5" s="24"/>
    </row>
    <row r="6" spans="1:16" ht="32.4" customHeight="1" x14ac:dyDescent="0.3">
      <c r="A6" s="154">
        <v>13</v>
      </c>
      <c r="B6" s="178" t="s">
        <v>2</v>
      </c>
      <c r="C6" s="202" t="s">
        <v>163</v>
      </c>
      <c r="D6" s="202"/>
      <c r="E6" s="202"/>
      <c r="F6" s="202"/>
      <c r="G6" s="202"/>
      <c r="H6" s="202"/>
      <c r="I6" s="202"/>
      <c r="J6" s="57">
        <v>1</v>
      </c>
      <c r="K6" s="57"/>
      <c r="L6" s="113"/>
      <c r="M6" s="203" t="s">
        <v>346</v>
      </c>
      <c r="N6" s="203"/>
      <c r="O6" s="203"/>
      <c r="P6" s="150">
        <v>6</v>
      </c>
    </row>
    <row r="7" spans="1:16" ht="32.4" customHeight="1" x14ac:dyDescent="0.3">
      <c r="A7" s="154">
        <v>10</v>
      </c>
      <c r="B7" s="178" t="s">
        <v>3</v>
      </c>
      <c r="C7" s="202" t="s">
        <v>86</v>
      </c>
      <c r="D7" s="202"/>
      <c r="E7" s="202"/>
      <c r="F7" s="202"/>
      <c r="G7" s="202"/>
      <c r="H7" s="202"/>
      <c r="I7" s="202"/>
      <c r="J7" s="57">
        <v>0</v>
      </c>
      <c r="K7" s="57"/>
      <c r="M7" s="203" t="s">
        <v>11</v>
      </c>
      <c r="N7" s="203"/>
      <c r="O7" s="203"/>
      <c r="P7" s="150">
        <v>7</v>
      </c>
    </row>
    <row r="8" spans="1:16" ht="32.4" customHeight="1" x14ac:dyDescent="0.3">
      <c r="A8" s="154">
        <v>16</v>
      </c>
      <c r="B8" s="178" t="s">
        <v>4</v>
      </c>
      <c r="C8" s="202" t="s">
        <v>126</v>
      </c>
      <c r="D8" s="202"/>
      <c r="E8" s="202"/>
      <c r="F8" s="202"/>
      <c r="G8" s="202"/>
      <c r="H8" s="202"/>
      <c r="I8" s="202"/>
      <c r="J8" s="57">
        <v>2</v>
      </c>
      <c r="K8" s="57"/>
      <c r="M8" s="203" t="s">
        <v>14</v>
      </c>
      <c r="N8" s="203"/>
      <c r="O8" s="203"/>
      <c r="P8" s="150">
        <v>8</v>
      </c>
    </row>
    <row r="9" spans="1:16" ht="32.4" customHeight="1" x14ac:dyDescent="0.3">
      <c r="A9" s="154">
        <v>10</v>
      </c>
      <c r="B9" s="178" t="s">
        <v>5</v>
      </c>
      <c r="C9" s="202" t="s">
        <v>164</v>
      </c>
      <c r="D9" s="202"/>
      <c r="E9" s="202"/>
      <c r="F9" s="202"/>
      <c r="G9" s="202"/>
      <c r="H9" s="202"/>
      <c r="I9" s="202"/>
      <c r="J9" s="57">
        <v>0</v>
      </c>
      <c r="K9" s="57"/>
      <c r="M9" s="203" t="s">
        <v>12</v>
      </c>
      <c r="N9" s="203"/>
      <c r="O9" s="203"/>
      <c r="P9" s="150">
        <v>10</v>
      </c>
    </row>
    <row r="10" spans="1:16" ht="32.4" customHeight="1" x14ac:dyDescent="0.3">
      <c r="A10" s="154">
        <v>13</v>
      </c>
      <c r="B10" s="178" t="s">
        <v>6</v>
      </c>
      <c r="C10" s="202" t="s">
        <v>165</v>
      </c>
      <c r="D10" s="202"/>
      <c r="E10" s="202"/>
      <c r="F10" s="202"/>
      <c r="G10" s="202"/>
      <c r="H10" s="202"/>
      <c r="I10" s="202"/>
      <c r="J10" s="57">
        <v>1</v>
      </c>
      <c r="K10" s="57"/>
      <c r="M10" s="203" t="s">
        <v>13</v>
      </c>
      <c r="N10" s="203"/>
      <c r="O10" s="203"/>
      <c r="P10" s="150">
        <v>9</v>
      </c>
    </row>
    <row r="11" spans="1:16" ht="32.4" customHeight="1" x14ac:dyDescent="0.3">
      <c r="A11" s="154">
        <v>11</v>
      </c>
      <c r="B11" s="178" t="s">
        <v>7</v>
      </c>
      <c r="C11" s="202" t="s">
        <v>89</v>
      </c>
      <c r="D11" s="202"/>
      <c r="E11" s="202"/>
      <c r="F11" s="202"/>
      <c r="G11" s="202"/>
      <c r="H11" s="202"/>
      <c r="I11" s="202"/>
      <c r="J11" s="57">
        <v>0</v>
      </c>
      <c r="K11" s="57"/>
      <c r="M11" s="205" t="s">
        <v>341</v>
      </c>
      <c r="N11" s="205"/>
      <c r="O11" s="205"/>
      <c r="P11" s="205"/>
    </row>
    <row r="12" spans="1:16" ht="9" customHeight="1" x14ac:dyDescent="0.3"/>
    <row r="13" spans="1:16" s="3" customFormat="1" ht="15.6" customHeight="1" x14ac:dyDescent="0.3">
      <c r="A13" s="22" t="s">
        <v>16</v>
      </c>
      <c r="B13" s="22"/>
      <c r="C13" s="58"/>
      <c r="D13" s="22" t="s">
        <v>17</v>
      </c>
      <c r="E13" s="22"/>
      <c r="F13" s="22"/>
      <c r="G13" s="58"/>
      <c r="H13" s="59" t="s">
        <v>65</v>
      </c>
      <c r="I13" s="59" t="s">
        <v>66</v>
      </c>
      <c r="J13" s="59" t="s">
        <v>67</v>
      </c>
      <c r="K13" s="110" t="s">
        <v>344</v>
      </c>
      <c r="L13" s="109" t="s">
        <v>342</v>
      </c>
      <c r="N13" s="22" t="s">
        <v>55</v>
      </c>
      <c r="O13" s="23"/>
      <c r="P13" s="22"/>
    </row>
    <row r="14" spans="1:16" s="3" customFormat="1" ht="15.6" customHeight="1" x14ac:dyDescent="0.3">
      <c r="A14" s="204" t="s">
        <v>166</v>
      </c>
      <c r="B14" s="204"/>
      <c r="D14" s="58" t="s">
        <v>21</v>
      </c>
      <c r="E14" s="58"/>
      <c r="G14" s="36" t="s">
        <v>70</v>
      </c>
      <c r="H14" s="60">
        <v>20</v>
      </c>
      <c r="I14" s="1">
        <f>J14*1.5</f>
        <v>6</v>
      </c>
      <c r="J14" s="1">
        <f>H14/5</f>
        <v>4</v>
      </c>
      <c r="K14" s="110" t="s">
        <v>345</v>
      </c>
      <c r="L14" s="109" t="s">
        <v>47</v>
      </c>
      <c r="N14" s="3" t="s">
        <v>56</v>
      </c>
    </row>
    <row r="15" spans="1:16" s="3" customFormat="1" ht="15.6" customHeight="1" x14ac:dyDescent="0.3">
      <c r="A15" s="204"/>
      <c r="B15" s="204"/>
      <c r="D15" s="61" t="s">
        <v>37</v>
      </c>
      <c r="E15" s="61"/>
      <c r="F15" s="62"/>
      <c r="G15" s="63" t="s">
        <v>71</v>
      </c>
      <c r="H15" s="64">
        <v>60</v>
      </c>
      <c r="I15" s="64">
        <f>J15*1.5</f>
        <v>18</v>
      </c>
      <c r="J15" s="64">
        <f t="shared" ref="J15:J18" si="0">H15/5</f>
        <v>12</v>
      </c>
      <c r="K15" s="111" t="s">
        <v>47</v>
      </c>
      <c r="L15" s="112" t="s">
        <v>47</v>
      </c>
      <c r="N15" s="3" t="s">
        <v>131</v>
      </c>
    </row>
    <row r="16" spans="1:16" s="3" customFormat="1" ht="15.6" customHeight="1" x14ac:dyDescent="0.3">
      <c r="A16" s="204"/>
      <c r="B16" s="204"/>
      <c r="D16" s="58" t="s">
        <v>18</v>
      </c>
      <c r="E16" s="58"/>
      <c r="G16" s="36" t="s">
        <v>70</v>
      </c>
      <c r="H16" s="60">
        <v>60</v>
      </c>
      <c r="I16" s="1">
        <f>J16*1.5</f>
        <v>18</v>
      </c>
      <c r="J16" s="1">
        <f t="shared" si="0"/>
        <v>12</v>
      </c>
      <c r="K16" s="110">
        <f>J16+(J16/2)</f>
        <v>18</v>
      </c>
      <c r="L16" s="206" t="s">
        <v>343</v>
      </c>
      <c r="N16" s="3" t="s">
        <v>146</v>
      </c>
    </row>
    <row r="17" spans="1:16" s="3" customFormat="1" ht="15.6" customHeight="1" x14ac:dyDescent="0.3">
      <c r="A17" s="155" t="s">
        <v>195</v>
      </c>
      <c r="B17" s="163"/>
      <c r="D17" s="61" t="s">
        <v>35</v>
      </c>
      <c r="E17" s="61"/>
      <c r="F17" s="62"/>
      <c r="G17" s="63" t="s">
        <v>70</v>
      </c>
      <c r="H17" s="64">
        <v>10</v>
      </c>
      <c r="I17" s="64">
        <f>J17*1.5</f>
        <v>3</v>
      </c>
      <c r="J17" s="64">
        <f t="shared" si="0"/>
        <v>2</v>
      </c>
      <c r="K17" s="111">
        <f t="shared" ref="K17:K18" si="1">J17+(J17/2)</f>
        <v>3</v>
      </c>
      <c r="L17" s="206"/>
      <c r="N17" s="3" t="s">
        <v>59</v>
      </c>
    </row>
    <row r="18" spans="1:16" s="3" customFormat="1" ht="15.6" customHeight="1" x14ac:dyDescent="0.3">
      <c r="A18" s="155" t="s">
        <v>95</v>
      </c>
      <c r="B18" s="164"/>
      <c r="D18" s="58" t="s">
        <v>36</v>
      </c>
      <c r="E18" s="58"/>
      <c r="G18" s="36" t="s">
        <v>70</v>
      </c>
      <c r="H18" s="60">
        <v>10</v>
      </c>
      <c r="I18" s="1">
        <f>J18*1.5</f>
        <v>3</v>
      </c>
      <c r="J18" s="1">
        <f t="shared" si="0"/>
        <v>2</v>
      </c>
      <c r="K18" s="110">
        <f t="shared" si="1"/>
        <v>3</v>
      </c>
      <c r="L18" s="206"/>
      <c r="N18" s="3" t="s">
        <v>653</v>
      </c>
    </row>
    <row r="19" spans="1:16" s="3" customFormat="1" ht="15.6" customHeight="1" x14ac:dyDescent="0.3">
      <c r="A19" s="21"/>
      <c r="B19" s="20"/>
      <c r="D19" s="61" t="s">
        <v>22</v>
      </c>
      <c r="E19" s="61"/>
      <c r="F19" s="62"/>
      <c r="G19" s="63" t="s">
        <v>72</v>
      </c>
      <c r="H19" s="65" t="s">
        <v>69</v>
      </c>
      <c r="I19" s="65" t="s">
        <v>68</v>
      </c>
      <c r="J19" s="65"/>
      <c r="K19" s="111" t="s">
        <v>47</v>
      </c>
      <c r="L19" s="112" t="s">
        <v>47</v>
      </c>
      <c r="N19" s="3" t="s">
        <v>170</v>
      </c>
    </row>
    <row r="20" spans="1:16" s="3" customFormat="1" ht="15.6" customHeight="1" x14ac:dyDescent="0.3">
      <c r="A20" s="18"/>
      <c r="B20" s="18"/>
      <c r="N20" s="201" t="s">
        <v>116</v>
      </c>
      <c r="O20" s="201"/>
      <c r="P20" s="201"/>
    </row>
    <row r="21" spans="1:16" s="3" customFormat="1" ht="15.6" customHeight="1" x14ac:dyDescent="0.3">
      <c r="A21" s="125" t="s">
        <v>663</v>
      </c>
      <c r="B21" s="21"/>
      <c r="D21" s="66"/>
      <c r="O21" s="91"/>
      <c r="P21" s="36"/>
    </row>
    <row r="22" spans="1:16" ht="15.6" customHeight="1" x14ac:dyDescent="0.3">
      <c r="A22" s="125" t="s">
        <v>664</v>
      </c>
      <c r="B22" s="21"/>
      <c r="D22" s="66"/>
      <c r="N22" s="67"/>
      <c r="O22" s="67" t="s">
        <v>46</v>
      </c>
      <c r="P22" s="151">
        <v>11</v>
      </c>
    </row>
    <row r="23" spans="1:16" ht="15.6" customHeight="1" x14ac:dyDescent="0.3">
      <c r="A23" s="125" t="s">
        <v>665</v>
      </c>
      <c r="B23" s="21"/>
      <c r="D23" s="66"/>
      <c r="M23" s="58"/>
      <c r="N23" s="68"/>
      <c r="O23" s="21"/>
      <c r="P23" s="21"/>
    </row>
    <row r="24" spans="1:16" ht="15.6" customHeight="1" x14ac:dyDescent="0.3">
      <c r="A24" s="125" t="s">
        <v>666</v>
      </c>
      <c r="B24" s="21"/>
      <c r="D24" s="66"/>
      <c r="M24" s="58"/>
      <c r="N24" s="33"/>
      <c r="O24" s="33" t="s">
        <v>215</v>
      </c>
      <c r="P24" s="33" t="s">
        <v>216</v>
      </c>
    </row>
    <row r="25" spans="1:16" ht="15.6" customHeight="1" x14ac:dyDescent="0.3">
      <c r="A25" s="125" t="s">
        <v>667</v>
      </c>
      <c r="B25" s="21"/>
      <c r="D25" s="66"/>
      <c r="N25" s="69" t="s">
        <v>42</v>
      </c>
      <c r="O25" s="21"/>
      <c r="P25" s="152"/>
    </row>
    <row r="26" spans="1:16" ht="15.6" customHeight="1" x14ac:dyDescent="0.3">
      <c r="A26" s="49" t="s">
        <v>668</v>
      </c>
      <c r="B26" s="21"/>
      <c r="D26" s="70"/>
      <c r="N26" s="69" t="s">
        <v>39</v>
      </c>
      <c r="O26" s="21"/>
      <c r="P26" s="152">
        <v>500</v>
      </c>
    </row>
    <row r="27" spans="1:16" ht="15.6" customHeight="1" x14ac:dyDescent="0.3">
      <c r="A27" s="49" t="s">
        <v>669</v>
      </c>
      <c r="D27" s="70"/>
      <c r="N27" s="69" t="s">
        <v>43</v>
      </c>
      <c r="O27" s="21"/>
      <c r="P27" s="152"/>
    </row>
    <row r="28" spans="1:16" ht="15.6" customHeight="1" x14ac:dyDescent="0.3">
      <c r="A28" s="126" t="s">
        <v>670</v>
      </c>
      <c r="D28" s="71"/>
      <c r="N28" s="69" t="s">
        <v>40</v>
      </c>
      <c r="O28" s="21"/>
      <c r="P28" s="152"/>
    </row>
    <row r="29" spans="1:16" ht="15.6" customHeight="1" x14ac:dyDescent="0.3">
      <c r="A29" s="126" t="s">
        <v>672</v>
      </c>
      <c r="D29" s="71"/>
      <c r="N29" s="72"/>
      <c r="O29" s="67" t="s">
        <v>46</v>
      </c>
      <c r="P29" s="151">
        <v>5</v>
      </c>
    </row>
    <row r="30" spans="1:16" x14ac:dyDescent="0.3">
      <c r="D30" s="71"/>
    </row>
    <row r="31" spans="1:16" ht="15.6" customHeight="1" x14ac:dyDescent="0.3">
      <c r="A31" s="153" t="s">
        <v>121</v>
      </c>
      <c r="B31" s="89"/>
      <c r="C31" s="89" t="s">
        <v>8</v>
      </c>
      <c r="E31" s="66"/>
      <c r="N31" s="22" t="s">
        <v>29</v>
      </c>
      <c r="O31" s="24"/>
      <c r="P31" s="24"/>
    </row>
    <row r="32" spans="1:16" ht="15.6" x14ac:dyDescent="0.3">
      <c r="A32" s="148" t="s">
        <v>120</v>
      </c>
      <c r="B32" s="5"/>
      <c r="C32" s="90">
        <v>2</v>
      </c>
      <c r="E32" s="66"/>
      <c r="N32" s="2" t="s">
        <v>53</v>
      </c>
    </row>
    <row r="33" spans="1:27" x14ac:dyDescent="0.3">
      <c r="A33" s="148" t="s">
        <v>118</v>
      </c>
      <c r="B33" s="5"/>
      <c r="C33" s="5">
        <v>3</v>
      </c>
      <c r="E33" s="66"/>
      <c r="N33" s="2" t="s">
        <v>32</v>
      </c>
    </row>
    <row r="34" spans="1:27" x14ac:dyDescent="0.3">
      <c r="A34" s="148" t="s">
        <v>143</v>
      </c>
      <c r="B34" s="5"/>
      <c r="C34" s="5">
        <v>3</v>
      </c>
      <c r="N34" s="2" t="s">
        <v>54</v>
      </c>
    </row>
    <row r="35" spans="1:27" x14ac:dyDescent="0.3">
      <c r="A35" s="148" t="s">
        <v>24</v>
      </c>
      <c r="B35" s="5"/>
      <c r="C35" s="5">
        <v>3</v>
      </c>
      <c r="N35" s="2" t="s">
        <v>167</v>
      </c>
    </row>
    <row r="39" spans="1:27" x14ac:dyDescent="0.3">
      <c r="AA39"/>
    </row>
    <row r="40" spans="1:27" x14ac:dyDescent="0.3">
      <c r="L40" s="73" t="s">
        <v>194</v>
      </c>
    </row>
    <row r="41" spans="1:27" ht="15.6" x14ac:dyDescent="0.3">
      <c r="A41" s="162" t="s">
        <v>15</v>
      </c>
      <c r="B41" s="19" t="s">
        <v>19</v>
      </c>
      <c r="C41" s="26" t="s">
        <v>20</v>
      </c>
      <c r="D41" s="4">
        <v>8</v>
      </c>
      <c r="E41" s="26">
        <f>D41-1</f>
        <v>7</v>
      </c>
      <c r="F41" s="4">
        <f t="shared" ref="F41:L41" si="2">E41-1</f>
        <v>6</v>
      </c>
      <c r="G41" s="26">
        <f t="shared" si="2"/>
        <v>5</v>
      </c>
      <c r="H41" s="4">
        <f t="shared" si="2"/>
        <v>4</v>
      </c>
      <c r="I41" s="26">
        <f t="shared" si="2"/>
        <v>3</v>
      </c>
      <c r="J41" s="4">
        <f t="shared" si="2"/>
        <v>2</v>
      </c>
      <c r="K41" s="26">
        <f t="shared" si="2"/>
        <v>1</v>
      </c>
      <c r="L41" s="4">
        <f t="shared" si="2"/>
        <v>0</v>
      </c>
      <c r="M41" s="215" t="s">
        <v>26</v>
      </c>
      <c r="N41" s="215"/>
      <c r="O41" s="22" t="s">
        <v>27</v>
      </c>
      <c r="P41" s="24"/>
    </row>
    <row r="42" spans="1:27" ht="18" x14ac:dyDescent="0.3">
      <c r="A42" s="93" t="s">
        <v>104</v>
      </c>
      <c r="B42" s="1" t="s">
        <v>210</v>
      </c>
      <c r="C42" s="74">
        <v>6</v>
      </c>
      <c r="D42" s="75">
        <f>C42+1</f>
        <v>7</v>
      </c>
      <c r="E42" s="74">
        <f t="shared" ref="E42:L42" si="3">D42+1</f>
        <v>8</v>
      </c>
      <c r="F42" s="75">
        <f t="shared" si="3"/>
        <v>9</v>
      </c>
      <c r="G42" s="74">
        <f t="shared" si="3"/>
        <v>10</v>
      </c>
      <c r="H42" s="75">
        <f t="shared" si="3"/>
        <v>11</v>
      </c>
      <c r="I42" s="74">
        <f t="shared" si="3"/>
        <v>12</v>
      </c>
      <c r="J42" s="75">
        <f t="shared" si="3"/>
        <v>13</v>
      </c>
      <c r="K42" s="74">
        <f t="shared" si="3"/>
        <v>14</v>
      </c>
      <c r="L42" s="75">
        <f t="shared" si="3"/>
        <v>15</v>
      </c>
      <c r="M42" s="199" t="s">
        <v>177</v>
      </c>
      <c r="N42" s="199"/>
      <c r="O42" s="2" t="s">
        <v>654</v>
      </c>
    </row>
    <row r="43" spans="1:27" ht="18" x14ac:dyDescent="0.3">
      <c r="A43" s="93" t="s">
        <v>24</v>
      </c>
      <c r="B43" s="1" t="s">
        <v>23</v>
      </c>
      <c r="C43" s="74">
        <v>7</v>
      </c>
      <c r="D43" s="75">
        <f t="shared" ref="D43:L44" si="4">C43+1</f>
        <v>8</v>
      </c>
      <c r="E43" s="74">
        <f t="shared" si="4"/>
        <v>9</v>
      </c>
      <c r="F43" s="75">
        <f t="shared" si="4"/>
        <v>10</v>
      </c>
      <c r="G43" s="74">
        <f t="shared" si="4"/>
        <v>11</v>
      </c>
      <c r="H43" s="75">
        <f t="shared" si="4"/>
        <v>12</v>
      </c>
      <c r="I43" s="74">
        <f t="shared" si="4"/>
        <v>13</v>
      </c>
      <c r="J43" s="75">
        <f t="shared" si="4"/>
        <v>14</v>
      </c>
      <c r="K43" s="74">
        <f t="shared" si="4"/>
        <v>15</v>
      </c>
      <c r="L43" s="75">
        <f t="shared" si="4"/>
        <v>16</v>
      </c>
      <c r="M43" s="200" t="s">
        <v>169</v>
      </c>
      <c r="N43" s="200"/>
      <c r="O43" s="3" t="s">
        <v>114</v>
      </c>
    </row>
    <row r="44" spans="1:27" ht="18" x14ac:dyDescent="0.3">
      <c r="A44" s="93" t="s">
        <v>143</v>
      </c>
      <c r="B44" s="1" t="s">
        <v>168</v>
      </c>
      <c r="C44" s="74">
        <v>8</v>
      </c>
      <c r="D44" s="75">
        <f t="shared" si="4"/>
        <v>9</v>
      </c>
      <c r="E44" s="74">
        <f t="shared" si="4"/>
        <v>10</v>
      </c>
      <c r="F44" s="75">
        <f t="shared" si="4"/>
        <v>11</v>
      </c>
      <c r="G44" s="74">
        <f t="shared" si="4"/>
        <v>12</v>
      </c>
      <c r="H44" s="75">
        <f t="shared" si="4"/>
        <v>13</v>
      </c>
      <c r="I44" s="74">
        <f t="shared" si="4"/>
        <v>14</v>
      </c>
      <c r="J44" s="75">
        <f t="shared" si="4"/>
        <v>15</v>
      </c>
      <c r="K44" s="74">
        <f t="shared" si="4"/>
        <v>16</v>
      </c>
      <c r="L44" s="75">
        <f t="shared" si="4"/>
        <v>17</v>
      </c>
      <c r="M44" s="200" t="s">
        <v>28</v>
      </c>
      <c r="N44" s="200"/>
      <c r="O44" s="3" t="s">
        <v>115</v>
      </c>
    </row>
  </sheetData>
  <mergeCells count="19">
    <mergeCell ref="A14:B16"/>
    <mergeCell ref="C9:I9"/>
    <mergeCell ref="M9:O9"/>
    <mergeCell ref="C10:I10"/>
    <mergeCell ref="M10:O10"/>
    <mergeCell ref="C11:I11"/>
    <mergeCell ref="M11:P11"/>
    <mergeCell ref="L16:L18"/>
    <mergeCell ref="C6:I6"/>
    <mergeCell ref="M6:O6"/>
    <mergeCell ref="C7:I7"/>
    <mergeCell ref="M7:O7"/>
    <mergeCell ref="C8:I8"/>
    <mergeCell ref="M8:O8"/>
    <mergeCell ref="N20:P20"/>
    <mergeCell ref="M41:N41"/>
    <mergeCell ref="M42:N42"/>
    <mergeCell ref="M43:N43"/>
    <mergeCell ref="M44:N44"/>
  </mergeCells>
  <printOptions horizontalCentered="1" verticalCentered="1"/>
  <pageMargins left="0" right="0" top="0" bottom="0" header="0" footer="0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F153-3230-4F12-9676-CFFDE05402A0}">
  <dimension ref="A1:U50"/>
  <sheetViews>
    <sheetView topLeftCell="A24" zoomScale="120" zoomScaleNormal="120" workbookViewId="0">
      <selection activeCell="F49" sqref="F49"/>
    </sheetView>
  </sheetViews>
  <sheetFormatPr defaultRowHeight="14.4" x14ac:dyDescent="0.3"/>
  <cols>
    <col min="1" max="1" width="5.88671875" customWidth="1"/>
    <col min="2" max="2" width="5.88671875" style="5" customWidth="1"/>
    <col min="3" max="17" width="5.88671875" customWidth="1"/>
    <col min="18" max="21" width="5.5546875" customWidth="1"/>
  </cols>
  <sheetData>
    <row r="1" spans="1:21" s="2" customFormat="1" ht="17.399999999999999" customHeight="1" x14ac:dyDescent="0.3">
      <c r="A1" s="2" t="s">
        <v>212</v>
      </c>
      <c r="B1" s="1"/>
      <c r="C1" s="143">
        <f>Dwarf!F4</f>
        <v>22</v>
      </c>
      <c r="E1" s="2" t="s">
        <v>211</v>
      </c>
      <c r="G1" s="143" t="str">
        <f>Dwarf!G4</f>
        <v>+7</v>
      </c>
      <c r="I1" s="2" t="s">
        <v>214</v>
      </c>
      <c r="K1" s="14"/>
      <c r="M1" s="2" t="s">
        <v>213</v>
      </c>
      <c r="O1" s="146">
        <f>Dwarf!P22+Dwarf!P29</f>
        <v>16</v>
      </c>
      <c r="P1" s="16"/>
      <c r="Q1" s="17"/>
    </row>
    <row r="2" spans="1:21" ht="17.399999999999999" customHeight="1" x14ac:dyDescent="0.3">
      <c r="A2" s="82" t="s">
        <v>45</v>
      </c>
      <c r="B2" s="76"/>
      <c r="C2" s="76"/>
      <c r="D2" s="76"/>
      <c r="E2" s="76"/>
      <c r="F2" s="76"/>
      <c r="G2" s="76"/>
      <c r="H2" s="34" t="s">
        <v>44</v>
      </c>
      <c r="I2" s="34" t="s">
        <v>46</v>
      </c>
      <c r="J2" s="208" t="s">
        <v>359</v>
      </c>
      <c r="K2" s="208"/>
      <c r="L2" s="208"/>
      <c r="M2" s="208"/>
      <c r="N2" s="208"/>
      <c r="O2" s="208"/>
      <c r="P2" s="209"/>
      <c r="Q2" s="208"/>
      <c r="R2" s="6"/>
      <c r="S2" s="6"/>
      <c r="T2" s="6"/>
      <c r="U2" s="6"/>
    </row>
    <row r="3" spans="1:21" ht="17.399999999999999" customHeight="1" x14ac:dyDescent="0.3">
      <c r="A3" s="59">
        <v>1</v>
      </c>
      <c r="B3" s="2"/>
      <c r="C3" s="2"/>
      <c r="D3" s="2"/>
      <c r="E3" s="1"/>
      <c r="F3" s="2"/>
      <c r="G3" s="2"/>
      <c r="H3" s="9"/>
      <c r="I3" s="10"/>
      <c r="J3" s="143" t="s">
        <v>9</v>
      </c>
      <c r="K3" s="107"/>
      <c r="L3" s="107"/>
      <c r="M3" s="107"/>
      <c r="N3" s="107"/>
      <c r="O3" s="107"/>
      <c r="P3" s="107"/>
      <c r="Q3" s="107"/>
    </row>
    <row r="4" spans="1:21" ht="17.399999999999999" customHeight="1" x14ac:dyDescent="0.3">
      <c r="A4" s="83">
        <f>A3+1</f>
        <v>2</v>
      </c>
      <c r="B4" s="77"/>
      <c r="C4" s="77"/>
      <c r="D4" s="77"/>
      <c r="E4" s="77"/>
      <c r="F4" s="77"/>
      <c r="G4" s="77"/>
      <c r="H4" s="11"/>
      <c r="I4" s="11"/>
      <c r="J4" s="165"/>
      <c r="K4" s="107"/>
      <c r="L4" s="107"/>
      <c r="M4" s="107"/>
      <c r="N4" s="107"/>
      <c r="O4" s="107"/>
      <c r="P4" s="107"/>
      <c r="Q4" s="107"/>
    </row>
    <row r="5" spans="1:21" ht="17.399999999999999" customHeight="1" x14ac:dyDescent="0.3">
      <c r="A5" s="59">
        <f>A4+1</f>
        <v>3</v>
      </c>
      <c r="B5" s="2"/>
      <c r="C5" s="2"/>
      <c r="D5" s="2"/>
      <c r="E5" s="1"/>
      <c r="F5" s="2"/>
      <c r="G5" s="2"/>
      <c r="H5" s="10"/>
      <c r="I5" s="10"/>
      <c r="J5" s="165"/>
      <c r="K5" s="107"/>
      <c r="L5" s="107"/>
      <c r="M5" s="107"/>
      <c r="N5" s="107"/>
      <c r="O5" s="107"/>
      <c r="P5" s="107"/>
      <c r="Q5" s="107"/>
    </row>
    <row r="6" spans="1:21" ht="17.399999999999999" customHeight="1" x14ac:dyDescent="0.3">
      <c r="A6" s="83">
        <f t="shared" ref="A6:A22" si="0">A5+1</f>
        <v>4</v>
      </c>
      <c r="B6" s="77"/>
      <c r="C6" s="77"/>
      <c r="D6" s="77"/>
      <c r="E6" s="77"/>
      <c r="F6" s="77"/>
      <c r="G6" s="77"/>
      <c r="H6" s="11"/>
      <c r="I6" s="11"/>
      <c r="J6" s="166" t="s">
        <v>335</v>
      </c>
      <c r="K6" s="14"/>
      <c r="L6" s="14"/>
      <c r="M6" s="14"/>
      <c r="N6" s="14"/>
      <c r="O6" s="14"/>
      <c r="P6" s="14"/>
      <c r="Q6" s="14"/>
    </row>
    <row r="7" spans="1:21" ht="17.399999999999999" customHeight="1" x14ac:dyDescent="0.3">
      <c r="A7" s="59">
        <f t="shared" si="0"/>
        <v>5</v>
      </c>
      <c r="B7" s="2"/>
      <c r="C7" s="2"/>
      <c r="D7" s="2"/>
      <c r="E7" s="1"/>
      <c r="F7" s="2"/>
      <c r="G7" s="2"/>
      <c r="H7" s="10"/>
      <c r="I7" s="10"/>
      <c r="J7" s="167" t="s">
        <v>353</v>
      </c>
      <c r="K7" s="114" t="s">
        <v>347</v>
      </c>
      <c r="L7" s="114" t="s">
        <v>348</v>
      </c>
      <c r="M7" s="114" t="s">
        <v>349</v>
      </c>
      <c r="N7" s="114" t="s">
        <v>350</v>
      </c>
      <c r="O7" s="114" t="s">
        <v>351</v>
      </c>
      <c r="P7" s="114"/>
      <c r="Q7" s="114"/>
    </row>
    <row r="8" spans="1:21" ht="17.399999999999999" customHeight="1" x14ac:dyDescent="0.3">
      <c r="A8" s="83">
        <f t="shared" si="0"/>
        <v>6</v>
      </c>
      <c r="B8" s="77"/>
      <c r="C8" s="77"/>
      <c r="D8" s="77"/>
      <c r="E8" s="77"/>
      <c r="F8" s="77"/>
      <c r="G8" s="77"/>
      <c r="H8" s="11"/>
      <c r="I8" s="11"/>
      <c r="J8" s="168" t="s">
        <v>8</v>
      </c>
      <c r="K8" s="14"/>
      <c r="L8" s="14"/>
      <c r="M8" s="14"/>
      <c r="N8" s="14"/>
      <c r="O8" s="14"/>
      <c r="P8" s="14"/>
      <c r="Q8" s="14"/>
    </row>
    <row r="9" spans="1:21" ht="17.399999999999999" customHeight="1" x14ac:dyDescent="0.3">
      <c r="A9" s="59">
        <f t="shared" si="0"/>
        <v>7</v>
      </c>
      <c r="B9" s="2"/>
      <c r="C9" s="2"/>
      <c r="D9" s="2"/>
      <c r="E9" s="1"/>
      <c r="F9" s="2"/>
      <c r="G9" s="2"/>
      <c r="H9" s="10"/>
      <c r="I9" s="10"/>
      <c r="J9" s="168" t="s">
        <v>336</v>
      </c>
      <c r="K9" s="14"/>
      <c r="L9" s="14"/>
      <c r="M9" s="14"/>
      <c r="N9" s="14"/>
      <c r="O9" s="14"/>
      <c r="P9" s="14"/>
      <c r="Q9" s="14"/>
    </row>
    <row r="10" spans="1:21" ht="17.399999999999999" customHeight="1" x14ac:dyDescent="0.3">
      <c r="A10" s="83">
        <f t="shared" si="0"/>
        <v>8</v>
      </c>
      <c r="B10" s="77"/>
      <c r="C10" s="77"/>
      <c r="D10" s="77"/>
      <c r="E10" s="77"/>
      <c r="F10" s="77"/>
      <c r="G10" s="77"/>
      <c r="H10" s="11"/>
      <c r="I10" s="11"/>
      <c r="J10" s="168" t="s">
        <v>337</v>
      </c>
      <c r="K10" s="14"/>
      <c r="L10" s="14"/>
      <c r="M10" s="14"/>
      <c r="N10" s="14"/>
      <c r="O10" s="14"/>
      <c r="P10" s="14"/>
      <c r="Q10" s="14"/>
    </row>
    <row r="11" spans="1:21" ht="17.399999999999999" customHeight="1" x14ac:dyDescent="0.3">
      <c r="A11" s="59">
        <f t="shared" si="0"/>
        <v>9</v>
      </c>
      <c r="B11" s="2"/>
      <c r="C11" s="2"/>
      <c r="D11" s="2"/>
      <c r="E11" s="1"/>
      <c r="F11" s="2"/>
      <c r="G11" s="2"/>
      <c r="H11" s="10"/>
      <c r="I11" s="10"/>
      <c r="J11" s="168" t="s">
        <v>338</v>
      </c>
      <c r="K11" s="14"/>
      <c r="L11" s="14"/>
      <c r="M11" s="14"/>
      <c r="N11" s="14"/>
      <c r="O11" s="14"/>
      <c r="P11" s="14"/>
      <c r="Q11" s="14"/>
    </row>
    <row r="12" spans="1:21" ht="17.399999999999999" customHeight="1" x14ac:dyDescent="0.3">
      <c r="A12" s="83">
        <f t="shared" si="0"/>
        <v>10</v>
      </c>
      <c r="B12" s="77"/>
      <c r="C12" s="77"/>
      <c r="D12" s="77"/>
      <c r="E12" s="77"/>
      <c r="F12" s="77"/>
      <c r="G12" s="77"/>
      <c r="H12" s="11"/>
      <c r="I12" s="11"/>
      <c r="J12" s="168" t="s">
        <v>340</v>
      </c>
      <c r="K12" s="14"/>
      <c r="L12" s="14"/>
      <c r="M12" s="14"/>
      <c r="N12" s="14"/>
      <c r="O12" s="14"/>
      <c r="P12" s="14"/>
      <c r="Q12" s="14"/>
    </row>
    <row r="13" spans="1:21" ht="17.399999999999999" customHeight="1" x14ac:dyDescent="0.3">
      <c r="A13" s="59">
        <f t="shared" si="0"/>
        <v>11</v>
      </c>
      <c r="B13" s="2"/>
      <c r="C13" s="2"/>
      <c r="D13" s="2"/>
      <c r="E13" s="1"/>
      <c r="F13" s="2"/>
      <c r="G13" s="2"/>
      <c r="H13" s="10"/>
      <c r="I13" s="10"/>
      <c r="J13" s="168" t="s">
        <v>339</v>
      </c>
      <c r="K13" s="14"/>
      <c r="L13" s="14"/>
      <c r="M13" s="14"/>
      <c r="N13" s="14"/>
      <c r="O13" s="14"/>
      <c r="P13" s="14"/>
      <c r="Q13" s="14"/>
    </row>
    <row r="14" spans="1:21" ht="17.399999999999999" customHeight="1" x14ac:dyDescent="0.3">
      <c r="A14" s="83">
        <f t="shared" si="0"/>
        <v>12</v>
      </c>
      <c r="B14" s="77"/>
      <c r="C14" s="77"/>
      <c r="D14" s="77"/>
      <c r="E14" s="77"/>
      <c r="F14" s="77"/>
      <c r="G14" s="77"/>
      <c r="H14" s="11"/>
      <c r="I14" s="11"/>
      <c r="J14" s="174" t="s">
        <v>358</v>
      </c>
      <c r="K14" s="171"/>
      <c r="L14" s="171"/>
      <c r="M14" s="171"/>
      <c r="N14" s="171"/>
      <c r="O14" s="171"/>
      <c r="P14" s="171"/>
      <c r="Q14" s="172"/>
    </row>
    <row r="15" spans="1:21" ht="17.399999999999999" customHeight="1" x14ac:dyDescent="0.3">
      <c r="A15" s="59">
        <f t="shared" si="0"/>
        <v>13</v>
      </c>
      <c r="B15" s="2"/>
      <c r="C15" s="2"/>
      <c r="D15" s="2"/>
      <c r="E15" s="1"/>
      <c r="F15" s="2"/>
      <c r="G15" s="2"/>
      <c r="H15" s="10"/>
      <c r="I15" s="10"/>
      <c r="J15" s="175" t="s">
        <v>352</v>
      </c>
      <c r="K15" s="2"/>
      <c r="L15" s="2"/>
      <c r="M15" s="2"/>
      <c r="N15" s="2"/>
      <c r="O15" s="2"/>
      <c r="P15" s="2"/>
      <c r="Q15" s="115"/>
      <c r="S15" s="124"/>
    </row>
    <row r="16" spans="1:21" ht="17.399999999999999" customHeight="1" x14ac:dyDescent="0.3">
      <c r="A16" s="83">
        <f t="shared" si="0"/>
        <v>14</v>
      </c>
      <c r="B16" s="77"/>
      <c r="C16" s="77"/>
      <c r="D16" s="77"/>
      <c r="E16" s="77"/>
      <c r="F16" s="77"/>
      <c r="G16" s="77"/>
      <c r="H16" s="11"/>
      <c r="I16" s="11"/>
      <c r="J16" s="175" t="s">
        <v>220</v>
      </c>
      <c r="K16" s="2"/>
      <c r="L16" s="2"/>
      <c r="M16" s="2"/>
      <c r="N16" s="2"/>
      <c r="O16" s="2"/>
      <c r="P16" s="2"/>
      <c r="Q16" s="115"/>
      <c r="S16" s="125"/>
    </row>
    <row r="17" spans="1:21" ht="17.399999999999999" customHeight="1" x14ac:dyDescent="0.3">
      <c r="A17" s="59">
        <f t="shared" si="0"/>
        <v>15</v>
      </c>
      <c r="B17" s="2"/>
      <c r="C17" s="2"/>
      <c r="D17" s="2"/>
      <c r="E17" s="1"/>
      <c r="F17" s="2"/>
      <c r="G17" s="2"/>
      <c r="H17" s="10"/>
      <c r="I17" s="10"/>
      <c r="J17" s="175" t="s">
        <v>334</v>
      </c>
      <c r="K17" s="2"/>
      <c r="L17" s="2"/>
      <c r="M17" s="2"/>
      <c r="N17" s="2"/>
      <c r="O17" s="2"/>
      <c r="P17" s="2"/>
      <c r="Q17" s="115"/>
      <c r="S17" s="125"/>
    </row>
    <row r="18" spans="1:21" ht="17.399999999999999" customHeight="1" x14ac:dyDescent="0.3">
      <c r="A18" s="83">
        <f t="shared" si="0"/>
        <v>16</v>
      </c>
      <c r="B18" s="77"/>
      <c r="C18" s="77"/>
      <c r="D18" s="77"/>
      <c r="E18" s="77"/>
      <c r="F18" s="77"/>
      <c r="G18" s="77"/>
      <c r="H18" s="11"/>
      <c r="I18" s="11"/>
      <c r="J18" s="175" t="s">
        <v>219</v>
      </c>
      <c r="K18" s="2"/>
      <c r="L18" s="2"/>
      <c r="M18" s="2"/>
      <c r="N18" s="2"/>
      <c r="O18" s="2"/>
      <c r="P18" s="2"/>
      <c r="Q18" s="115"/>
      <c r="S18" s="125"/>
    </row>
    <row r="19" spans="1:21" ht="17.399999999999999" customHeight="1" x14ac:dyDescent="0.3">
      <c r="A19" s="59">
        <f t="shared" si="0"/>
        <v>17</v>
      </c>
      <c r="B19" s="2"/>
      <c r="C19" s="2"/>
      <c r="D19" s="2"/>
      <c r="E19" s="1"/>
      <c r="F19" s="2"/>
      <c r="G19" s="2"/>
      <c r="H19" s="10"/>
      <c r="I19" s="10"/>
      <c r="J19" s="175" t="s">
        <v>217</v>
      </c>
      <c r="K19" s="2"/>
      <c r="L19" s="2"/>
      <c r="M19" s="2"/>
      <c r="N19" s="2"/>
      <c r="O19" s="2"/>
      <c r="P19" s="2"/>
      <c r="Q19" s="115"/>
      <c r="S19" s="125"/>
    </row>
    <row r="20" spans="1:21" ht="17.399999999999999" customHeight="1" x14ac:dyDescent="0.3">
      <c r="A20" s="84">
        <f t="shared" si="0"/>
        <v>18</v>
      </c>
      <c r="B20" s="78"/>
      <c r="C20" s="77"/>
      <c r="D20" s="77"/>
      <c r="E20" s="77"/>
      <c r="F20" s="77"/>
      <c r="G20" s="77"/>
      <c r="H20" s="11"/>
      <c r="I20" s="11"/>
      <c r="J20" s="175" t="s">
        <v>356</v>
      </c>
      <c r="K20" s="2"/>
      <c r="L20" s="2"/>
      <c r="M20" s="2"/>
      <c r="N20" s="2"/>
      <c r="O20" s="2"/>
      <c r="P20" s="2"/>
      <c r="Q20" s="115"/>
      <c r="S20" s="125" t="s">
        <v>354</v>
      </c>
    </row>
    <row r="21" spans="1:21" ht="17.399999999999999" customHeight="1" x14ac:dyDescent="0.3">
      <c r="A21" s="35">
        <f t="shared" si="0"/>
        <v>19</v>
      </c>
      <c r="B21" s="2"/>
      <c r="C21" s="2"/>
      <c r="D21" s="2"/>
      <c r="E21" s="1"/>
      <c r="F21" s="2"/>
      <c r="G21" s="2"/>
      <c r="H21" s="10"/>
      <c r="I21" s="10"/>
      <c r="J21" s="175" t="s">
        <v>355</v>
      </c>
      <c r="K21" s="2"/>
      <c r="L21" s="2"/>
      <c r="M21" s="2"/>
      <c r="N21" s="2"/>
      <c r="O21" s="2"/>
      <c r="P21" s="2"/>
      <c r="Q21" s="115"/>
      <c r="S21" s="125" t="s">
        <v>354</v>
      </c>
    </row>
    <row r="22" spans="1:21" ht="17.399999999999999" customHeight="1" x14ac:dyDescent="0.3">
      <c r="A22" s="84">
        <f t="shared" si="0"/>
        <v>20</v>
      </c>
      <c r="B22" s="77"/>
      <c r="C22" s="8"/>
      <c r="D22" s="8"/>
      <c r="E22" s="8"/>
      <c r="F22" s="8"/>
      <c r="G22" s="8"/>
      <c r="H22" s="12"/>
      <c r="I22" s="12"/>
      <c r="J22" s="176" t="s">
        <v>218</v>
      </c>
      <c r="K22" s="24"/>
      <c r="L22" s="24"/>
      <c r="M22" s="24"/>
      <c r="N22" s="24"/>
      <c r="O22" s="24"/>
      <c r="P22" s="24"/>
      <c r="Q22" s="173"/>
      <c r="S22" s="126" t="s">
        <v>354</v>
      </c>
    </row>
    <row r="23" spans="1:21" ht="14.4" customHeight="1" thickBot="1" x14ac:dyDescent="0.35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27" t="s">
        <v>357</v>
      </c>
    </row>
    <row r="24" spans="1:21" ht="17.399999999999999" customHeight="1" x14ac:dyDescent="0.3">
      <c r="A24" s="210" t="s">
        <v>194</v>
      </c>
      <c r="B24" s="211"/>
      <c r="C24" s="81" t="s">
        <v>8</v>
      </c>
      <c r="D24" s="81" t="s">
        <v>8</v>
      </c>
      <c r="E24" s="81" t="s">
        <v>8</v>
      </c>
      <c r="F24" s="81" t="s">
        <v>8</v>
      </c>
      <c r="G24" s="81" t="s">
        <v>8</v>
      </c>
      <c r="H24" s="81" t="s">
        <v>8</v>
      </c>
      <c r="I24" s="81" t="s">
        <v>8</v>
      </c>
      <c r="J24" s="81" t="s">
        <v>8</v>
      </c>
      <c r="K24" s="81" t="s">
        <v>8</v>
      </c>
      <c r="L24" s="81" t="s">
        <v>8</v>
      </c>
      <c r="M24" s="81" t="s">
        <v>8</v>
      </c>
      <c r="N24" s="81" t="s">
        <v>8</v>
      </c>
      <c r="O24" s="81" t="s">
        <v>8</v>
      </c>
      <c r="P24" s="81" t="s">
        <v>8</v>
      </c>
      <c r="Q24" s="81" t="s">
        <v>8</v>
      </c>
    </row>
    <row r="25" spans="1:21" ht="17.399999999999999" customHeight="1" x14ac:dyDescent="0.3">
      <c r="A25" s="85"/>
      <c r="B25" s="86"/>
      <c r="C25" s="7">
        <v>-3</v>
      </c>
      <c r="D25" s="7">
        <f t="shared" ref="D25:Q25" si="1">C25+1</f>
        <v>-2</v>
      </c>
      <c r="E25" s="7">
        <f t="shared" si="1"/>
        <v>-1</v>
      </c>
      <c r="F25" s="7">
        <f t="shared" si="1"/>
        <v>0</v>
      </c>
      <c r="G25" s="7">
        <f t="shared" si="1"/>
        <v>1</v>
      </c>
      <c r="H25" s="7">
        <f t="shared" si="1"/>
        <v>2</v>
      </c>
      <c r="I25" s="7">
        <f t="shared" si="1"/>
        <v>3</v>
      </c>
      <c r="J25" s="7">
        <f t="shared" si="1"/>
        <v>4</v>
      </c>
      <c r="K25" s="7">
        <f t="shared" si="1"/>
        <v>5</v>
      </c>
      <c r="L25" s="7">
        <f t="shared" si="1"/>
        <v>6</v>
      </c>
      <c r="M25" s="7">
        <f t="shared" si="1"/>
        <v>7</v>
      </c>
      <c r="N25" s="7">
        <f t="shared" si="1"/>
        <v>8</v>
      </c>
      <c r="O25" s="7">
        <f t="shared" si="1"/>
        <v>9</v>
      </c>
      <c r="P25" s="7">
        <f t="shared" si="1"/>
        <v>10</v>
      </c>
      <c r="Q25" s="7">
        <f t="shared" si="1"/>
        <v>11</v>
      </c>
      <c r="R25" s="1"/>
      <c r="S25" s="1"/>
      <c r="T25" s="1"/>
      <c r="U25" s="1"/>
    </row>
    <row r="26" spans="1:21" ht="14.4" customHeight="1" x14ac:dyDescent="0.3">
      <c r="A26" s="212">
        <v>19</v>
      </c>
      <c r="B26" s="213"/>
      <c r="C26" s="79">
        <f>$A26-C$25</f>
        <v>22</v>
      </c>
      <c r="D26" s="79">
        <f t="shared" ref="D26:Q26" si="2">$A26-D$25</f>
        <v>21</v>
      </c>
      <c r="E26" s="79">
        <f t="shared" si="2"/>
        <v>20</v>
      </c>
      <c r="F26" s="79">
        <f t="shared" si="2"/>
        <v>19</v>
      </c>
      <c r="G26" s="79">
        <f t="shared" si="2"/>
        <v>18</v>
      </c>
      <c r="H26" s="79">
        <f t="shared" si="2"/>
        <v>17</v>
      </c>
      <c r="I26" s="79">
        <f t="shared" si="2"/>
        <v>16</v>
      </c>
      <c r="J26" s="79">
        <f t="shared" si="2"/>
        <v>15</v>
      </c>
      <c r="K26" s="79">
        <f t="shared" si="2"/>
        <v>14</v>
      </c>
      <c r="L26" s="79">
        <f t="shared" si="2"/>
        <v>13</v>
      </c>
      <c r="M26" s="79">
        <f t="shared" si="2"/>
        <v>12</v>
      </c>
      <c r="N26" s="79">
        <f t="shared" si="2"/>
        <v>11</v>
      </c>
      <c r="O26" s="79">
        <f t="shared" si="2"/>
        <v>10</v>
      </c>
      <c r="P26" s="79">
        <f t="shared" si="2"/>
        <v>9</v>
      </c>
      <c r="Q26" s="79">
        <f t="shared" si="2"/>
        <v>8</v>
      </c>
    </row>
    <row r="27" spans="1:21" ht="14.4" customHeight="1" x14ac:dyDescent="0.3">
      <c r="A27" s="214">
        <v>18</v>
      </c>
      <c r="B27" s="207"/>
      <c r="C27" s="80">
        <f t="shared" ref="C27:Q34" si="3">$A27-C$25</f>
        <v>21</v>
      </c>
      <c r="D27" s="80">
        <f t="shared" si="3"/>
        <v>20</v>
      </c>
      <c r="E27" s="80">
        <f t="shared" si="3"/>
        <v>19</v>
      </c>
      <c r="F27" s="80">
        <f t="shared" si="3"/>
        <v>18</v>
      </c>
      <c r="G27" s="80">
        <f t="shared" si="3"/>
        <v>17</v>
      </c>
      <c r="H27" s="80">
        <f t="shared" si="3"/>
        <v>16</v>
      </c>
      <c r="I27" s="80">
        <f t="shared" si="3"/>
        <v>15</v>
      </c>
      <c r="J27" s="80">
        <f t="shared" si="3"/>
        <v>14</v>
      </c>
      <c r="K27" s="80">
        <f t="shared" si="3"/>
        <v>13</v>
      </c>
      <c r="L27" s="80">
        <f t="shared" si="3"/>
        <v>12</v>
      </c>
      <c r="M27" s="80">
        <f t="shared" si="3"/>
        <v>11</v>
      </c>
      <c r="N27" s="80">
        <f t="shared" si="3"/>
        <v>10</v>
      </c>
      <c r="O27" s="80">
        <f t="shared" si="3"/>
        <v>9</v>
      </c>
      <c r="P27" s="80">
        <f t="shared" si="3"/>
        <v>8</v>
      </c>
      <c r="Q27" s="80">
        <f t="shared" si="3"/>
        <v>7</v>
      </c>
    </row>
    <row r="28" spans="1:21" ht="14.4" customHeight="1" x14ac:dyDescent="0.3">
      <c r="A28" s="213">
        <v>17</v>
      </c>
      <c r="B28" s="213"/>
      <c r="C28" s="79">
        <f t="shared" si="3"/>
        <v>20</v>
      </c>
      <c r="D28" s="79">
        <f t="shared" si="3"/>
        <v>19</v>
      </c>
      <c r="E28" s="79">
        <f t="shared" si="3"/>
        <v>18</v>
      </c>
      <c r="F28" s="79">
        <f t="shared" si="3"/>
        <v>17</v>
      </c>
      <c r="G28" s="79">
        <f t="shared" si="3"/>
        <v>16</v>
      </c>
      <c r="H28" s="79">
        <f t="shared" si="3"/>
        <v>15</v>
      </c>
      <c r="I28" s="79">
        <f t="shared" si="3"/>
        <v>14</v>
      </c>
      <c r="J28" s="79">
        <f t="shared" si="3"/>
        <v>13</v>
      </c>
      <c r="K28" s="79">
        <f t="shared" si="3"/>
        <v>12</v>
      </c>
      <c r="L28" s="79">
        <f t="shared" si="3"/>
        <v>11</v>
      </c>
      <c r="M28" s="79">
        <f t="shared" si="3"/>
        <v>10</v>
      </c>
      <c r="N28" s="79">
        <f t="shared" si="3"/>
        <v>9</v>
      </c>
      <c r="O28" s="79">
        <f t="shared" si="3"/>
        <v>8</v>
      </c>
      <c r="P28" s="79">
        <f t="shared" si="3"/>
        <v>7</v>
      </c>
      <c r="Q28" s="79">
        <f t="shared" si="3"/>
        <v>6</v>
      </c>
    </row>
    <row r="29" spans="1:21" ht="14.4" customHeight="1" x14ac:dyDescent="0.3">
      <c r="A29" s="207">
        <v>16</v>
      </c>
      <c r="B29" s="207"/>
      <c r="C29" s="80">
        <f t="shared" si="3"/>
        <v>19</v>
      </c>
      <c r="D29" s="80">
        <f t="shared" si="3"/>
        <v>18</v>
      </c>
      <c r="E29" s="80">
        <f t="shared" si="3"/>
        <v>17</v>
      </c>
      <c r="F29" s="80">
        <f t="shared" si="3"/>
        <v>16</v>
      </c>
      <c r="G29" s="80">
        <f t="shared" si="3"/>
        <v>15</v>
      </c>
      <c r="H29" s="80">
        <f t="shared" si="3"/>
        <v>14</v>
      </c>
      <c r="I29" s="80">
        <f t="shared" si="3"/>
        <v>13</v>
      </c>
      <c r="J29" s="80">
        <f t="shared" si="3"/>
        <v>12</v>
      </c>
      <c r="K29" s="80">
        <f t="shared" si="3"/>
        <v>11</v>
      </c>
      <c r="L29" s="80">
        <f t="shared" si="3"/>
        <v>10</v>
      </c>
      <c r="M29" s="80">
        <f t="shared" si="3"/>
        <v>9</v>
      </c>
      <c r="N29" s="80">
        <f t="shared" si="3"/>
        <v>8</v>
      </c>
      <c r="O29" s="80">
        <f t="shared" si="3"/>
        <v>7</v>
      </c>
      <c r="P29" s="80">
        <f t="shared" si="3"/>
        <v>6</v>
      </c>
      <c r="Q29" s="80">
        <f t="shared" si="3"/>
        <v>5</v>
      </c>
    </row>
    <row r="30" spans="1:21" ht="14.4" customHeight="1" x14ac:dyDescent="0.3">
      <c r="A30" s="213">
        <v>15</v>
      </c>
      <c r="B30" s="213"/>
      <c r="C30" s="79">
        <f t="shared" si="3"/>
        <v>18</v>
      </c>
      <c r="D30" s="79">
        <f t="shared" si="3"/>
        <v>17</v>
      </c>
      <c r="E30" s="79">
        <f t="shared" si="3"/>
        <v>16</v>
      </c>
      <c r="F30" s="79">
        <f t="shared" si="3"/>
        <v>15</v>
      </c>
      <c r="G30" s="79">
        <f t="shared" si="3"/>
        <v>14</v>
      </c>
      <c r="H30" s="79">
        <f t="shared" si="3"/>
        <v>13</v>
      </c>
      <c r="I30" s="79">
        <f t="shared" si="3"/>
        <v>12</v>
      </c>
      <c r="J30" s="79">
        <f t="shared" si="3"/>
        <v>11</v>
      </c>
      <c r="K30" s="79">
        <f t="shared" si="3"/>
        <v>10</v>
      </c>
      <c r="L30" s="79">
        <f t="shared" si="3"/>
        <v>9</v>
      </c>
      <c r="M30" s="79">
        <f t="shared" si="3"/>
        <v>8</v>
      </c>
      <c r="N30" s="79">
        <f t="shared" si="3"/>
        <v>7</v>
      </c>
      <c r="O30" s="79">
        <f t="shared" si="3"/>
        <v>6</v>
      </c>
      <c r="P30" s="79">
        <f t="shared" si="3"/>
        <v>5</v>
      </c>
      <c r="Q30" s="79">
        <f t="shared" si="3"/>
        <v>4</v>
      </c>
    </row>
    <row r="31" spans="1:21" ht="14.4" customHeight="1" x14ac:dyDescent="0.3">
      <c r="A31" s="207">
        <v>14</v>
      </c>
      <c r="B31" s="207"/>
      <c r="C31" s="80">
        <f t="shared" si="3"/>
        <v>17</v>
      </c>
      <c r="D31" s="80">
        <f t="shared" si="3"/>
        <v>16</v>
      </c>
      <c r="E31" s="80">
        <f t="shared" si="3"/>
        <v>15</v>
      </c>
      <c r="F31" s="80">
        <f t="shared" si="3"/>
        <v>14</v>
      </c>
      <c r="G31" s="80">
        <f t="shared" si="3"/>
        <v>13</v>
      </c>
      <c r="H31" s="80">
        <f t="shared" si="3"/>
        <v>12</v>
      </c>
      <c r="I31" s="80">
        <f t="shared" si="3"/>
        <v>11</v>
      </c>
      <c r="J31" s="80">
        <f t="shared" si="3"/>
        <v>10</v>
      </c>
      <c r="K31" s="80">
        <f t="shared" si="3"/>
        <v>9</v>
      </c>
      <c r="L31" s="80">
        <f t="shared" si="3"/>
        <v>8</v>
      </c>
      <c r="M31" s="80">
        <f t="shared" si="3"/>
        <v>7</v>
      </c>
      <c r="N31" s="80">
        <f t="shared" si="3"/>
        <v>6</v>
      </c>
      <c r="O31" s="80">
        <f t="shared" si="3"/>
        <v>5</v>
      </c>
      <c r="P31" s="80">
        <f t="shared" si="3"/>
        <v>4</v>
      </c>
      <c r="Q31" s="80">
        <f t="shared" si="3"/>
        <v>3</v>
      </c>
    </row>
    <row r="32" spans="1:21" ht="14.4" customHeight="1" x14ac:dyDescent="0.3">
      <c r="A32" s="213">
        <v>13</v>
      </c>
      <c r="B32" s="213"/>
      <c r="C32" s="79">
        <f t="shared" si="3"/>
        <v>16</v>
      </c>
      <c r="D32" s="79">
        <f t="shared" si="3"/>
        <v>15</v>
      </c>
      <c r="E32" s="79">
        <f t="shared" si="3"/>
        <v>14</v>
      </c>
      <c r="F32" s="79">
        <f t="shared" si="3"/>
        <v>13</v>
      </c>
      <c r="G32" s="79">
        <f t="shared" si="3"/>
        <v>12</v>
      </c>
      <c r="H32" s="79">
        <f t="shared" si="3"/>
        <v>11</v>
      </c>
      <c r="I32" s="79">
        <f t="shared" si="3"/>
        <v>10</v>
      </c>
      <c r="J32" s="79">
        <f t="shared" si="3"/>
        <v>9</v>
      </c>
      <c r="K32" s="79">
        <f t="shared" si="3"/>
        <v>8</v>
      </c>
      <c r="L32" s="79">
        <f t="shared" si="3"/>
        <v>7</v>
      </c>
      <c r="M32" s="79">
        <f t="shared" si="3"/>
        <v>6</v>
      </c>
      <c r="N32" s="79">
        <f t="shared" si="3"/>
        <v>5</v>
      </c>
      <c r="O32" s="79">
        <f t="shared" si="3"/>
        <v>4</v>
      </c>
      <c r="P32" s="79">
        <f t="shared" si="3"/>
        <v>3</v>
      </c>
      <c r="Q32" s="79">
        <f t="shared" si="3"/>
        <v>2</v>
      </c>
    </row>
    <row r="33" spans="1:17" ht="14.4" customHeight="1" x14ac:dyDescent="0.3">
      <c r="A33" s="207">
        <v>12</v>
      </c>
      <c r="B33" s="207"/>
      <c r="C33" s="80">
        <f t="shared" si="3"/>
        <v>15</v>
      </c>
      <c r="D33" s="80">
        <f t="shared" si="3"/>
        <v>14</v>
      </c>
      <c r="E33" s="80">
        <f t="shared" si="3"/>
        <v>13</v>
      </c>
      <c r="F33" s="80">
        <f t="shared" si="3"/>
        <v>12</v>
      </c>
      <c r="G33" s="80">
        <f t="shared" si="3"/>
        <v>11</v>
      </c>
      <c r="H33" s="80">
        <f t="shared" si="3"/>
        <v>10</v>
      </c>
      <c r="I33" s="80">
        <f t="shared" si="3"/>
        <v>9</v>
      </c>
      <c r="J33" s="80">
        <f t="shared" si="3"/>
        <v>8</v>
      </c>
      <c r="K33" s="80">
        <f t="shared" si="3"/>
        <v>7</v>
      </c>
      <c r="L33" s="80">
        <f t="shared" si="3"/>
        <v>6</v>
      </c>
      <c r="M33" s="80">
        <f t="shared" si="3"/>
        <v>5</v>
      </c>
      <c r="N33" s="80">
        <f t="shared" si="3"/>
        <v>4</v>
      </c>
      <c r="O33" s="80">
        <f t="shared" si="3"/>
        <v>3</v>
      </c>
      <c r="P33" s="80">
        <f t="shared" si="3"/>
        <v>2</v>
      </c>
      <c r="Q33" s="80">
        <f t="shared" si="3"/>
        <v>1</v>
      </c>
    </row>
    <row r="34" spans="1:17" ht="14.4" customHeight="1" x14ac:dyDescent="0.3">
      <c r="A34" s="213">
        <v>11</v>
      </c>
      <c r="B34" s="213"/>
      <c r="C34" s="79">
        <f t="shared" si="3"/>
        <v>14</v>
      </c>
      <c r="D34" s="79">
        <f t="shared" si="3"/>
        <v>13</v>
      </c>
      <c r="E34" s="79">
        <f t="shared" si="3"/>
        <v>12</v>
      </c>
      <c r="F34" s="79">
        <f t="shared" si="3"/>
        <v>11</v>
      </c>
      <c r="G34" s="79">
        <f t="shared" si="3"/>
        <v>10</v>
      </c>
      <c r="H34" s="79">
        <f t="shared" si="3"/>
        <v>9</v>
      </c>
      <c r="I34" s="79">
        <f t="shared" si="3"/>
        <v>8</v>
      </c>
      <c r="J34" s="79">
        <f t="shared" si="3"/>
        <v>7</v>
      </c>
      <c r="K34" s="79">
        <f t="shared" si="3"/>
        <v>6</v>
      </c>
      <c r="L34" s="79">
        <f t="shared" si="3"/>
        <v>5</v>
      </c>
      <c r="M34" s="79">
        <f t="shared" si="3"/>
        <v>4</v>
      </c>
      <c r="N34" s="79">
        <f t="shared" si="3"/>
        <v>3</v>
      </c>
      <c r="O34" s="79">
        <f t="shared" si="3"/>
        <v>2</v>
      </c>
      <c r="P34" s="79">
        <f t="shared" si="3"/>
        <v>1</v>
      </c>
      <c r="Q34" s="79">
        <f t="shared" si="3"/>
        <v>0</v>
      </c>
    </row>
    <row r="35" spans="1:17" ht="14.4" customHeight="1" x14ac:dyDescent="0.3">
      <c r="A35" s="119"/>
      <c r="B35" s="120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1" t="s">
        <v>195</v>
      </c>
    </row>
    <row r="36" spans="1:17" ht="12.6" customHeight="1" thickBot="1" x14ac:dyDescent="0.35">
      <c r="A36" s="122"/>
      <c r="B36" s="123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1:17" ht="12.6" customHeight="1" x14ac:dyDescent="0.3">
      <c r="A37" s="38" t="s">
        <v>46</v>
      </c>
      <c r="B37" s="39" t="s">
        <v>48</v>
      </c>
      <c r="C37" s="38"/>
      <c r="D37" s="38"/>
      <c r="E37" s="38"/>
      <c r="F37" s="38"/>
      <c r="G37" s="38"/>
      <c r="H37" s="38"/>
      <c r="I37" s="38"/>
      <c r="J37" s="38"/>
      <c r="K37" s="40" t="s">
        <v>203</v>
      </c>
      <c r="L37" s="41"/>
      <c r="M37" s="42" t="s">
        <v>8</v>
      </c>
      <c r="N37" s="42" t="s">
        <v>46</v>
      </c>
      <c r="O37" s="42" t="s">
        <v>204</v>
      </c>
      <c r="P37" s="42" t="s">
        <v>205</v>
      </c>
      <c r="Q37" s="42" t="s">
        <v>206</v>
      </c>
    </row>
    <row r="38" spans="1:17" ht="12.6" customHeight="1" x14ac:dyDescent="0.3">
      <c r="A38" s="36">
        <v>0</v>
      </c>
      <c r="B38" s="37" t="s">
        <v>221</v>
      </c>
      <c r="K38" s="35" t="s">
        <v>196</v>
      </c>
      <c r="L38" s="2"/>
      <c r="M38" s="43">
        <v>9</v>
      </c>
      <c r="N38" s="43">
        <v>0</v>
      </c>
      <c r="O38" s="43" t="s">
        <v>207</v>
      </c>
      <c r="P38" s="43" t="s">
        <v>208</v>
      </c>
      <c r="Q38" s="43" t="s">
        <v>209</v>
      </c>
    </row>
    <row r="39" spans="1:17" ht="12.6" customHeight="1" x14ac:dyDescent="0.3">
      <c r="A39" s="36" t="s">
        <v>223</v>
      </c>
      <c r="B39" s="47" t="s">
        <v>222</v>
      </c>
      <c r="C39" s="48"/>
      <c r="D39" s="48"/>
      <c r="E39" s="48"/>
      <c r="F39" s="48"/>
      <c r="G39" s="48"/>
      <c r="H39" s="48"/>
      <c r="I39" s="48"/>
      <c r="J39" s="48"/>
      <c r="K39" s="44" t="s">
        <v>233</v>
      </c>
      <c r="L39" s="45"/>
      <c r="M39" s="46">
        <v>8</v>
      </c>
      <c r="N39" s="46">
        <v>1</v>
      </c>
      <c r="O39" s="46" t="s">
        <v>207</v>
      </c>
      <c r="P39" s="46" t="s">
        <v>208</v>
      </c>
      <c r="Q39" s="46" t="s">
        <v>209</v>
      </c>
    </row>
    <row r="40" spans="1:17" ht="12.6" customHeight="1" x14ac:dyDescent="0.3">
      <c r="A40" s="36" t="s">
        <v>224</v>
      </c>
      <c r="B40" s="49" t="s">
        <v>225</v>
      </c>
      <c r="K40" s="35" t="s">
        <v>197</v>
      </c>
      <c r="L40" s="2"/>
      <c r="M40" s="43">
        <v>7</v>
      </c>
      <c r="N40" s="43">
        <v>2</v>
      </c>
      <c r="O40" s="43"/>
      <c r="P40" s="43" t="s">
        <v>208</v>
      </c>
      <c r="Q40" s="43" t="s">
        <v>209</v>
      </c>
    </row>
    <row r="41" spans="1:17" ht="12.6" customHeight="1" x14ac:dyDescent="0.3">
      <c r="A41" s="36">
        <v>1</v>
      </c>
      <c r="B41" s="47" t="s">
        <v>226</v>
      </c>
      <c r="C41" s="47"/>
      <c r="D41" s="47"/>
      <c r="E41" s="47"/>
      <c r="F41" s="47"/>
      <c r="G41" s="47"/>
      <c r="H41" s="47"/>
      <c r="I41" s="47"/>
      <c r="J41" s="47"/>
      <c r="K41" s="44" t="s">
        <v>198</v>
      </c>
      <c r="L41" s="45"/>
      <c r="M41" s="46">
        <v>6</v>
      </c>
      <c r="N41" s="46">
        <v>2</v>
      </c>
      <c r="O41" s="46" t="s">
        <v>207</v>
      </c>
      <c r="P41" s="46" t="s">
        <v>208</v>
      </c>
      <c r="Q41" s="46" t="s">
        <v>209</v>
      </c>
    </row>
    <row r="42" spans="1:17" ht="12.6" customHeight="1" x14ac:dyDescent="0.3">
      <c r="A42" s="36">
        <v>2</v>
      </c>
      <c r="B42" s="49" t="s">
        <v>228</v>
      </c>
      <c r="K42" s="35" t="s">
        <v>199</v>
      </c>
      <c r="L42" s="2"/>
      <c r="M42" s="43">
        <v>5</v>
      </c>
      <c r="N42" s="43">
        <v>2</v>
      </c>
      <c r="O42" s="43" t="s">
        <v>209</v>
      </c>
      <c r="P42" s="43" t="s">
        <v>208</v>
      </c>
      <c r="Q42" s="43" t="s">
        <v>208</v>
      </c>
    </row>
    <row r="43" spans="1:17" ht="12.6" customHeight="1" x14ac:dyDescent="0.3">
      <c r="A43" s="36">
        <v>3</v>
      </c>
      <c r="B43" s="47" t="s">
        <v>227</v>
      </c>
      <c r="C43" s="47"/>
      <c r="D43" s="47"/>
      <c r="E43" s="47"/>
      <c r="F43" s="47"/>
      <c r="G43" s="47"/>
      <c r="H43" s="47"/>
      <c r="I43" s="47"/>
      <c r="J43" s="47"/>
      <c r="K43" s="44" t="s">
        <v>201</v>
      </c>
      <c r="L43" s="45"/>
      <c r="M43" s="46">
        <v>4</v>
      </c>
      <c r="N43" s="46">
        <v>3</v>
      </c>
      <c r="O43" s="46" t="s">
        <v>208</v>
      </c>
      <c r="P43" s="46" t="s">
        <v>208</v>
      </c>
      <c r="Q43" s="46" t="s">
        <v>47</v>
      </c>
    </row>
    <row r="44" spans="1:17" ht="12.6" customHeight="1" x14ac:dyDescent="0.3">
      <c r="A44" s="36"/>
      <c r="B44" s="50"/>
      <c r="C44" s="13"/>
      <c r="D44" s="13"/>
      <c r="E44" s="13"/>
      <c r="G44" s="13"/>
      <c r="H44" s="13"/>
      <c r="I44" s="13"/>
      <c r="J44" s="3"/>
      <c r="K44" s="35" t="s">
        <v>202</v>
      </c>
      <c r="L44" s="2"/>
      <c r="M44" s="43">
        <v>3</v>
      </c>
      <c r="N44" s="43">
        <v>3</v>
      </c>
      <c r="O44" s="43" t="s">
        <v>208</v>
      </c>
      <c r="P44" s="43" t="s">
        <v>208</v>
      </c>
      <c r="Q44" s="43" t="s">
        <v>47</v>
      </c>
    </row>
    <row r="45" spans="1:17" ht="12.6" customHeight="1" x14ac:dyDescent="0.3">
      <c r="A45" t="s">
        <v>230</v>
      </c>
      <c r="B45" s="50"/>
      <c r="C45" s="13"/>
      <c r="D45" s="13"/>
      <c r="E45" s="13"/>
      <c r="F45" s="51"/>
      <c r="G45" s="13"/>
      <c r="H45" s="13"/>
      <c r="I45" s="13"/>
      <c r="J45" s="3"/>
      <c r="K45" s="44" t="s">
        <v>234</v>
      </c>
      <c r="L45" s="45"/>
      <c r="M45" s="46">
        <v>2</v>
      </c>
      <c r="N45" s="46">
        <v>3</v>
      </c>
      <c r="O45" s="46" t="s">
        <v>208</v>
      </c>
      <c r="P45" s="46" t="s">
        <v>208</v>
      </c>
      <c r="Q45" s="46" t="s">
        <v>47</v>
      </c>
    </row>
    <row r="46" spans="1:17" ht="12.6" customHeight="1" x14ac:dyDescent="0.3">
      <c r="A46" t="s">
        <v>229</v>
      </c>
      <c r="B46" s="50"/>
      <c r="C46" s="13"/>
      <c r="D46" s="13"/>
      <c r="E46" s="13"/>
      <c r="F46" s="13"/>
      <c r="G46" s="13"/>
      <c r="H46" s="13"/>
      <c r="I46" s="13"/>
      <c r="J46" s="3"/>
      <c r="K46" s="35" t="s">
        <v>200</v>
      </c>
      <c r="L46" s="2"/>
      <c r="M46" s="43">
        <v>-1</v>
      </c>
      <c r="N46" s="43">
        <v>2</v>
      </c>
      <c r="O46" s="43"/>
      <c r="P46" s="43"/>
      <c r="Q46" s="43"/>
    </row>
    <row r="47" spans="1:17" ht="12.6" customHeight="1" x14ac:dyDescent="0.3">
      <c r="A47" t="s">
        <v>231</v>
      </c>
      <c r="B47" s="50"/>
      <c r="C47" s="13"/>
      <c r="D47" s="13"/>
      <c r="E47" s="13"/>
      <c r="F47" s="13"/>
      <c r="G47" s="13"/>
      <c r="H47" s="13"/>
      <c r="I47" s="13"/>
      <c r="J47" s="3"/>
      <c r="K47" s="44" t="s">
        <v>235</v>
      </c>
      <c r="L47" s="45"/>
      <c r="M47" s="46">
        <v>-2</v>
      </c>
      <c r="N47" s="46">
        <v>3</v>
      </c>
      <c r="O47" s="46" t="s">
        <v>236</v>
      </c>
      <c r="P47" s="46"/>
      <c r="Q47" s="46"/>
    </row>
    <row r="48" spans="1:17" ht="12.6" customHeight="1" x14ac:dyDescent="0.3">
      <c r="A48" t="s">
        <v>232</v>
      </c>
      <c r="B48" s="13"/>
      <c r="C48" s="13"/>
      <c r="D48" s="13"/>
      <c r="E48" s="13"/>
      <c r="F48" s="13"/>
      <c r="G48" s="13"/>
      <c r="H48" s="13"/>
      <c r="I48" s="13"/>
      <c r="J48" s="3"/>
      <c r="Q48" s="128" t="s">
        <v>360</v>
      </c>
    </row>
    <row r="49" spans="1:17" ht="17.399999999999999" customHeight="1" x14ac:dyDescent="0.3"/>
    <row r="50" spans="1:17" ht="15" thickBot="1" x14ac:dyDescent="0.35">
      <c r="A50" s="118"/>
      <c r="B50" s="181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</row>
  </sheetData>
  <mergeCells count="11">
    <mergeCell ref="A30:B30"/>
    <mergeCell ref="A31:B31"/>
    <mergeCell ref="A32:B32"/>
    <mergeCell ref="A33:B33"/>
    <mergeCell ref="A34:B34"/>
    <mergeCell ref="A29:B29"/>
    <mergeCell ref="J2:Q2"/>
    <mergeCell ref="A24:B24"/>
    <mergeCell ref="A26:B26"/>
    <mergeCell ref="A27:B27"/>
    <mergeCell ref="A28:B28"/>
  </mergeCells>
  <printOptions horizontalCentered="1" verticalCentered="1"/>
  <pageMargins left="0" right="0" top="0" bottom="0" header="0" footer="0"/>
  <pageSetup paperSize="9" fitToWidth="0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570B-E252-4754-963B-16F0C4F39BE1}">
  <dimension ref="A1:AA44"/>
  <sheetViews>
    <sheetView topLeftCell="A20" zoomScale="120" zoomScaleNormal="120" workbookViewId="0">
      <selection activeCell="L40" sqref="L40"/>
    </sheetView>
  </sheetViews>
  <sheetFormatPr defaultRowHeight="14.4" x14ac:dyDescent="0.3"/>
  <cols>
    <col min="1" max="2" width="11.109375" style="2" customWidth="1"/>
    <col min="3" max="3" width="5.77734375" style="2" customWidth="1"/>
    <col min="4" max="12" width="4.77734375" style="2" customWidth="1"/>
    <col min="13" max="13" width="5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29" t="s">
        <v>0</v>
      </c>
      <c r="B1" s="30" t="s">
        <v>140</v>
      </c>
      <c r="C1" s="30"/>
      <c r="D1" s="157"/>
      <c r="E1" s="29"/>
      <c r="F1" s="159"/>
      <c r="G1" s="160" t="s">
        <v>159</v>
      </c>
      <c r="H1" s="30"/>
      <c r="I1" s="159"/>
      <c r="J1" s="52"/>
      <c r="K1" s="29" t="s">
        <v>34</v>
      </c>
      <c r="L1" s="30"/>
      <c r="M1" s="30"/>
      <c r="N1" s="161" t="s">
        <v>94</v>
      </c>
      <c r="O1" s="30"/>
      <c r="P1" s="30"/>
    </row>
    <row r="2" spans="1:16" ht="20.399999999999999" customHeight="1" x14ac:dyDescent="0.3">
      <c r="A2" s="158" t="s">
        <v>93</v>
      </c>
      <c r="B2" s="28" t="s">
        <v>74</v>
      </c>
      <c r="C2" s="28"/>
      <c r="D2" s="52"/>
      <c r="E2" s="29" t="s">
        <v>33</v>
      </c>
      <c r="F2" s="30"/>
      <c r="G2" s="30" t="s">
        <v>139</v>
      </c>
      <c r="H2" s="30"/>
      <c r="I2" s="156" t="s">
        <v>101</v>
      </c>
      <c r="J2" s="52"/>
      <c r="K2" s="29" t="s">
        <v>1</v>
      </c>
      <c r="L2" s="30"/>
      <c r="M2" s="30"/>
      <c r="N2" s="30" t="s">
        <v>50</v>
      </c>
      <c r="O2" s="30"/>
      <c r="P2" s="30"/>
    </row>
    <row r="3" spans="1:16" ht="9.6" customHeight="1" x14ac:dyDescent="0.3">
      <c r="A3" s="3"/>
      <c r="B3" s="3"/>
      <c r="C3" s="3"/>
      <c r="D3" s="3"/>
      <c r="E3" s="3"/>
      <c r="F3" s="3"/>
      <c r="G3" s="3"/>
      <c r="H3" s="3"/>
      <c r="K3" s="3"/>
      <c r="L3" s="3"/>
      <c r="M3" s="3"/>
      <c r="N3" s="3"/>
      <c r="O3" s="3"/>
      <c r="P3" s="3"/>
    </row>
    <row r="4" spans="1:16" ht="18.600000000000001" customHeight="1" x14ac:dyDescent="0.3">
      <c r="A4" s="53" t="s">
        <v>8</v>
      </c>
      <c r="B4" s="177">
        <v>4</v>
      </c>
      <c r="C4" s="1"/>
      <c r="E4" s="53" t="s">
        <v>46</v>
      </c>
      <c r="F4" s="54">
        <v>20</v>
      </c>
      <c r="G4" s="144" t="s">
        <v>62</v>
      </c>
      <c r="H4" s="145" t="s">
        <v>657</v>
      </c>
      <c r="I4" s="1"/>
      <c r="J4" s="55"/>
      <c r="L4" s="56" t="s">
        <v>92</v>
      </c>
      <c r="M4" s="54">
        <v>2</v>
      </c>
      <c r="N4" s="1"/>
      <c r="O4" s="53" t="s">
        <v>9</v>
      </c>
      <c r="P4" s="149">
        <v>26</v>
      </c>
    </row>
    <row r="5" spans="1:16" ht="19.8" customHeight="1" x14ac:dyDescent="0.3">
      <c r="A5" s="25" t="s">
        <v>29</v>
      </c>
      <c r="B5" s="25"/>
      <c r="J5" s="2" t="s">
        <v>91</v>
      </c>
      <c r="M5" s="25" t="s">
        <v>10</v>
      </c>
      <c r="N5" s="24"/>
      <c r="O5" s="24"/>
      <c r="P5" s="24"/>
    </row>
    <row r="6" spans="1:16" ht="32.4" customHeight="1" x14ac:dyDescent="0.3">
      <c r="A6" s="154">
        <v>9</v>
      </c>
      <c r="B6" s="178" t="s">
        <v>2</v>
      </c>
      <c r="C6" s="202" t="s">
        <v>84</v>
      </c>
      <c r="D6" s="202"/>
      <c r="E6" s="202"/>
      <c r="F6" s="202"/>
      <c r="G6" s="202"/>
      <c r="H6" s="202"/>
      <c r="I6" s="202"/>
      <c r="J6" s="57">
        <v>0</v>
      </c>
      <c r="K6" s="57"/>
      <c r="L6" s="113"/>
      <c r="M6" s="203" t="s">
        <v>346</v>
      </c>
      <c r="N6" s="203"/>
      <c r="O6" s="203"/>
      <c r="P6" s="150">
        <v>12</v>
      </c>
    </row>
    <row r="7" spans="1:16" ht="32.4" customHeight="1" x14ac:dyDescent="0.3">
      <c r="A7" s="154">
        <v>16</v>
      </c>
      <c r="B7" s="178" t="s">
        <v>3</v>
      </c>
      <c r="C7" s="202" t="s">
        <v>112</v>
      </c>
      <c r="D7" s="202"/>
      <c r="E7" s="202"/>
      <c r="F7" s="202"/>
      <c r="G7" s="202"/>
      <c r="H7" s="202"/>
      <c r="I7" s="202"/>
      <c r="J7" s="57">
        <v>2</v>
      </c>
      <c r="K7" s="57"/>
      <c r="M7" s="203" t="s">
        <v>11</v>
      </c>
      <c r="N7" s="203"/>
      <c r="O7" s="203"/>
      <c r="P7" s="150">
        <v>13</v>
      </c>
    </row>
    <row r="8" spans="1:16" ht="32.4" customHeight="1" x14ac:dyDescent="0.3">
      <c r="A8" s="154">
        <v>13</v>
      </c>
      <c r="B8" s="178" t="s">
        <v>4</v>
      </c>
      <c r="C8" s="202" t="s">
        <v>126</v>
      </c>
      <c r="D8" s="202"/>
      <c r="E8" s="202"/>
      <c r="F8" s="202"/>
      <c r="G8" s="202"/>
      <c r="H8" s="202"/>
      <c r="I8" s="202"/>
      <c r="J8" s="57">
        <v>1</v>
      </c>
      <c r="K8" s="57"/>
      <c r="M8" s="203" t="s">
        <v>14</v>
      </c>
      <c r="N8" s="203"/>
      <c r="O8" s="203"/>
      <c r="P8" s="150">
        <v>11</v>
      </c>
    </row>
    <row r="9" spans="1:16" ht="32.4" customHeight="1" x14ac:dyDescent="0.3">
      <c r="A9" s="154">
        <v>14</v>
      </c>
      <c r="B9" s="178" t="s">
        <v>5</v>
      </c>
      <c r="C9" s="202" t="s">
        <v>127</v>
      </c>
      <c r="D9" s="202"/>
      <c r="E9" s="202"/>
      <c r="F9" s="202"/>
      <c r="G9" s="202"/>
      <c r="H9" s="202"/>
      <c r="I9" s="202"/>
      <c r="J9" s="57">
        <v>1</v>
      </c>
      <c r="K9" s="57"/>
      <c r="M9" s="203" t="s">
        <v>12</v>
      </c>
      <c r="N9" s="203"/>
      <c r="O9" s="203"/>
      <c r="P9" s="150">
        <v>14</v>
      </c>
    </row>
    <row r="10" spans="1:16" ht="32.4" customHeight="1" x14ac:dyDescent="0.3">
      <c r="A10" s="154">
        <v>6</v>
      </c>
      <c r="B10" s="178" t="s">
        <v>6</v>
      </c>
      <c r="C10" s="202" t="s">
        <v>113</v>
      </c>
      <c r="D10" s="202"/>
      <c r="E10" s="202"/>
      <c r="F10" s="202"/>
      <c r="G10" s="202"/>
      <c r="H10" s="202"/>
      <c r="I10" s="202"/>
      <c r="J10" s="57">
        <v>-1</v>
      </c>
      <c r="K10" s="57"/>
      <c r="M10" s="203" t="s">
        <v>13</v>
      </c>
      <c r="N10" s="203"/>
      <c r="O10" s="203"/>
      <c r="P10" s="150">
        <v>12</v>
      </c>
    </row>
    <row r="11" spans="1:16" ht="32.4" customHeight="1" x14ac:dyDescent="0.3">
      <c r="A11" s="154">
        <v>10</v>
      </c>
      <c r="B11" s="178" t="s">
        <v>7</v>
      </c>
      <c r="C11" s="202" t="s">
        <v>89</v>
      </c>
      <c r="D11" s="202"/>
      <c r="E11" s="202"/>
      <c r="F11" s="202"/>
      <c r="G11" s="202"/>
      <c r="H11" s="202"/>
      <c r="I11" s="202"/>
      <c r="J11" s="57">
        <v>0</v>
      </c>
      <c r="K11" s="57"/>
      <c r="M11" s="205" t="s">
        <v>341</v>
      </c>
      <c r="N11" s="205"/>
      <c r="O11" s="205"/>
      <c r="P11" s="205"/>
    </row>
    <row r="12" spans="1:16" ht="8.4" customHeight="1" x14ac:dyDescent="0.3"/>
    <row r="13" spans="1:16" s="3" customFormat="1" ht="15.6" customHeight="1" x14ac:dyDescent="0.3">
      <c r="A13" s="22" t="s">
        <v>16</v>
      </c>
      <c r="B13" s="22"/>
      <c r="C13" s="58"/>
      <c r="D13" s="22" t="s">
        <v>17</v>
      </c>
      <c r="E13" s="22"/>
      <c r="F13" s="22"/>
      <c r="G13" s="58"/>
      <c r="H13" s="59" t="s">
        <v>65</v>
      </c>
      <c r="I13" s="59" t="s">
        <v>66</v>
      </c>
      <c r="J13" s="59" t="s">
        <v>67</v>
      </c>
      <c r="K13" s="110" t="s">
        <v>344</v>
      </c>
      <c r="L13" s="109" t="s">
        <v>342</v>
      </c>
      <c r="N13" s="22" t="s">
        <v>55</v>
      </c>
      <c r="O13" s="23"/>
      <c r="P13" s="22"/>
    </row>
    <row r="14" spans="1:16" s="3" customFormat="1" ht="15.6" customHeight="1" x14ac:dyDescent="0.3">
      <c r="A14" s="204" t="s">
        <v>166</v>
      </c>
      <c r="B14" s="204"/>
      <c r="D14" s="58" t="s">
        <v>21</v>
      </c>
      <c r="E14" s="58"/>
      <c r="G14" s="36" t="s">
        <v>70</v>
      </c>
      <c r="H14" s="60">
        <v>40</v>
      </c>
      <c r="I14" s="1">
        <f>J14*1.5</f>
        <v>12</v>
      </c>
      <c r="J14" s="1">
        <f>H14/5</f>
        <v>8</v>
      </c>
      <c r="K14" s="110" t="s">
        <v>661</v>
      </c>
      <c r="L14" s="109" t="s">
        <v>47</v>
      </c>
      <c r="N14" s="3" t="s">
        <v>145</v>
      </c>
    </row>
    <row r="15" spans="1:16" s="3" customFormat="1" ht="15.6" customHeight="1" x14ac:dyDescent="0.3">
      <c r="A15" s="204"/>
      <c r="B15" s="204"/>
      <c r="D15" s="61" t="s">
        <v>37</v>
      </c>
      <c r="E15" s="61"/>
      <c r="F15" s="62"/>
      <c r="G15" s="63" t="s">
        <v>71</v>
      </c>
      <c r="H15" s="64">
        <f>H14*3</f>
        <v>120</v>
      </c>
      <c r="I15" s="64">
        <f>J15*1.5</f>
        <v>36</v>
      </c>
      <c r="J15" s="64">
        <f t="shared" ref="J15:J18" si="0">H15/5</f>
        <v>24</v>
      </c>
      <c r="K15" s="111" t="s">
        <v>47</v>
      </c>
      <c r="L15" s="112" t="s">
        <v>47</v>
      </c>
      <c r="N15" s="3" t="s">
        <v>131</v>
      </c>
    </row>
    <row r="16" spans="1:16" s="3" customFormat="1" ht="15.6" customHeight="1" x14ac:dyDescent="0.3">
      <c r="A16" s="204"/>
      <c r="B16" s="204"/>
      <c r="D16" s="58" t="s">
        <v>18</v>
      </c>
      <c r="E16" s="58"/>
      <c r="G16" s="36" t="s">
        <v>70</v>
      </c>
      <c r="H16" s="60">
        <f>H14*3</f>
        <v>120</v>
      </c>
      <c r="I16" s="1">
        <f>J16*1.5</f>
        <v>36</v>
      </c>
      <c r="J16" s="1">
        <f t="shared" si="0"/>
        <v>24</v>
      </c>
      <c r="K16" s="110">
        <f>J16+(J16/2)</f>
        <v>36</v>
      </c>
      <c r="L16" s="206" t="s">
        <v>343</v>
      </c>
      <c r="N16" s="3" t="s">
        <v>146</v>
      </c>
    </row>
    <row r="17" spans="1:21" s="3" customFormat="1" ht="15.6" customHeight="1" x14ac:dyDescent="0.3">
      <c r="A17" s="155" t="s">
        <v>195</v>
      </c>
      <c r="B17" s="163"/>
      <c r="D17" s="61" t="s">
        <v>35</v>
      </c>
      <c r="E17" s="61"/>
      <c r="F17" s="62"/>
      <c r="G17" s="63" t="s">
        <v>70</v>
      </c>
      <c r="H17" s="64">
        <f>H14/2</f>
        <v>20</v>
      </c>
      <c r="I17" s="64">
        <f>J17*1.5</f>
        <v>6</v>
      </c>
      <c r="J17" s="64">
        <f t="shared" si="0"/>
        <v>4</v>
      </c>
      <c r="K17" s="111">
        <f t="shared" ref="K17:K18" si="1">J17+(J17/2)</f>
        <v>6</v>
      </c>
      <c r="L17" s="206"/>
      <c r="N17" s="3" t="s">
        <v>59</v>
      </c>
    </row>
    <row r="18" spans="1:21" s="3" customFormat="1" ht="15.6" customHeight="1" x14ac:dyDescent="0.3">
      <c r="A18" s="155" t="s">
        <v>95</v>
      </c>
      <c r="B18" s="164"/>
      <c r="D18" s="58" t="s">
        <v>36</v>
      </c>
      <c r="E18" s="58"/>
      <c r="G18" s="36" t="s">
        <v>70</v>
      </c>
      <c r="H18" s="60">
        <f>H14/2</f>
        <v>20</v>
      </c>
      <c r="I18" s="1">
        <f>J18*1.5</f>
        <v>6</v>
      </c>
      <c r="J18" s="1">
        <f t="shared" si="0"/>
        <v>4</v>
      </c>
      <c r="K18" s="110">
        <f t="shared" si="1"/>
        <v>6</v>
      </c>
      <c r="L18" s="206"/>
      <c r="N18" s="3" t="s">
        <v>147</v>
      </c>
    </row>
    <row r="19" spans="1:21" s="3" customFormat="1" ht="15.6" customHeight="1" x14ac:dyDescent="0.3">
      <c r="A19" s="21"/>
      <c r="B19" s="20"/>
      <c r="D19" s="61" t="s">
        <v>22</v>
      </c>
      <c r="E19" s="61"/>
      <c r="F19" s="62"/>
      <c r="G19" s="63" t="s">
        <v>72</v>
      </c>
      <c r="H19" s="65" t="s">
        <v>130</v>
      </c>
      <c r="I19" s="65" t="s">
        <v>129</v>
      </c>
      <c r="J19" s="65"/>
      <c r="K19" s="111" t="s">
        <v>47</v>
      </c>
      <c r="L19" s="112" t="s">
        <v>47</v>
      </c>
      <c r="N19" s="3" t="s">
        <v>148</v>
      </c>
    </row>
    <row r="20" spans="1:21" s="3" customFormat="1" ht="15.6" customHeight="1" x14ac:dyDescent="0.3">
      <c r="B20" s="18"/>
      <c r="N20" s="201" t="s">
        <v>116</v>
      </c>
      <c r="O20" s="201"/>
      <c r="P20" s="201"/>
    </row>
    <row r="21" spans="1:21" s="3" customFormat="1" ht="15.6" customHeight="1" x14ac:dyDescent="0.3">
      <c r="A21" s="125" t="s">
        <v>663</v>
      </c>
      <c r="B21" s="21"/>
      <c r="D21" s="66"/>
      <c r="O21" s="91"/>
      <c r="P21" s="36"/>
    </row>
    <row r="22" spans="1:21" ht="15.6" customHeight="1" x14ac:dyDescent="0.3">
      <c r="A22" s="125" t="s">
        <v>664</v>
      </c>
      <c r="B22" s="21"/>
      <c r="D22" s="66"/>
      <c r="N22" s="67"/>
      <c r="O22" s="67" t="s">
        <v>46</v>
      </c>
      <c r="P22" s="151">
        <v>9</v>
      </c>
      <c r="U22" s="18"/>
    </row>
    <row r="23" spans="1:21" ht="15.6" customHeight="1" x14ac:dyDescent="0.3">
      <c r="A23" s="125" t="s">
        <v>665</v>
      </c>
      <c r="B23" s="21"/>
      <c r="D23" s="66"/>
      <c r="M23" s="58"/>
      <c r="N23" s="68"/>
      <c r="O23" s="21"/>
      <c r="P23" s="21"/>
      <c r="U23" s="20"/>
    </row>
    <row r="24" spans="1:21" ht="15.6" customHeight="1" x14ac:dyDescent="0.3">
      <c r="A24" s="125" t="s">
        <v>666</v>
      </c>
      <c r="B24" s="21"/>
      <c r="D24" s="66"/>
      <c r="M24" s="58"/>
      <c r="N24" s="33"/>
      <c r="O24" s="33" t="s">
        <v>215</v>
      </c>
      <c r="P24" s="33" t="s">
        <v>216</v>
      </c>
      <c r="T24" s="18"/>
      <c r="U24" s="18"/>
    </row>
    <row r="25" spans="1:21" ht="15.6" customHeight="1" x14ac:dyDescent="0.3">
      <c r="A25" s="125" t="s">
        <v>667</v>
      </c>
      <c r="B25" s="21"/>
      <c r="D25" s="66"/>
      <c r="N25" s="69" t="s">
        <v>42</v>
      </c>
      <c r="O25" s="21"/>
      <c r="P25" s="152"/>
      <c r="T25" s="18"/>
      <c r="U25" s="18"/>
    </row>
    <row r="26" spans="1:21" ht="15.6" customHeight="1" x14ac:dyDescent="0.3">
      <c r="A26" s="49" t="s">
        <v>668</v>
      </c>
      <c r="B26" s="21"/>
      <c r="D26" s="70"/>
      <c r="N26" s="69" t="s">
        <v>39</v>
      </c>
      <c r="O26" s="21"/>
      <c r="P26" s="152">
        <v>500</v>
      </c>
      <c r="T26" s="21"/>
      <c r="U26" s="21"/>
    </row>
    <row r="27" spans="1:21" ht="15.6" customHeight="1" x14ac:dyDescent="0.3">
      <c r="A27" s="49" t="s">
        <v>669</v>
      </c>
      <c r="D27" s="70"/>
      <c r="N27" s="69" t="s">
        <v>43</v>
      </c>
      <c r="O27" s="21"/>
      <c r="P27" s="152"/>
      <c r="T27" s="21"/>
      <c r="U27" s="21"/>
    </row>
    <row r="28" spans="1:21" ht="15.6" customHeight="1" x14ac:dyDescent="0.3">
      <c r="A28" s="126" t="s">
        <v>670</v>
      </c>
      <c r="D28" s="71"/>
      <c r="N28" s="69" t="s">
        <v>40</v>
      </c>
      <c r="O28" s="21"/>
      <c r="P28" s="152"/>
      <c r="T28" s="21"/>
      <c r="U28" s="21"/>
    </row>
    <row r="29" spans="1:21" ht="15.6" customHeight="1" x14ac:dyDescent="0.3">
      <c r="A29" s="126" t="s">
        <v>672</v>
      </c>
      <c r="D29" s="71"/>
      <c r="N29" s="72"/>
      <c r="O29" s="67" t="s">
        <v>46</v>
      </c>
      <c r="P29" s="151">
        <v>5</v>
      </c>
      <c r="T29" s="21"/>
      <c r="U29" s="21"/>
    </row>
    <row r="30" spans="1:21" x14ac:dyDescent="0.3">
      <c r="T30" s="21"/>
      <c r="U30" s="21"/>
    </row>
    <row r="31" spans="1:21" ht="15.6" customHeight="1" x14ac:dyDescent="0.3">
      <c r="T31" s="21"/>
      <c r="U31" s="21"/>
    </row>
    <row r="32" spans="1:21" x14ac:dyDescent="0.3">
      <c r="A32" s="3" t="s">
        <v>151</v>
      </c>
      <c r="C32" s="92">
        <v>0.45</v>
      </c>
      <c r="E32" s="148" t="s">
        <v>154</v>
      </c>
      <c r="F32" s="5"/>
      <c r="J32" s="92">
        <v>0.92</v>
      </c>
      <c r="N32" s="22" t="s">
        <v>29</v>
      </c>
      <c r="O32" s="24"/>
      <c r="P32" s="24"/>
    </row>
    <row r="33" spans="1:27" x14ac:dyDescent="0.3">
      <c r="A33" s="3" t="s">
        <v>156</v>
      </c>
      <c r="C33" s="92">
        <v>0.4</v>
      </c>
      <c r="E33" s="148" t="s">
        <v>155</v>
      </c>
      <c r="F33" s="5"/>
      <c r="J33" s="92">
        <v>0.36</v>
      </c>
      <c r="N33" s="2" t="s">
        <v>53</v>
      </c>
    </row>
    <row r="34" spans="1:27" x14ac:dyDescent="0.3">
      <c r="A34" s="148" t="s">
        <v>152</v>
      </c>
      <c r="B34" s="89"/>
      <c r="C34" s="92">
        <v>0.45</v>
      </c>
      <c r="E34" s="148" t="s">
        <v>157</v>
      </c>
      <c r="F34" s="5"/>
      <c r="J34" s="92">
        <v>0.8</v>
      </c>
      <c r="N34" s="2" t="s">
        <v>149</v>
      </c>
    </row>
    <row r="35" spans="1:27" x14ac:dyDescent="0.3">
      <c r="A35" s="148" t="s">
        <v>153</v>
      </c>
      <c r="B35" s="5"/>
      <c r="C35" s="92">
        <v>0.45</v>
      </c>
      <c r="E35" s="93" t="s">
        <v>158</v>
      </c>
      <c r="N35" s="2" t="s">
        <v>150</v>
      </c>
    </row>
    <row r="39" spans="1:27" x14ac:dyDescent="0.3">
      <c r="AA39"/>
    </row>
    <row r="40" spans="1:27" x14ac:dyDescent="0.3">
      <c r="L40" s="73" t="s">
        <v>194</v>
      </c>
    </row>
    <row r="41" spans="1:27" ht="15.6" x14ac:dyDescent="0.3">
      <c r="A41" s="162" t="s">
        <v>15</v>
      </c>
      <c r="B41" s="19" t="s">
        <v>19</v>
      </c>
      <c r="C41" s="26" t="s">
        <v>20</v>
      </c>
      <c r="D41" s="4">
        <v>8</v>
      </c>
      <c r="E41" s="26">
        <f>D41-1</f>
        <v>7</v>
      </c>
      <c r="F41" s="4">
        <f t="shared" ref="F41:L41" si="2">E41-1</f>
        <v>6</v>
      </c>
      <c r="G41" s="26">
        <f t="shared" si="2"/>
        <v>5</v>
      </c>
      <c r="H41" s="4">
        <f t="shared" si="2"/>
        <v>4</v>
      </c>
      <c r="I41" s="26">
        <f t="shared" si="2"/>
        <v>3</v>
      </c>
      <c r="J41" s="4">
        <f t="shared" si="2"/>
        <v>2</v>
      </c>
      <c r="K41" s="26">
        <f t="shared" si="2"/>
        <v>1</v>
      </c>
      <c r="L41" s="4">
        <f t="shared" si="2"/>
        <v>0</v>
      </c>
      <c r="M41" s="215" t="s">
        <v>26</v>
      </c>
      <c r="N41" s="215"/>
      <c r="O41" s="22" t="s">
        <v>27</v>
      </c>
      <c r="P41" s="24"/>
    </row>
    <row r="42" spans="1:27" ht="18" x14ac:dyDescent="0.3">
      <c r="A42" s="93" t="s">
        <v>142</v>
      </c>
      <c r="B42" s="1" t="s">
        <v>23</v>
      </c>
      <c r="C42" s="74">
        <v>8</v>
      </c>
      <c r="D42" s="75">
        <f>C42+1</f>
        <v>9</v>
      </c>
      <c r="E42" s="74">
        <f t="shared" ref="E42:L42" si="3">D42+1</f>
        <v>10</v>
      </c>
      <c r="F42" s="75">
        <f t="shared" si="3"/>
        <v>11</v>
      </c>
      <c r="G42" s="74">
        <f t="shared" si="3"/>
        <v>12</v>
      </c>
      <c r="H42" s="75">
        <f t="shared" si="3"/>
        <v>13</v>
      </c>
      <c r="I42" s="74">
        <f t="shared" si="3"/>
        <v>14</v>
      </c>
      <c r="J42" s="75">
        <f t="shared" si="3"/>
        <v>15</v>
      </c>
      <c r="K42" s="74">
        <f t="shared" si="3"/>
        <v>16</v>
      </c>
      <c r="L42" s="75">
        <f t="shared" si="3"/>
        <v>17</v>
      </c>
      <c r="M42" s="199" t="s">
        <v>81</v>
      </c>
      <c r="N42" s="199"/>
    </row>
    <row r="43" spans="1:27" ht="18" x14ac:dyDescent="0.3">
      <c r="A43" s="93" t="s">
        <v>24</v>
      </c>
      <c r="B43" s="1" t="s">
        <v>23</v>
      </c>
      <c r="C43" s="74">
        <v>8</v>
      </c>
      <c r="D43" s="75">
        <f t="shared" ref="D43:L44" si="4">C43+1</f>
        <v>9</v>
      </c>
      <c r="E43" s="74">
        <f t="shared" si="4"/>
        <v>10</v>
      </c>
      <c r="F43" s="75">
        <f t="shared" si="4"/>
        <v>11</v>
      </c>
      <c r="G43" s="74">
        <f t="shared" si="4"/>
        <v>12</v>
      </c>
      <c r="H43" s="75">
        <f t="shared" si="4"/>
        <v>13</v>
      </c>
      <c r="I43" s="74">
        <f t="shared" si="4"/>
        <v>14</v>
      </c>
      <c r="J43" s="75">
        <f t="shared" si="4"/>
        <v>15</v>
      </c>
      <c r="K43" s="74">
        <f t="shared" si="4"/>
        <v>16</v>
      </c>
      <c r="L43" s="75">
        <f t="shared" si="4"/>
        <v>17</v>
      </c>
      <c r="M43" s="200" t="s">
        <v>83</v>
      </c>
      <c r="N43" s="200"/>
      <c r="O43" s="3" t="s">
        <v>114</v>
      </c>
    </row>
    <row r="44" spans="1:27" ht="18" x14ac:dyDescent="0.3">
      <c r="A44" s="93" t="s">
        <v>143</v>
      </c>
      <c r="B44" s="1" t="s">
        <v>144</v>
      </c>
      <c r="C44" s="74">
        <v>6</v>
      </c>
      <c r="D44" s="75">
        <f t="shared" si="4"/>
        <v>7</v>
      </c>
      <c r="E44" s="74">
        <f t="shared" si="4"/>
        <v>8</v>
      </c>
      <c r="F44" s="75">
        <f t="shared" si="4"/>
        <v>9</v>
      </c>
      <c r="G44" s="74">
        <f t="shared" si="4"/>
        <v>10</v>
      </c>
      <c r="H44" s="75">
        <f t="shared" si="4"/>
        <v>11</v>
      </c>
      <c r="I44" s="74">
        <f t="shared" si="4"/>
        <v>12</v>
      </c>
      <c r="J44" s="75">
        <f t="shared" si="4"/>
        <v>13</v>
      </c>
      <c r="K44" s="74">
        <f t="shared" si="4"/>
        <v>14</v>
      </c>
      <c r="L44" s="75">
        <f t="shared" si="4"/>
        <v>15</v>
      </c>
      <c r="M44" s="200" t="s">
        <v>28</v>
      </c>
      <c r="N44" s="200"/>
      <c r="O44" s="3" t="s">
        <v>115</v>
      </c>
    </row>
  </sheetData>
  <mergeCells count="19">
    <mergeCell ref="A14:B16"/>
    <mergeCell ref="C9:I9"/>
    <mergeCell ref="M9:O9"/>
    <mergeCell ref="C10:I10"/>
    <mergeCell ref="M10:O10"/>
    <mergeCell ref="C11:I11"/>
    <mergeCell ref="M11:P11"/>
    <mergeCell ref="L16:L18"/>
    <mergeCell ref="C6:I6"/>
    <mergeCell ref="M6:O6"/>
    <mergeCell ref="C7:I7"/>
    <mergeCell ref="M7:O7"/>
    <mergeCell ref="C8:I8"/>
    <mergeCell ref="M8:O8"/>
    <mergeCell ref="N20:P20"/>
    <mergeCell ref="M41:N41"/>
    <mergeCell ref="M42:N42"/>
    <mergeCell ref="M43:N43"/>
    <mergeCell ref="M44:N44"/>
  </mergeCells>
  <printOptions horizontalCentered="1" verticalCentered="1"/>
  <pageMargins left="0" right="0" top="0" bottom="0" header="0" footer="0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F569-67F6-478B-ACB3-F829E25BE878}">
  <dimension ref="A1:U50"/>
  <sheetViews>
    <sheetView topLeftCell="A24" zoomScale="120" zoomScaleNormal="120" workbookViewId="0">
      <selection activeCell="L40" sqref="L40"/>
    </sheetView>
  </sheetViews>
  <sheetFormatPr defaultRowHeight="14.4" x14ac:dyDescent="0.3"/>
  <cols>
    <col min="1" max="1" width="5.88671875" customWidth="1"/>
    <col min="2" max="2" width="5.88671875" style="5" customWidth="1"/>
    <col min="3" max="17" width="5.88671875" customWidth="1"/>
    <col min="18" max="21" width="5.5546875" customWidth="1"/>
  </cols>
  <sheetData>
    <row r="1" spans="1:21" s="2" customFormat="1" ht="17.399999999999999" customHeight="1" x14ac:dyDescent="0.3">
      <c r="A1" s="2" t="s">
        <v>212</v>
      </c>
      <c r="B1" s="1"/>
      <c r="C1" s="143">
        <f>Thief!F4</f>
        <v>20</v>
      </c>
      <c r="E1" s="2" t="s">
        <v>211</v>
      </c>
      <c r="G1" s="143" t="str">
        <f>Thief!G4</f>
        <v>+6</v>
      </c>
      <c r="I1" s="2" t="s">
        <v>214</v>
      </c>
      <c r="K1" s="143"/>
      <c r="M1" s="2" t="s">
        <v>213</v>
      </c>
      <c r="O1" s="146">
        <f>Thief!P22+Thief!P29</f>
        <v>14</v>
      </c>
      <c r="P1" s="16"/>
      <c r="Q1" s="17"/>
    </row>
    <row r="2" spans="1:21" ht="17.399999999999999" customHeight="1" x14ac:dyDescent="0.3">
      <c r="A2" s="82" t="s">
        <v>45</v>
      </c>
      <c r="B2" s="76"/>
      <c r="C2" s="76"/>
      <c r="D2" s="76"/>
      <c r="E2" s="76"/>
      <c r="F2" s="76"/>
      <c r="G2" s="76"/>
      <c r="H2" s="34" t="s">
        <v>44</v>
      </c>
      <c r="I2" s="34" t="s">
        <v>46</v>
      </c>
      <c r="J2" s="208" t="s">
        <v>359</v>
      </c>
      <c r="K2" s="208"/>
      <c r="L2" s="208"/>
      <c r="M2" s="208"/>
      <c r="N2" s="208"/>
      <c r="O2" s="208"/>
      <c r="P2" s="209"/>
      <c r="Q2" s="208"/>
      <c r="R2" s="6"/>
      <c r="S2" s="6"/>
      <c r="T2" s="6"/>
      <c r="U2" s="6"/>
    </row>
    <row r="3" spans="1:21" ht="17.399999999999999" customHeight="1" x14ac:dyDescent="0.3">
      <c r="A3" s="59">
        <v>1</v>
      </c>
      <c r="B3" s="2"/>
      <c r="C3" s="2"/>
      <c r="D3" s="2"/>
      <c r="E3" s="1"/>
      <c r="F3" s="2"/>
      <c r="G3" s="2"/>
      <c r="H3" s="9"/>
      <c r="I3" s="10"/>
      <c r="J3" s="143" t="s">
        <v>9</v>
      </c>
      <c r="K3" s="107"/>
      <c r="L3" s="107"/>
      <c r="M3" s="107"/>
      <c r="N3" s="107"/>
      <c r="O3" s="107"/>
      <c r="P3" s="107"/>
      <c r="Q3" s="107"/>
    </row>
    <row r="4" spans="1:21" ht="17.399999999999999" customHeight="1" x14ac:dyDescent="0.3">
      <c r="A4" s="83">
        <f>A3+1</f>
        <v>2</v>
      </c>
      <c r="B4" s="77"/>
      <c r="C4" s="77"/>
      <c r="D4" s="77"/>
      <c r="E4" s="77"/>
      <c r="F4" s="77"/>
      <c r="G4" s="77"/>
      <c r="H4" s="11"/>
      <c r="I4" s="11"/>
      <c r="J4" s="165"/>
      <c r="K4" s="107"/>
      <c r="L4" s="107"/>
      <c r="M4" s="107"/>
      <c r="N4" s="107"/>
      <c r="O4" s="107"/>
      <c r="P4" s="107"/>
      <c r="Q4" s="107"/>
    </row>
    <row r="5" spans="1:21" ht="17.399999999999999" customHeight="1" x14ac:dyDescent="0.3">
      <c r="A5" s="59">
        <f>A4+1</f>
        <v>3</v>
      </c>
      <c r="B5" s="2"/>
      <c r="C5" s="2"/>
      <c r="D5" s="2"/>
      <c r="E5" s="1"/>
      <c r="F5" s="2"/>
      <c r="G5" s="2"/>
      <c r="H5" s="10"/>
      <c r="I5" s="10"/>
      <c r="J5" s="165"/>
      <c r="K5" s="107"/>
      <c r="L5" s="107"/>
      <c r="M5" s="107"/>
      <c r="N5" s="107"/>
      <c r="O5" s="107"/>
      <c r="P5" s="107"/>
      <c r="Q5" s="107"/>
    </row>
    <row r="6" spans="1:21" ht="17.399999999999999" customHeight="1" x14ac:dyDescent="0.3">
      <c r="A6" s="83">
        <f t="shared" ref="A6:A22" si="0">A5+1</f>
        <v>4</v>
      </c>
      <c r="B6" s="77"/>
      <c r="C6" s="77"/>
      <c r="D6" s="77"/>
      <c r="E6" s="77"/>
      <c r="F6" s="77"/>
      <c r="G6" s="77"/>
      <c r="H6" s="11"/>
      <c r="I6" s="11"/>
      <c r="J6" s="166" t="s">
        <v>335</v>
      </c>
      <c r="K6" s="14"/>
      <c r="L6" s="14"/>
      <c r="M6" s="14"/>
      <c r="N6" s="14"/>
      <c r="O6" s="14"/>
      <c r="P6" s="14"/>
      <c r="Q6" s="14"/>
    </row>
    <row r="7" spans="1:21" ht="17.399999999999999" customHeight="1" x14ac:dyDescent="0.3">
      <c r="A7" s="59">
        <f t="shared" si="0"/>
        <v>5</v>
      </c>
      <c r="B7" s="2"/>
      <c r="C7" s="2"/>
      <c r="D7" s="2"/>
      <c r="E7" s="1"/>
      <c r="F7" s="2"/>
      <c r="G7" s="2"/>
      <c r="H7" s="10"/>
      <c r="I7" s="10"/>
      <c r="J7" s="167" t="s">
        <v>353</v>
      </c>
      <c r="K7" s="114" t="s">
        <v>347</v>
      </c>
      <c r="L7" s="114" t="s">
        <v>348</v>
      </c>
      <c r="M7" s="114" t="s">
        <v>349</v>
      </c>
      <c r="N7" s="114" t="s">
        <v>350</v>
      </c>
      <c r="O7" s="114" t="s">
        <v>351</v>
      </c>
      <c r="P7" s="114"/>
      <c r="Q7" s="114"/>
    </row>
    <row r="8" spans="1:21" ht="17.399999999999999" customHeight="1" x14ac:dyDescent="0.3">
      <c r="A8" s="83">
        <f t="shared" si="0"/>
        <v>6</v>
      </c>
      <c r="B8" s="77"/>
      <c r="C8" s="77"/>
      <c r="D8" s="77"/>
      <c r="E8" s="77"/>
      <c r="F8" s="77"/>
      <c r="G8" s="77"/>
      <c r="H8" s="11"/>
      <c r="I8" s="11"/>
      <c r="J8" s="168" t="s">
        <v>8</v>
      </c>
      <c r="K8" s="14"/>
      <c r="L8" s="14"/>
      <c r="M8" s="14"/>
      <c r="N8" s="14"/>
      <c r="O8" s="14"/>
      <c r="P8" s="14"/>
      <c r="Q8" s="14"/>
    </row>
    <row r="9" spans="1:21" ht="17.399999999999999" customHeight="1" x14ac:dyDescent="0.3">
      <c r="A9" s="59">
        <f t="shared" si="0"/>
        <v>7</v>
      </c>
      <c r="B9" s="2"/>
      <c r="C9" s="2"/>
      <c r="D9" s="2"/>
      <c r="E9" s="1"/>
      <c r="F9" s="2"/>
      <c r="G9" s="2"/>
      <c r="H9" s="10"/>
      <c r="I9" s="10"/>
      <c r="J9" s="168" t="s">
        <v>336</v>
      </c>
      <c r="K9" s="14"/>
      <c r="L9" s="14"/>
      <c r="M9" s="14"/>
      <c r="N9" s="14"/>
      <c r="O9" s="14"/>
      <c r="P9" s="14"/>
      <c r="Q9" s="14"/>
    </row>
    <row r="10" spans="1:21" ht="17.399999999999999" customHeight="1" x14ac:dyDescent="0.3">
      <c r="A10" s="83">
        <f t="shared" si="0"/>
        <v>8</v>
      </c>
      <c r="B10" s="77"/>
      <c r="C10" s="77"/>
      <c r="D10" s="77"/>
      <c r="E10" s="77"/>
      <c r="F10" s="77"/>
      <c r="G10" s="77"/>
      <c r="H10" s="11"/>
      <c r="I10" s="11"/>
      <c r="J10" s="168" t="s">
        <v>337</v>
      </c>
      <c r="K10" s="14"/>
      <c r="L10" s="14"/>
      <c r="M10" s="14"/>
      <c r="N10" s="14"/>
      <c r="O10" s="14"/>
      <c r="P10" s="14"/>
      <c r="Q10" s="14"/>
    </row>
    <row r="11" spans="1:21" ht="17.399999999999999" customHeight="1" x14ac:dyDescent="0.3">
      <c r="A11" s="59">
        <f t="shared" si="0"/>
        <v>9</v>
      </c>
      <c r="B11" s="2"/>
      <c r="C11" s="2"/>
      <c r="D11" s="2"/>
      <c r="E11" s="1"/>
      <c r="F11" s="2"/>
      <c r="G11" s="2"/>
      <c r="H11" s="10"/>
      <c r="I11" s="10"/>
      <c r="J11" s="168" t="s">
        <v>338</v>
      </c>
      <c r="K11" s="14"/>
      <c r="L11" s="14"/>
      <c r="M11" s="14"/>
      <c r="N11" s="14"/>
      <c r="O11" s="14"/>
      <c r="P11" s="14"/>
      <c r="Q11" s="14"/>
    </row>
    <row r="12" spans="1:21" ht="17.399999999999999" customHeight="1" x14ac:dyDescent="0.3">
      <c r="A12" s="83">
        <f t="shared" si="0"/>
        <v>10</v>
      </c>
      <c r="B12" s="77"/>
      <c r="C12" s="77"/>
      <c r="D12" s="77"/>
      <c r="E12" s="77"/>
      <c r="F12" s="77"/>
      <c r="G12" s="77"/>
      <c r="H12" s="11"/>
      <c r="I12" s="11"/>
      <c r="J12" s="168" t="s">
        <v>340</v>
      </c>
      <c r="K12" s="14"/>
      <c r="L12" s="14"/>
      <c r="M12" s="14"/>
      <c r="N12" s="14"/>
      <c r="O12" s="14"/>
      <c r="P12" s="14"/>
      <c r="Q12" s="14"/>
    </row>
    <row r="13" spans="1:21" ht="17.399999999999999" customHeight="1" x14ac:dyDescent="0.3">
      <c r="A13" s="59">
        <f t="shared" si="0"/>
        <v>11</v>
      </c>
      <c r="B13" s="2"/>
      <c r="C13" s="2"/>
      <c r="D13" s="2"/>
      <c r="E13" s="1"/>
      <c r="F13" s="2"/>
      <c r="G13" s="2"/>
      <c r="H13" s="10"/>
      <c r="I13" s="10"/>
      <c r="J13" s="168" t="s">
        <v>339</v>
      </c>
      <c r="K13" s="14"/>
      <c r="L13" s="14"/>
      <c r="M13" s="14"/>
      <c r="N13" s="14"/>
      <c r="O13" s="14"/>
      <c r="P13" s="14"/>
      <c r="Q13" s="14"/>
    </row>
    <row r="14" spans="1:21" ht="17.399999999999999" customHeight="1" x14ac:dyDescent="0.3">
      <c r="A14" s="83">
        <f t="shared" si="0"/>
        <v>12</v>
      </c>
      <c r="B14" s="77"/>
      <c r="C14" s="77"/>
      <c r="D14" s="77"/>
      <c r="E14" s="77"/>
      <c r="F14" s="77"/>
      <c r="G14" s="77"/>
      <c r="H14" s="11"/>
      <c r="I14" s="11"/>
      <c r="J14" s="174" t="s">
        <v>358</v>
      </c>
      <c r="K14" s="171"/>
      <c r="L14" s="171"/>
      <c r="M14" s="171"/>
      <c r="N14" s="171"/>
      <c r="O14" s="171"/>
      <c r="P14" s="171"/>
      <c r="Q14" s="172"/>
    </row>
    <row r="15" spans="1:21" ht="17.399999999999999" customHeight="1" x14ac:dyDescent="0.3">
      <c r="A15" s="59">
        <f t="shared" si="0"/>
        <v>13</v>
      </c>
      <c r="B15" s="2"/>
      <c r="C15" s="2"/>
      <c r="D15" s="2"/>
      <c r="E15" s="1"/>
      <c r="F15" s="2"/>
      <c r="G15" s="2"/>
      <c r="H15" s="10"/>
      <c r="I15" s="10"/>
      <c r="J15" s="175" t="s">
        <v>352</v>
      </c>
      <c r="K15" s="2"/>
      <c r="L15" s="2"/>
      <c r="M15" s="2"/>
      <c r="N15" s="2"/>
      <c r="O15" s="2"/>
      <c r="P15" s="2"/>
      <c r="Q15" s="115"/>
      <c r="S15" s="124"/>
    </row>
    <row r="16" spans="1:21" ht="17.399999999999999" customHeight="1" x14ac:dyDescent="0.3">
      <c r="A16" s="83">
        <f t="shared" si="0"/>
        <v>14</v>
      </c>
      <c r="B16" s="77"/>
      <c r="C16" s="77"/>
      <c r="D16" s="77"/>
      <c r="E16" s="77"/>
      <c r="F16" s="77"/>
      <c r="G16" s="77"/>
      <c r="H16" s="11"/>
      <c r="I16" s="11"/>
      <c r="J16" s="175" t="s">
        <v>220</v>
      </c>
      <c r="K16" s="2"/>
      <c r="L16" s="2"/>
      <c r="M16" s="2"/>
      <c r="N16" s="2"/>
      <c r="O16" s="2"/>
      <c r="P16" s="2"/>
      <c r="Q16" s="115"/>
      <c r="S16" s="125"/>
    </row>
    <row r="17" spans="1:21" ht="17.399999999999999" customHeight="1" x14ac:dyDescent="0.3">
      <c r="A17" s="59">
        <f t="shared" si="0"/>
        <v>15</v>
      </c>
      <c r="B17" s="2"/>
      <c r="C17" s="2"/>
      <c r="D17" s="2"/>
      <c r="E17" s="1"/>
      <c r="F17" s="2"/>
      <c r="G17" s="2"/>
      <c r="H17" s="10"/>
      <c r="I17" s="10"/>
      <c r="J17" s="175" t="s">
        <v>334</v>
      </c>
      <c r="K17" s="2"/>
      <c r="L17" s="2"/>
      <c r="M17" s="2"/>
      <c r="N17" s="2"/>
      <c r="O17" s="2"/>
      <c r="P17" s="2"/>
      <c r="Q17" s="115"/>
      <c r="S17" s="125"/>
    </row>
    <row r="18" spans="1:21" ht="17.399999999999999" customHeight="1" x14ac:dyDescent="0.3">
      <c r="A18" s="83">
        <f t="shared" si="0"/>
        <v>16</v>
      </c>
      <c r="B18" s="77"/>
      <c r="C18" s="77"/>
      <c r="D18" s="77"/>
      <c r="E18" s="77"/>
      <c r="F18" s="77"/>
      <c r="G18" s="77"/>
      <c r="H18" s="11"/>
      <c r="I18" s="11"/>
      <c r="J18" s="175" t="s">
        <v>219</v>
      </c>
      <c r="K18" s="2"/>
      <c r="L18" s="2"/>
      <c r="M18" s="2"/>
      <c r="N18" s="2"/>
      <c r="O18" s="2"/>
      <c r="P18" s="2"/>
      <c r="Q18" s="115"/>
      <c r="S18" s="125"/>
    </row>
    <row r="19" spans="1:21" ht="17.399999999999999" customHeight="1" x14ac:dyDescent="0.3">
      <c r="A19" s="59">
        <f t="shared" si="0"/>
        <v>17</v>
      </c>
      <c r="B19" s="2"/>
      <c r="C19" s="2"/>
      <c r="D19" s="2"/>
      <c r="E19" s="1"/>
      <c r="F19" s="2"/>
      <c r="G19" s="2"/>
      <c r="H19" s="10"/>
      <c r="I19" s="10"/>
      <c r="J19" s="175" t="s">
        <v>217</v>
      </c>
      <c r="K19" s="2"/>
      <c r="L19" s="2"/>
      <c r="M19" s="2"/>
      <c r="N19" s="2"/>
      <c r="O19" s="2"/>
      <c r="P19" s="2"/>
      <c r="Q19" s="115"/>
      <c r="S19" s="125"/>
    </row>
    <row r="20" spans="1:21" ht="17.399999999999999" customHeight="1" x14ac:dyDescent="0.3">
      <c r="A20" s="84">
        <f t="shared" si="0"/>
        <v>18</v>
      </c>
      <c r="B20" s="78"/>
      <c r="C20" s="77"/>
      <c r="D20" s="77"/>
      <c r="E20" s="77"/>
      <c r="F20" s="77"/>
      <c r="G20" s="77"/>
      <c r="H20" s="11"/>
      <c r="I20" s="11"/>
      <c r="J20" s="175" t="s">
        <v>356</v>
      </c>
      <c r="K20" s="2"/>
      <c r="L20" s="2"/>
      <c r="M20" s="2"/>
      <c r="N20" s="2"/>
      <c r="O20" s="2"/>
      <c r="P20" s="2"/>
      <c r="Q20" s="115"/>
      <c r="S20" s="125" t="s">
        <v>354</v>
      </c>
    </row>
    <row r="21" spans="1:21" ht="17.399999999999999" customHeight="1" x14ac:dyDescent="0.3">
      <c r="A21" s="35">
        <f t="shared" si="0"/>
        <v>19</v>
      </c>
      <c r="B21" s="2"/>
      <c r="C21" s="2"/>
      <c r="D21" s="2"/>
      <c r="E21" s="1"/>
      <c r="F21" s="2"/>
      <c r="G21" s="2"/>
      <c r="H21" s="10"/>
      <c r="I21" s="10"/>
      <c r="J21" s="175" t="s">
        <v>355</v>
      </c>
      <c r="K21" s="2"/>
      <c r="L21" s="2"/>
      <c r="M21" s="2"/>
      <c r="N21" s="2"/>
      <c r="O21" s="2"/>
      <c r="P21" s="2"/>
      <c r="Q21" s="115"/>
      <c r="S21" s="125" t="s">
        <v>354</v>
      </c>
    </row>
    <row r="22" spans="1:21" ht="17.399999999999999" customHeight="1" x14ac:dyDescent="0.3">
      <c r="A22" s="84">
        <f t="shared" si="0"/>
        <v>20</v>
      </c>
      <c r="B22" s="77"/>
      <c r="C22" s="8"/>
      <c r="D22" s="8"/>
      <c r="E22" s="8"/>
      <c r="F22" s="8"/>
      <c r="G22" s="8"/>
      <c r="H22" s="12"/>
      <c r="I22" s="12"/>
      <c r="J22" s="176" t="s">
        <v>218</v>
      </c>
      <c r="K22" s="24"/>
      <c r="L22" s="24"/>
      <c r="M22" s="24"/>
      <c r="N22" s="24"/>
      <c r="O22" s="24"/>
      <c r="P22" s="24"/>
      <c r="Q22" s="173"/>
      <c r="S22" s="126" t="s">
        <v>354</v>
      </c>
    </row>
    <row r="23" spans="1:21" ht="14.4" customHeight="1" thickBot="1" x14ac:dyDescent="0.35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27" t="s">
        <v>357</v>
      </c>
    </row>
    <row r="24" spans="1:21" ht="17.399999999999999" customHeight="1" x14ac:dyDescent="0.3">
      <c r="A24" s="210" t="s">
        <v>194</v>
      </c>
      <c r="B24" s="211"/>
      <c r="C24" s="81" t="s">
        <v>8</v>
      </c>
      <c r="D24" s="81" t="s">
        <v>8</v>
      </c>
      <c r="E24" s="81" t="s">
        <v>8</v>
      </c>
      <c r="F24" s="81" t="s">
        <v>8</v>
      </c>
      <c r="G24" s="81" t="s">
        <v>8</v>
      </c>
      <c r="H24" s="81" t="s">
        <v>8</v>
      </c>
      <c r="I24" s="81" t="s">
        <v>8</v>
      </c>
      <c r="J24" s="81" t="s">
        <v>8</v>
      </c>
      <c r="K24" s="81" t="s">
        <v>8</v>
      </c>
      <c r="L24" s="81" t="s">
        <v>8</v>
      </c>
      <c r="M24" s="81" t="s">
        <v>8</v>
      </c>
      <c r="N24" s="81" t="s">
        <v>8</v>
      </c>
      <c r="O24" s="81" t="s">
        <v>8</v>
      </c>
      <c r="P24" s="81" t="s">
        <v>8</v>
      </c>
      <c r="Q24" s="81" t="s">
        <v>8</v>
      </c>
    </row>
    <row r="25" spans="1:21" ht="17.399999999999999" customHeight="1" x14ac:dyDescent="0.3">
      <c r="A25" s="85"/>
      <c r="B25" s="86"/>
      <c r="C25" s="7">
        <v>-3</v>
      </c>
      <c r="D25" s="7">
        <f t="shared" ref="D25:Q25" si="1">C25+1</f>
        <v>-2</v>
      </c>
      <c r="E25" s="7">
        <f t="shared" si="1"/>
        <v>-1</v>
      </c>
      <c r="F25" s="7">
        <f t="shared" si="1"/>
        <v>0</v>
      </c>
      <c r="G25" s="7">
        <f t="shared" si="1"/>
        <v>1</v>
      </c>
      <c r="H25" s="7">
        <f t="shared" si="1"/>
        <v>2</v>
      </c>
      <c r="I25" s="7">
        <f t="shared" si="1"/>
        <v>3</v>
      </c>
      <c r="J25" s="7">
        <f t="shared" si="1"/>
        <v>4</v>
      </c>
      <c r="K25" s="7">
        <f t="shared" si="1"/>
        <v>5</v>
      </c>
      <c r="L25" s="7">
        <f t="shared" si="1"/>
        <v>6</v>
      </c>
      <c r="M25" s="7">
        <f t="shared" si="1"/>
        <v>7</v>
      </c>
      <c r="N25" s="7">
        <f t="shared" si="1"/>
        <v>8</v>
      </c>
      <c r="O25" s="7">
        <f t="shared" si="1"/>
        <v>9</v>
      </c>
      <c r="P25" s="7">
        <f t="shared" si="1"/>
        <v>10</v>
      </c>
      <c r="Q25" s="7">
        <f t="shared" si="1"/>
        <v>11</v>
      </c>
      <c r="R25" s="1"/>
      <c r="S25" s="1"/>
      <c r="T25" s="1"/>
      <c r="U25" s="1"/>
    </row>
    <row r="26" spans="1:21" ht="14.4" customHeight="1" x14ac:dyDescent="0.3">
      <c r="A26" s="212">
        <v>19</v>
      </c>
      <c r="B26" s="213"/>
      <c r="C26" s="79">
        <f>$A26-C$25</f>
        <v>22</v>
      </c>
      <c r="D26" s="79">
        <f t="shared" ref="D26:Q26" si="2">$A26-D$25</f>
        <v>21</v>
      </c>
      <c r="E26" s="79">
        <f t="shared" si="2"/>
        <v>20</v>
      </c>
      <c r="F26" s="79">
        <f t="shared" si="2"/>
        <v>19</v>
      </c>
      <c r="G26" s="79">
        <f t="shared" si="2"/>
        <v>18</v>
      </c>
      <c r="H26" s="79">
        <f t="shared" si="2"/>
        <v>17</v>
      </c>
      <c r="I26" s="79">
        <f t="shared" si="2"/>
        <v>16</v>
      </c>
      <c r="J26" s="79">
        <f t="shared" si="2"/>
        <v>15</v>
      </c>
      <c r="K26" s="79">
        <f t="shared" si="2"/>
        <v>14</v>
      </c>
      <c r="L26" s="79">
        <f t="shared" si="2"/>
        <v>13</v>
      </c>
      <c r="M26" s="79">
        <f t="shared" si="2"/>
        <v>12</v>
      </c>
      <c r="N26" s="79">
        <f t="shared" si="2"/>
        <v>11</v>
      </c>
      <c r="O26" s="79">
        <f t="shared" si="2"/>
        <v>10</v>
      </c>
      <c r="P26" s="79">
        <f t="shared" si="2"/>
        <v>9</v>
      </c>
      <c r="Q26" s="79">
        <f t="shared" si="2"/>
        <v>8</v>
      </c>
    </row>
    <row r="27" spans="1:21" ht="14.4" customHeight="1" x14ac:dyDescent="0.3">
      <c r="A27" s="214">
        <v>18</v>
      </c>
      <c r="B27" s="207"/>
      <c r="C27" s="80">
        <f t="shared" ref="C27:Q34" si="3">$A27-C$25</f>
        <v>21</v>
      </c>
      <c r="D27" s="80">
        <f t="shared" si="3"/>
        <v>20</v>
      </c>
      <c r="E27" s="80">
        <f t="shared" si="3"/>
        <v>19</v>
      </c>
      <c r="F27" s="80">
        <f t="shared" si="3"/>
        <v>18</v>
      </c>
      <c r="G27" s="80">
        <f t="shared" si="3"/>
        <v>17</v>
      </c>
      <c r="H27" s="80">
        <f t="shared" si="3"/>
        <v>16</v>
      </c>
      <c r="I27" s="80">
        <f t="shared" si="3"/>
        <v>15</v>
      </c>
      <c r="J27" s="80">
        <f t="shared" si="3"/>
        <v>14</v>
      </c>
      <c r="K27" s="80">
        <f t="shared" si="3"/>
        <v>13</v>
      </c>
      <c r="L27" s="80">
        <f t="shared" si="3"/>
        <v>12</v>
      </c>
      <c r="M27" s="80">
        <f t="shared" si="3"/>
        <v>11</v>
      </c>
      <c r="N27" s="80">
        <f t="shared" si="3"/>
        <v>10</v>
      </c>
      <c r="O27" s="80">
        <f t="shared" si="3"/>
        <v>9</v>
      </c>
      <c r="P27" s="80">
        <f t="shared" si="3"/>
        <v>8</v>
      </c>
      <c r="Q27" s="80">
        <f t="shared" si="3"/>
        <v>7</v>
      </c>
    </row>
    <row r="28" spans="1:21" ht="14.4" customHeight="1" x14ac:dyDescent="0.3">
      <c r="A28" s="213">
        <v>17</v>
      </c>
      <c r="B28" s="213"/>
      <c r="C28" s="79">
        <f t="shared" si="3"/>
        <v>20</v>
      </c>
      <c r="D28" s="79">
        <f t="shared" si="3"/>
        <v>19</v>
      </c>
      <c r="E28" s="79">
        <f t="shared" si="3"/>
        <v>18</v>
      </c>
      <c r="F28" s="79">
        <f t="shared" si="3"/>
        <v>17</v>
      </c>
      <c r="G28" s="79">
        <f t="shared" si="3"/>
        <v>16</v>
      </c>
      <c r="H28" s="79">
        <f t="shared" si="3"/>
        <v>15</v>
      </c>
      <c r="I28" s="79">
        <f t="shared" si="3"/>
        <v>14</v>
      </c>
      <c r="J28" s="79">
        <f t="shared" si="3"/>
        <v>13</v>
      </c>
      <c r="K28" s="79">
        <f t="shared" si="3"/>
        <v>12</v>
      </c>
      <c r="L28" s="79">
        <f t="shared" si="3"/>
        <v>11</v>
      </c>
      <c r="M28" s="79">
        <f t="shared" si="3"/>
        <v>10</v>
      </c>
      <c r="N28" s="79">
        <f t="shared" si="3"/>
        <v>9</v>
      </c>
      <c r="O28" s="79">
        <f t="shared" si="3"/>
        <v>8</v>
      </c>
      <c r="P28" s="79">
        <f t="shared" si="3"/>
        <v>7</v>
      </c>
      <c r="Q28" s="79">
        <f t="shared" si="3"/>
        <v>6</v>
      </c>
    </row>
    <row r="29" spans="1:21" ht="14.4" customHeight="1" x14ac:dyDescent="0.3">
      <c r="A29" s="207">
        <v>16</v>
      </c>
      <c r="B29" s="207"/>
      <c r="C29" s="80">
        <f t="shared" si="3"/>
        <v>19</v>
      </c>
      <c r="D29" s="80">
        <f t="shared" si="3"/>
        <v>18</v>
      </c>
      <c r="E29" s="80">
        <f t="shared" si="3"/>
        <v>17</v>
      </c>
      <c r="F29" s="80">
        <f t="shared" si="3"/>
        <v>16</v>
      </c>
      <c r="G29" s="80">
        <f t="shared" si="3"/>
        <v>15</v>
      </c>
      <c r="H29" s="80">
        <f t="shared" si="3"/>
        <v>14</v>
      </c>
      <c r="I29" s="80">
        <f t="shared" si="3"/>
        <v>13</v>
      </c>
      <c r="J29" s="80">
        <f t="shared" si="3"/>
        <v>12</v>
      </c>
      <c r="K29" s="80">
        <f t="shared" si="3"/>
        <v>11</v>
      </c>
      <c r="L29" s="80">
        <f t="shared" si="3"/>
        <v>10</v>
      </c>
      <c r="M29" s="80">
        <f t="shared" si="3"/>
        <v>9</v>
      </c>
      <c r="N29" s="80">
        <f t="shared" si="3"/>
        <v>8</v>
      </c>
      <c r="O29" s="80">
        <f t="shared" si="3"/>
        <v>7</v>
      </c>
      <c r="P29" s="80">
        <f t="shared" si="3"/>
        <v>6</v>
      </c>
      <c r="Q29" s="80">
        <f t="shared" si="3"/>
        <v>5</v>
      </c>
    </row>
    <row r="30" spans="1:21" ht="14.4" customHeight="1" x14ac:dyDescent="0.3">
      <c r="A30" s="213">
        <v>15</v>
      </c>
      <c r="B30" s="213"/>
      <c r="C30" s="79">
        <f t="shared" si="3"/>
        <v>18</v>
      </c>
      <c r="D30" s="79">
        <f t="shared" si="3"/>
        <v>17</v>
      </c>
      <c r="E30" s="79">
        <f t="shared" si="3"/>
        <v>16</v>
      </c>
      <c r="F30" s="79">
        <f t="shared" si="3"/>
        <v>15</v>
      </c>
      <c r="G30" s="79">
        <f t="shared" si="3"/>
        <v>14</v>
      </c>
      <c r="H30" s="79">
        <f t="shared" si="3"/>
        <v>13</v>
      </c>
      <c r="I30" s="79">
        <f t="shared" si="3"/>
        <v>12</v>
      </c>
      <c r="J30" s="79">
        <f t="shared" si="3"/>
        <v>11</v>
      </c>
      <c r="K30" s="79">
        <f t="shared" si="3"/>
        <v>10</v>
      </c>
      <c r="L30" s="79">
        <f t="shared" si="3"/>
        <v>9</v>
      </c>
      <c r="M30" s="79">
        <f t="shared" si="3"/>
        <v>8</v>
      </c>
      <c r="N30" s="79">
        <f t="shared" si="3"/>
        <v>7</v>
      </c>
      <c r="O30" s="79">
        <f t="shared" si="3"/>
        <v>6</v>
      </c>
      <c r="P30" s="79">
        <f t="shared" si="3"/>
        <v>5</v>
      </c>
      <c r="Q30" s="79">
        <f t="shared" si="3"/>
        <v>4</v>
      </c>
    </row>
    <row r="31" spans="1:21" ht="14.4" customHeight="1" x14ac:dyDescent="0.3">
      <c r="A31" s="207">
        <v>14</v>
      </c>
      <c r="B31" s="207"/>
      <c r="C31" s="80">
        <f t="shared" si="3"/>
        <v>17</v>
      </c>
      <c r="D31" s="80">
        <f t="shared" si="3"/>
        <v>16</v>
      </c>
      <c r="E31" s="80">
        <f t="shared" si="3"/>
        <v>15</v>
      </c>
      <c r="F31" s="80">
        <f t="shared" si="3"/>
        <v>14</v>
      </c>
      <c r="G31" s="80">
        <f t="shared" si="3"/>
        <v>13</v>
      </c>
      <c r="H31" s="80">
        <f t="shared" si="3"/>
        <v>12</v>
      </c>
      <c r="I31" s="80">
        <f t="shared" si="3"/>
        <v>11</v>
      </c>
      <c r="J31" s="80">
        <f t="shared" si="3"/>
        <v>10</v>
      </c>
      <c r="K31" s="80">
        <f t="shared" si="3"/>
        <v>9</v>
      </c>
      <c r="L31" s="80">
        <f t="shared" si="3"/>
        <v>8</v>
      </c>
      <c r="M31" s="80">
        <f t="shared" si="3"/>
        <v>7</v>
      </c>
      <c r="N31" s="80">
        <f t="shared" si="3"/>
        <v>6</v>
      </c>
      <c r="O31" s="80">
        <f t="shared" si="3"/>
        <v>5</v>
      </c>
      <c r="P31" s="80">
        <f t="shared" si="3"/>
        <v>4</v>
      </c>
      <c r="Q31" s="80">
        <f t="shared" si="3"/>
        <v>3</v>
      </c>
    </row>
    <row r="32" spans="1:21" ht="14.4" customHeight="1" x14ac:dyDescent="0.3">
      <c r="A32" s="213">
        <v>13</v>
      </c>
      <c r="B32" s="213"/>
      <c r="C32" s="79">
        <f t="shared" si="3"/>
        <v>16</v>
      </c>
      <c r="D32" s="79">
        <f t="shared" si="3"/>
        <v>15</v>
      </c>
      <c r="E32" s="79">
        <f t="shared" si="3"/>
        <v>14</v>
      </c>
      <c r="F32" s="79">
        <f t="shared" si="3"/>
        <v>13</v>
      </c>
      <c r="G32" s="79">
        <f t="shared" si="3"/>
        <v>12</v>
      </c>
      <c r="H32" s="79">
        <f t="shared" si="3"/>
        <v>11</v>
      </c>
      <c r="I32" s="79">
        <f t="shared" si="3"/>
        <v>10</v>
      </c>
      <c r="J32" s="79">
        <f t="shared" si="3"/>
        <v>9</v>
      </c>
      <c r="K32" s="79">
        <f t="shared" si="3"/>
        <v>8</v>
      </c>
      <c r="L32" s="79">
        <f t="shared" si="3"/>
        <v>7</v>
      </c>
      <c r="M32" s="79">
        <f t="shared" si="3"/>
        <v>6</v>
      </c>
      <c r="N32" s="79">
        <f t="shared" si="3"/>
        <v>5</v>
      </c>
      <c r="O32" s="79">
        <f t="shared" si="3"/>
        <v>4</v>
      </c>
      <c r="P32" s="79">
        <f t="shared" si="3"/>
        <v>3</v>
      </c>
      <c r="Q32" s="79">
        <f t="shared" si="3"/>
        <v>2</v>
      </c>
    </row>
    <row r="33" spans="1:17" ht="14.4" customHeight="1" x14ac:dyDescent="0.3">
      <c r="A33" s="207">
        <v>12</v>
      </c>
      <c r="B33" s="207"/>
      <c r="C33" s="80">
        <f t="shared" si="3"/>
        <v>15</v>
      </c>
      <c r="D33" s="80">
        <f t="shared" si="3"/>
        <v>14</v>
      </c>
      <c r="E33" s="80">
        <f t="shared" si="3"/>
        <v>13</v>
      </c>
      <c r="F33" s="80">
        <f t="shared" si="3"/>
        <v>12</v>
      </c>
      <c r="G33" s="80">
        <f t="shared" si="3"/>
        <v>11</v>
      </c>
      <c r="H33" s="80">
        <f t="shared" si="3"/>
        <v>10</v>
      </c>
      <c r="I33" s="80">
        <f t="shared" si="3"/>
        <v>9</v>
      </c>
      <c r="J33" s="80">
        <f t="shared" si="3"/>
        <v>8</v>
      </c>
      <c r="K33" s="80">
        <f t="shared" si="3"/>
        <v>7</v>
      </c>
      <c r="L33" s="80">
        <f t="shared" si="3"/>
        <v>6</v>
      </c>
      <c r="M33" s="80">
        <f t="shared" si="3"/>
        <v>5</v>
      </c>
      <c r="N33" s="80">
        <f t="shared" si="3"/>
        <v>4</v>
      </c>
      <c r="O33" s="80">
        <f t="shared" si="3"/>
        <v>3</v>
      </c>
      <c r="P33" s="80">
        <f t="shared" si="3"/>
        <v>2</v>
      </c>
      <c r="Q33" s="80">
        <f t="shared" si="3"/>
        <v>1</v>
      </c>
    </row>
    <row r="34" spans="1:17" ht="14.4" customHeight="1" x14ac:dyDescent="0.3">
      <c r="A34" s="213">
        <v>11</v>
      </c>
      <c r="B34" s="213"/>
      <c r="C34" s="79">
        <f t="shared" si="3"/>
        <v>14</v>
      </c>
      <c r="D34" s="79">
        <f t="shared" si="3"/>
        <v>13</v>
      </c>
      <c r="E34" s="79">
        <f t="shared" si="3"/>
        <v>12</v>
      </c>
      <c r="F34" s="79">
        <f t="shared" si="3"/>
        <v>11</v>
      </c>
      <c r="G34" s="79">
        <f t="shared" si="3"/>
        <v>10</v>
      </c>
      <c r="H34" s="79">
        <f t="shared" si="3"/>
        <v>9</v>
      </c>
      <c r="I34" s="79">
        <f t="shared" si="3"/>
        <v>8</v>
      </c>
      <c r="J34" s="79">
        <f t="shared" si="3"/>
        <v>7</v>
      </c>
      <c r="K34" s="79">
        <f t="shared" si="3"/>
        <v>6</v>
      </c>
      <c r="L34" s="79">
        <f t="shared" si="3"/>
        <v>5</v>
      </c>
      <c r="M34" s="79">
        <f t="shared" si="3"/>
        <v>4</v>
      </c>
      <c r="N34" s="79">
        <f t="shared" si="3"/>
        <v>3</v>
      </c>
      <c r="O34" s="79">
        <f t="shared" si="3"/>
        <v>2</v>
      </c>
      <c r="P34" s="79">
        <f t="shared" si="3"/>
        <v>1</v>
      </c>
      <c r="Q34" s="79">
        <f t="shared" si="3"/>
        <v>0</v>
      </c>
    </row>
    <row r="35" spans="1:17" ht="14.4" customHeight="1" x14ac:dyDescent="0.3">
      <c r="A35" s="119"/>
      <c r="B35" s="120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1" t="s">
        <v>195</v>
      </c>
    </row>
    <row r="36" spans="1:17" ht="12.6" customHeight="1" thickBot="1" x14ac:dyDescent="0.35">
      <c r="A36" s="122"/>
      <c r="B36" s="123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1:17" ht="12.6" customHeight="1" x14ac:dyDescent="0.3">
      <c r="A37" s="38" t="s">
        <v>46</v>
      </c>
      <c r="B37" s="39" t="s">
        <v>48</v>
      </c>
      <c r="C37" s="38"/>
      <c r="D37" s="38"/>
      <c r="E37" s="38"/>
      <c r="F37" s="38"/>
      <c r="G37" s="38"/>
      <c r="H37" s="38"/>
      <c r="I37" s="38"/>
      <c r="J37" s="38"/>
      <c r="K37" s="40" t="s">
        <v>203</v>
      </c>
      <c r="L37" s="41"/>
      <c r="M37" s="42" t="s">
        <v>8</v>
      </c>
      <c r="N37" s="42" t="s">
        <v>46</v>
      </c>
      <c r="O37" s="42" t="s">
        <v>204</v>
      </c>
      <c r="P37" s="42" t="s">
        <v>205</v>
      </c>
      <c r="Q37" s="42" t="s">
        <v>206</v>
      </c>
    </row>
    <row r="38" spans="1:17" ht="12.6" customHeight="1" x14ac:dyDescent="0.3">
      <c r="A38" s="36">
        <v>0</v>
      </c>
      <c r="B38" s="37" t="s">
        <v>221</v>
      </c>
      <c r="K38" s="35" t="s">
        <v>196</v>
      </c>
      <c r="L38" s="2"/>
      <c r="M38" s="43">
        <v>9</v>
      </c>
      <c r="N38" s="43">
        <v>0</v>
      </c>
      <c r="O38" s="43" t="s">
        <v>207</v>
      </c>
      <c r="P38" s="43" t="s">
        <v>208</v>
      </c>
      <c r="Q38" s="43" t="s">
        <v>209</v>
      </c>
    </row>
    <row r="39" spans="1:17" ht="12.6" customHeight="1" x14ac:dyDescent="0.3">
      <c r="A39" s="36" t="s">
        <v>223</v>
      </c>
      <c r="B39" s="47" t="s">
        <v>222</v>
      </c>
      <c r="C39" s="48"/>
      <c r="D39" s="48"/>
      <c r="E39" s="48"/>
      <c r="F39" s="48"/>
      <c r="G39" s="48"/>
      <c r="H39" s="48"/>
      <c r="I39" s="48"/>
      <c r="J39" s="48"/>
      <c r="K39" s="44" t="s">
        <v>233</v>
      </c>
      <c r="L39" s="45"/>
      <c r="M39" s="46">
        <v>8</v>
      </c>
      <c r="N39" s="46">
        <v>1</v>
      </c>
      <c r="O39" s="46" t="s">
        <v>207</v>
      </c>
      <c r="P39" s="46" t="s">
        <v>208</v>
      </c>
      <c r="Q39" s="46" t="s">
        <v>209</v>
      </c>
    </row>
    <row r="40" spans="1:17" ht="12.6" customHeight="1" x14ac:dyDescent="0.3">
      <c r="A40" s="36" t="s">
        <v>224</v>
      </c>
      <c r="B40" s="49" t="s">
        <v>225</v>
      </c>
      <c r="K40" s="35" t="s">
        <v>197</v>
      </c>
      <c r="L40" s="2"/>
      <c r="M40" s="43">
        <v>7</v>
      </c>
      <c r="N40" s="43">
        <v>2</v>
      </c>
      <c r="O40" s="43"/>
      <c r="P40" s="43" t="s">
        <v>208</v>
      </c>
      <c r="Q40" s="43" t="s">
        <v>209</v>
      </c>
    </row>
    <row r="41" spans="1:17" ht="12.6" customHeight="1" x14ac:dyDescent="0.3">
      <c r="A41" s="36">
        <v>1</v>
      </c>
      <c r="B41" s="47" t="s">
        <v>226</v>
      </c>
      <c r="C41" s="47"/>
      <c r="D41" s="47"/>
      <c r="E41" s="47"/>
      <c r="F41" s="47"/>
      <c r="G41" s="47"/>
      <c r="H41" s="47"/>
      <c r="I41" s="47"/>
      <c r="J41" s="47"/>
      <c r="K41" s="44" t="s">
        <v>198</v>
      </c>
      <c r="L41" s="45"/>
      <c r="M41" s="46">
        <v>6</v>
      </c>
      <c r="N41" s="46">
        <v>2</v>
      </c>
      <c r="O41" s="46" t="s">
        <v>207</v>
      </c>
      <c r="P41" s="46" t="s">
        <v>208</v>
      </c>
      <c r="Q41" s="46" t="s">
        <v>209</v>
      </c>
    </row>
    <row r="42" spans="1:17" ht="12.6" customHeight="1" x14ac:dyDescent="0.3">
      <c r="A42" s="36">
        <v>2</v>
      </c>
      <c r="B42" s="49" t="s">
        <v>228</v>
      </c>
      <c r="K42" s="35" t="s">
        <v>199</v>
      </c>
      <c r="L42" s="2"/>
      <c r="M42" s="43">
        <v>5</v>
      </c>
      <c r="N42" s="43">
        <v>2</v>
      </c>
      <c r="O42" s="43" t="s">
        <v>209</v>
      </c>
      <c r="P42" s="43" t="s">
        <v>208</v>
      </c>
      <c r="Q42" s="43" t="s">
        <v>208</v>
      </c>
    </row>
    <row r="43" spans="1:17" ht="12.6" customHeight="1" x14ac:dyDescent="0.3">
      <c r="A43" s="36">
        <v>3</v>
      </c>
      <c r="B43" s="47" t="s">
        <v>227</v>
      </c>
      <c r="C43" s="47"/>
      <c r="D43" s="47"/>
      <c r="E43" s="47"/>
      <c r="F43" s="47"/>
      <c r="G43" s="47"/>
      <c r="H43" s="47"/>
      <c r="I43" s="47"/>
      <c r="J43" s="47"/>
      <c r="K43" s="44" t="s">
        <v>201</v>
      </c>
      <c r="L43" s="45"/>
      <c r="M43" s="46">
        <v>4</v>
      </c>
      <c r="N43" s="46">
        <v>3</v>
      </c>
      <c r="O43" s="46" t="s">
        <v>208</v>
      </c>
      <c r="P43" s="46" t="s">
        <v>208</v>
      </c>
      <c r="Q43" s="46" t="s">
        <v>47</v>
      </c>
    </row>
    <row r="44" spans="1:17" ht="12.6" customHeight="1" x14ac:dyDescent="0.3">
      <c r="A44" s="36"/>
      <c r="B44" s="50"/>
      <c r="C44" s="13"/>
      <c r="D44" s="13"/>
      <c r="E44" s="13"/>
      <c r="G44" s="13"/>
      <c r="H44" s="13"/>
      <c r="I44" s="13"/>
      <c r="J44" s="3"/>
      <c r="K44" s="35" t="s">
        <v>202</v>
      </c>
      <c r="L44" s="2"/>
      <c r="M44" s="43">
        <v>3</v>
      </c>
      <c r="N44" s="43">
        <v>3</v>
      </c>
      <c r="O44" s="43" t="s">
        <v>208</v>
      </c>
      <c r="P44" s="43" t="s">
        <v>208</v>
      </c>
      <c r="Q44" s="43" t="s">
        <v>47</v>
      </c>
    </row>
    <row r="45" spans="1:17" ht="12.6" customHeight="1" x14ac:dyDescent="0.3">
      <c r="A45" t="s">
        <v>230</v>
      </c>
      <c r="B45" s="50"/>
      <c r="C45" s="13"/>
      <c r="D45" s="13"/>
      <c r="E45" s="13"/>
      <c r="F45" s="51"/>
      <c r="G45" s="13"/>
      <c r="H45" s="13"/>
      <c r="I45" s="13"/>
      <c r="J45" s="3"/>
      <c r="K45" s="44" t="s">
        <v>234</v>
      </c>
      <c r="L45" s="45"/>
      <c r="M45" s="46">
        <v>2</v>
      </c>
      <c r="N45" s="46">
        <v>3</v>
      </c>
      <c r="O45" s="46" t="s">
        <v>208</v>
      </c>
      <c r="P45" s="46" t="s">
        <v>208</v>
      </c>
      <c r="Q45" s="46" t="s">
        <v>47</v>
      </c>
    </row>
    <row r="46" spans="1:17" ht="12.6" customHeight="1" x14ac:dyDescent="0.3">
      <c r="A46" t="s">
        <v>229</v>
      </c>
      <c r="B46" s="50"/>
      <c r="C46" s="13"/>
      <c r="D46" s="13"/>
      <c r="E46" s="13"/>
      <c r="F46" s="13"/>
      <c r="G46" s="13"/>
      <c r="H46" s="13"/>
      <c r="I46" s="13"/>
      <c r="J46" s="3"/>
      <c r="K46" s="35" t="s">
        <v>200</v>
      </c>
      <c r="L46" s="2"/>
      <c r="M46" s="43">
        <v>-1</v>
      </c>
      <c r="N46" s="43">
        <v>2</v>
      </c>
      <c r="O46" s="43"/>
      <c r="P46" s="43"/>
      <c r="Q46" s="43"/>
    </row>
    <row r="47" spans="1:17" ht="12.6" customHeight="1" x14ac:dyDescent="0.3">
      <c r="A47" t="s">
        <v>231</v>
      </c>
      <c r="B47" s="50"/>
      <c r="C47" s="13"/>
      <c r="D47" s="13"/>
      <c r="E47" s="13"/>
      <c r="F47" s="13"/>
      <c r="G47" s="13"/>
      <c r="H47" s="13"/>
      <c r="I47" s="13"/>
      <c r="J47" s="3"/>
      <c r="K47" s="44" t="s">
        <v>235</v>
      </c>
      <c r="L47" s="45"/>
      <c r="M47" s="46">
        <v>-2</v>
      </c>
      <c r="N47" s="46">
        <v>3</v>
      </c>
      <c r="O47" s="46" t="s">
        <v>236</v>
      </c>
      <c r="P47" s="46"/>
      <c r="Q47" s="46"/>
    </row>
    <row r="48" spans="1:17" ht="12.6" customHeight="1" x14ac:dyDescent="0.3">
      <c r="A48" t="s">
        <v>232</v>
      </c>
      <c r="B48" s="13"/>
      <c r="C48" s="13"/>
      <c r="D48" s="13"/>
      <c r="E48" s="13"/>
      <c r="F48" s="13"/>
      <c r="G48" s="13"/>
      <c r="H48" s="13"/>
      <c r="I48" s="13"/>
      <c r="J48" s="3"/>
      <c r="Q48" s="128" t="s">
        <v>360</v>
      </c>
    </row>
    <row r="49" spans="1:17" ht="17.399999999999999" customHeight="1" x14ac:dyDescent="0.3"/>
    <row r="50" spans="1:17" ht="15" thickBot="1" x14ac:dyDescent="0.35">
      <c r="A50" s="118"/>
      <c r="B50" s="181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</row>
  </sheetData>
  <mergeCells count="11">
    <mergeCell ref="A30:B30"/>
    <mergeCell ref="A31:B31"/>
    <mergeCell ref="A32:B32"/>
    <mergeCell ref="A33:B33"/>
    <mergeCell ref="A34:B34"/>
    <mergeCell ref="A29:B29"/>
    <mergeCell ref="J2:Q2"/>
    <mergeCell ref="A24:B24"/>
    <mergeCell ref="A26:B26"/>
    <mergeCell ref="A27:B27"/>
    <mergeCell ref="A28:B28"/>
  </mergeCells>
  <printOptions horizontalCentered="1" verticalCentered="1"/>
  <pageMargins left="0" right="0" top="0" bottom="0" header="0" footer="0"/>
  <pageSetup paperSize="9" fitToWidth="0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6C9D-052A-4A0F-9F62-A1EE62475AEE}">
  <dimension ref="A1:AA44"/>
  <sheetViews>
    <sheetView topLeftCell="A20" zoomScale="120" zoomScaleNormal="120" workbookViewId="0">
      <selection activeCell="N47" sqref="N47"/>
    </sheetView>
  </sheetViews>
  <sheetFormatPr defaultRowHeight="14.4" x14ac:dyDescent="0.3"/>
  <cols>
    <col min="1" max="2" width="11.109375" style="2" customWidth="1"/>
    <col min="3" max="3" width="5.77734375" style="2" customWidth="1"/>
    <col min="4" max="12" width="4.77734375" style="2" customWidth="1"/>
    <col min="13" max="13" width="5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29" t="s">
        <v>0</v>
      </c>
      <c r="B1" s="30" t="s">
        <v>122</v>
      </c>
      <c r="C1" s="30"/>
      <c r="D1" s="157"/>
      <c r="E1" s="29"/>
      <c r="F1" s="159"/>
      <c r="G1" s="160" t="s">
        <v>138</v>
      </c>
      <c r="H1" s="30"/>
      <c r="I1" s="159"/>
      <c r="J1" s="52"/>
      <c r="K1" s="29" t="s">
        <v>34</v>
      </c>
      <c r="L1" s="30"/>
      <c r="M1" s="30"/>
      <c r="N1" s="161" t="s">
        <v>94</v>
      </c>
      <c r="O1" s="30"/>
      <c r="P1" s="30"/>
    </row>
    <row r="2" spans="1:16" ht="20.399999999999999" customHeight="1" x14ac:dyDescent="0.3">
      <c r="A2" s="158" t="s">
        <v>93</v>
      </c>
      <c r="B2" s="28" t="s">
        <v>74</v>
      </c>
      <c r="C2" s="28"/>
      <c r="D2" s="52"/>
      <c r="E2" s="29" t="s">
        <v>33</v>
      </c>
      <c r="F2" s="30"/>
      <c r="G2" s="30" t="s">
        <v>123</v>
      </c>
      <c r="H2" s="30"/>
      <c r="I2" s="156" t="s">
        <v>124</v>
      </c>
      <c r="J2" s="52"/>
      <c r="K2" s="29" t="s">
        <v>1</v>
      </c>
      <c r="L2" s="30"/>
      <c r="M2" s="30"/>
      <c r="N2" s="30" t="s">
        <v>50</v>
      </c>
      <c r="O2" s="30"/>
      <c r="P2" s="30"/>
    </row>
    <row r="3" spans="1:16" ht="9.6" customHeight="1" x14ac:dyDescent="0.3">
      <c r="A3" s="3"/>
      <c r="B3" s="3"/>
      <c r="C3" s="3"/>
      <c r="D3" s="3"/>
      <c r="E3" s="3"/>
      <c r="F3" s="3"/>
      <c r="G3" s="3"/>
      <c r="H3" s="3"/>
      <c r="K3" s="3"/>
      <c r="L3" s="3"/>
      <c r="M3" s="3"/>
      <c r="N3" s="3"/>
      <c r="O3" s="3"/>
      <c r="P3" s="3"/>
    </row>
    <row r="4" spans="1:16" ht="18.600000000000001" customHeight="1" x14ac:dyDescent="0.3">
      <c r="A4" s="53" t="s">
        <v>8</v>
      </c>
      <c r="B4" s="177">
        <v>8</v>
      </c>
      <c r="C4" s="1"/>
      <c r="E4" s="53" t="s">
        <v>46</v>
      </c>
      <c r="F4" s="54">
        <v>18</v>
      </c>
      <c r="G4" s="144" t="s">
        <v>237</v>
      </c>
      <c r="H4" s="145" t="s">
        <v>657</v>
      </c>
      <c r="I4" s="1"/>
      <c r="J4" s="55"/>
      <c r="L4" s="56" t="s">
        <v>92</v>
      </c>
      <c r="M4" s="54">
        <v>0</v>
      </c>
      <c r="N4" s="1"/>
      <c r="O4" s="53" t="s">
        <v>9</v>
      </c>
      <c r="P4" s="149">
        <v>21</v>
      </c>
    </row>
    <row r="5" spans="1:16" ht="19.8" customHeight="1" x14ac:dyDescent="0.3">
      <c r="A5" s="25" t="s">
        <v>29</v>
      </c>
      <c r="B5" s="25"/>
      <c r="J5" s="2" t="s">
        <v>91</v>
      </c>
      <c r="M5" s="25" t="s">
        <v>10</v>
      </c>
      <c r="N5" s="24"/>
      <c r="O5" s="24"/>
      <c r="P5" s="24"/>
    </row>
    <row r="6" spans="1:16" ht="32.4" customHeight="1" x14ac:dyDescent="0.3">
      <c r="A6" s="154">
        <v>8</v>
      </c>
      <c r="B6" s="178" t="s">
        <v>2</v>
      </c>
      <c r="C6" s="202" t="s">
        <v>125</v>
      </c>
      <c r="D6" s="202"/>
      <c r="E6" s="202"/>
      <c r="F6" s="202"/>
      <c r="G6" s="202"/>
      <c r="H6" s="202"/>
      <c r="I6" s="202"/>
      <c r="J6" s="57">
        <v>-1</v>
      </c>
      <c r="K6" s="57"/>
      <c r="M6" s="203" t="s">
        <v>346</v>
      </c>
      <c r="N6" s="203"/>
      <c r="O6" s="203"/>
      <c r="P6" s="150">
        <v>13</v>
      </c>
    </row>
    <row r="7" spans="1:16" ht="32.4" customHeight="1" x14ac:dyDescent="0.3">
      <c r="A7" s="154">
        <v>10</v>
      </c>
      <c r="B7" s="178" t="s">
        <v>3</v>
      </c>
      <c r="C7" s="202" t="s">
        <v>86</v>
      </c>
      <c r="D7" s="202"/>
      <c r="E7" s="202"/>
      <c r="F7" s="202"/>
      <c r="G7" s="202"/>
      <c r="H7" s="202"/>
      <c r="I7" s="202"/>
      <c r="J7" s="57">
        <v>0</v>
      </c>
      <c r="K7" s="57"/>
      <c r="M7" s="203" t="s">
        <v>11</v>
      </c>
      <c r="N7" s="203"/>
      <c r="O7" s="203"/>
      <c r="P7" s="150">
        <v>14</v>
      </c>
    </row>
    <row r="8" spans="1:16" ht="32.4" customHeight="1" x14ac:dyDescent="0.3">
      <c r="A8" s="154">
        <v>13</v>
      </c>
      <c r="B8" s="178" t="s">
        <v>4</v>
      </c>
      <c r="C8" s="202" t="s">
        <v>126</v>
      </c>
      <c r="D8" s="202"/>
      <c r="E8" s="202"/>
      <c r="F8" s="202"/>
      <c r="G8" s="202"/>
      <c r="H8" s="202"/>
      <c r="I8" s="202"/>
      <c r="J8" s="57">
        <v>1</v>
      </c>
      <c r="K8" s="57"/>
      <c r="M8" s="203" t="s">
        <v>14</v>
      </c>
      <c r="N8" s="203"/>
      <c r="O8" s="203"/>
      <c r="P8" s="150">
        <v>13</v>
      </c>
    </row>
    <row r="9" spans="1:16" ht="32.4" customHeight="1" x14ac:dyDescent="0.3">
      <c r="A9" s="154">
        <v>16</v>
      </c>
      <c r="B9" s="178" t="s">
        <v>5</v>
      </c>
      <c r="C9" s="202" t="s">
        <v>127</v>
      </c>
      <c r="D9" s="202"/>
      <c r="E9" s="202"/>
      <c r="F9" s="202"/>
      <c r="G9" s="202"/>
      <c r="H9" s="202"/>
      <c r="I9" s="202"/>
      <c r="J9" s="57">
        <v>2</v>
      </c>
      <c r="K9" s="57"/>
      <c r="M9" s="203" t="s">
        <v>12</v>
      </c>
      <c r="N9" s="203"/>
      <c r="O9" s="203"/>
      <c r="P9" s="150">
        <v>16</v>
      </c>
    </row>
    <row r="10" spans="1:16" ht="32.4" customHeight="1" x14ac:dyDescent="0.3">
      <c r="A10" s="154">
        <v>9</v>
      </c>
      <c r="B10" s="178" t="s">
        <v>6</v>
      </c>
      <c r="C10" s="202" t="s">
        <v>86</v>
      </c>
      <c r="D10" s="202"/>
      <c r="E10" s="202"/>
      <c r="F10" s="202"/>
      <c r="G10" s="202"/>
      <c r="H10" s="202"/>
      <c r="I10" s="202"/>
      <c r="J10" s="57">
        <v>0</v>
      </c>
      <c r="K10" s="57"/>
      <c r="M10" s="203" t="s">
        <v>13</v>
      </c>
      <c r="N10" s="203"/>
      <c r="O10" s="203"/>
      <c r="P10" s="150">
        <v>15</v>
      </c>
    </row>
    <row r="11" spans="1:16" ht="32.4" customHeight="1" x14ac:dyDescent="0.3">
      <c r="A11" s="154">
        <v>8</v>
      </c>
      <c r="B11" s="178" t="s">
        <v>7</v>
      </c>
      <c r="C11" s="202" t="s">
        <v>128</v>
      </c>
      <c r="D11" s="202"/>
      <c r="E11" s="202"/>
      <c r="F11" s="202"/>
      <c r="G11" s="202"/>
      <c r="H11" s="202"/>
      <c r="I11" s="202"/>
      <c r="J11" s="57">
        <v>-1</v>
      </c>
      <c r="K11" s="57"/>
      <c r="M11" s="205" t="s">
        <v>341</v>
      </c>
      <c r="N11" s="205"/>
      <c r="O11" s="205"/>
      <c r="P11" s="205"/>
    </row>
    <row r="12" spans="1:16" ht="8.4" customHeight="1" x14ac:dyDescent="0.3">
      <c r="K12" s="147"/>
    </row>
    <row r="13" spans="1:16" s="3" customFormat="1" ht="15.6" customHeight="1" x14ac:dyDescent="0.3">
      <c r="A13" s="22" t="s">
        <v>16</v>
      </c>
      <c r="B13" s="22"/>
      <c r="C13" s="58"/>
      <c r="D13" s="22" t="s">
        <v>17</v>
      </c>
      <c r="E13" s="22"/>
      <c r="F13" s="22"/>
      <c r="G13" s="58"/>
      <c r="H13" s="59" t="s">
        <v>65</v>
      </c>
      <c r="I13" s="59" t="s">
        <v>66</v>
      </c>
      <c r="J13" s="59" t="s">
        <v>67</v>
      </c>
      <c r="K13" s="110" t="s">
        <v>344</v>
      </c>
      <c r="L13" s="109" t="s">
        <v>342</v>
      </c>
      <c r="N13" s="22" t="s">
        <v>55</v>
      </c>
      <c r="O13" s="23"/>
      <c r="P13" s="22"/>
    </row>
    <row r="14" spans="1:16" s="3" customFormat="1" ht="15.6" customHeight="1" x14ac:dyDescent="0.3">
      <c r="A14" s="204" t="s">
        <v>166</v>
      </c>
      <c r="B14" s="204"/>
      <c r="D14" s="58" t="s">
        <v>21</v>
      </c>
      <c r="E14" s="58"/>
      <c r="G14" s="36" t="s">
        <v>70</v>
      </c>
      <c r="H14" s="60">
        <v>40</v>
      </c>
      <c r="I14" s="1">
        <f>J14*1.5</f>
        <v>12</v>
      </c>
      <c r="J14" s="1">
        <f>H14/5</f>
        <v>8</v>
      </c>
      <c r="K14" s="110" t="s">
        <v>661</v>
      </c>
      <c r="L14" s="109" t="s">
        <v>47</v>
      </c>
      <c r="N14" s="3" t="s">
        <v>658</v>
      </c>
    </row>
    <row r="15" spans="1:16" s="3" customFormat="1" ht="15.6" customHeight="1" x14ac:dyDescent="0.3">
      <c r="A15" s="204"/>
      <c r="B15" s="204"/>
      <c r="D15" s="61" t="s">
        <v>37</v>
      </c>
      <c r="E15" s="61"/>
      <c r="F15" s="62"/>
      <c r="G15" s="63" t="s">
        <v>71</v>
      </c>
      <c r="H15" s="64">
        <f>H14*3</f>
        <v>120</v>
      </c>
      <c r="I15" s="64">
        <f>J15*1.5</f>
        <v>36</v>
      </c>
      <c r="J15" s="64">
        <f t="shared" ref="J15:J18" si="0">H15/5</f>
        <v>24</v>
      </c>
      <c r="K15" s="111" t="s">
        <v>47</v>
      </c>
      <c r="L15" s="112" t="s">
        <v>47</v>
      </c>
      <c r="N15" s="3" t="s">
        <v>131</v>
      </c>
    </row>
    <row r="16" spans="1:16" s="3" customFormat="1" ht="15.6" customHeight="1" x14ac:dyDescent="0.3">
      <c r="A16" s="204"/>
      <c r="B16" s="204"/>
      <c r="D16" s="58" t="s">
        <v>18</v>
      </c>
      <c r="E16" s="58"/>
      <c r="G16" s="36" t="s">
        <v>70</v>
      </c>
      <c r="H16" s="60">
        <f>H14*3</f>
        <v>120</v>
      </c>
      <c r="I16" s="1">
        <f>J16*1.5</f>
        <v>36</v>
      </c>
      <c r="J16" s="1">
        <f t="shared" si="0"/>
        <v>24</v>
      </c>
      <c r="K16" s="110">
        <f>J16+(J16/2)</f>
        <v>36</v>
      </c>
      <c r="L16" s="206" t="s">
        <v>343</v>
      </c>
      <c r="N16" s="3" t="s">
        <v>59</v>
      </c>
    </row>
    <row r="17" spans="1:16" s="3" customFormat="1" ht="15.6" customHeight="1" x14ac:dyDescent="0.3">
      <c r="A17" s="155" t="s">
        <v>195</v>
      </c>
      <c r="B17" s="163"/>
      <c r="D17" s="61" t="s">
        <v>35</v>
      </c>
      <c r="E17" s="61"/>
      <c r="F17" s="62"/>
      <c r="G17" s="63" t="s">
        <v>70</v>
      </c>
      <c r="H17" s="64">
        <f>H14/2</f>
        <v>20</v>
      </c>
      <c r="I17" s="64">
        <f>J17*1.5</f>
        <v>6</v>
      </c>
      <c r="J17" s="64">
        <f t="shared" si="0"/>
        <v>4</v>
      </c>
      <c r="K17" s="111">
        <f t="shared" ref="K17:K18" si="1">J17+(J17/2)</f>
        <v>6</v>
      </c>
      <c r="L17" s="206"/>
      <c r="N17" s="3" t="s">
        <v>132</v>
      </c>
    </row>
    <row r="18" spans="1:16" s="3" customFormat="1" ht="15.6" customHeight="1" x14ac:dyDescent="0.3">
      <c r="A18" s="155" t="s">
        <v>95</v>
      </c>
      <c r="B18" s="164"/>
      <c r="D18" s="58" t="s">
        <v>36</v>
      </c>
      <c r="E18" s="58"/>
      <c r="G18" s="36" t="s">
        <v>70</v>
      </c>
      <c r="H18" s="60">
        <f>H14/2</f>
        <v>20</v>
      </c>
      <c r="I18" s="1">
        <f>J18*1.5</f>
        <v>6</v>
      </c>
      <c r="J18" s="1">
        <f t="shared" si="0"/>
        <v>4</v>
      </c>
      <c r="K18" s="110">
        <f t="shared" si="1"/>
        <v>6</v>
      </c>
      <c r="L18" s="206"/>
    </row>
    <row r="19" spans="1:16" s="3" customFormat="1" ht="15.6" customHeight="1" x14ac:dyDescent="0.3">
      <c r="A19" s="21"/>
      <c r="B19" s="20"/>
      <c r="D19" s="61" t="s">
        <v>22</v>
      </c>
      <c r="E19" s="61"/>
      <c r="F19" s="62"/>
      <c r="G19" s="63" t="s">
        <v>72</v>
      </c>
      <c r="H19" s="65" t="s">
        <v>130</v>
      </c>
      <c r="I19" s="65" t="s">
        <v>129</v>
      </c>
      <c r="J19" s="65"/>
      <c r="K19" s="111" t="s">
        <v>47</v>
      </c>
      <c r="L19" s="112" t="s">
        <v>47</v>
      </c>
    </row>
    <row r="20" spans="1:16" s="3" customFormat="1" ht="15.6" customHeight="1" x14ac:dyDescent="0.3">
      <c r="A20" s="18"/>
      <c r="B20" s="18"/>
      <c r="N20" s="201"/>
      <c r="O20" s="201"/>
      <c r="P20" s="201"/>
    </row>
    <row r="21" spans="1:16" s="3" customFormat="1" ht="15.6" customHeight="1" x14ac:dyDescent="0.3">
      <c r="A21" s="125" t="s">
        <v>663</v>
      </c>
      <c r="B21" s="21"/>
      <c r="D21" s="66"/>
      <c r="O21" s="91"/>
      <c r="P21" s="36"/>
    </row>
    <row r="22" spans="1:16" ht="15.6" customHeight="1" x14ac:dyDescent="0.3">
      <c r="A22" s="125" t="s">
        <v>664</v>
      </c>
      <c r="B22" s="21"/>
      <c r="D22" s="66"/>
      <c r="N22" s="67"/>
      <c r="O22" s="67" t="s">
        <v>46</v>
      </c>
      <c r="P22" s="151">
        <v>4</v>
      </c>
    </row>
    <row r="23" spans="1:16" ht="15.6" customHeight="1" x14ac:dyDescent="0.3">
      <c r="A23" s="125" t="s">
        <v>665</v>
      </c>
      <c r="B23" s="21"/>
      <c r="D23" s="66"/>
      <c r="M23" s="58"/>
      <c r="N23" s="68"/>
      <c r="O23" s="21"/>
      <c r="P23" s="21"/>
    </row>
    <row r="24" spans="1:16" ht="15.6" customHeight="1" x14ac:dyDescent="0.3">
      <c r="A24" s="125" t="s">
        <v>666</v>
      </c>
      <c r="B24" s="21"/>
      <c r="D24" s="66"/>
      <c r="M24" s="58"/>
      <c r="N24" s="33"/>
      <c r="O24" s="33" t="s">
        <v>215</v>
      </c>
      <c r="P24" s="33" t="s">
        <v>216</v>
      </c>
    </row>
    <row r="25" spans="1:16" ht="15.6" customHeight="1" x14ac:dyDescent="0.3">
      <c r="A25" s="125" t="s">
        <v>667</v>
      </c>
      <c r="B25" s="21"/>
      <c r="D25" s="66"/>
      <c r="N25" s="69" t="s">
        <v>42</v>
      </c>
      <c r="O25" s="21"/>
      <c r="P25" s="152"/>
    </row>
    <row r="26" spans="1:16" ht="15.6" customHeight="1" x14ac:dyDescent="0.3">
      <c r="A26" s="49" t="s">
        <v>668</v>
      </c>
      <c r="B26" s="21"/>
      <c r="D26" s="70"/>
      <c r="N26" s="69" t="s">
        <v>39</v>
      </c>
      <c r="O26" s="21"/>
      <c r="P26" s="152">
        <v>500</v>
      </c>
    </row>
    <row r="27" spans="1:16" ht="15.6" customHeight="1" x14ac:dyDescent="0.3">
      <c r="A27" s="49" t="s">
        <v>669</v>
      </c>
      <c r="D27" s="70"/>
      <c r="N27" s="69" t="s">
        <v>43</v>
      </c>
      <c r="O27" s="21"/>
      <c r="P27" s="152"/>
    </row>
    <row r="28" spans="1:16" ht="15.6" customHeight="1" x14ac:dyDescent="0.3">
      <c r="A28" s="126" t="s">
        <v>670</v>
      </c>
      <c r="D28" s="71"/>
      <c r="N28" s="69" t="s">
        <v>40</v>
      </c>
      <c r="O28" s="21"/>
      <c r="P28" s="152"/>
    </row>
    <row r="29" spans="1:16" ht="15.6" customHeight="1" x14ac:dyDescent="0.3">
      <c r="A29" s="126" t="s">
        <v>672</v>
      </c>
      <c r="D29" s="71"/>
      <c r="N29" s="72"/>
      <c r="O29" s="67" t="s">
        <v>46</v>
      </c>
      <c r="P29" s="151">
        <v>5</v>
      </c>
    </row>
    <row r="30" spans="1:16" x14ac:dyDescent="0.3">
      <c r="D30" s="71"/>
    </row>
    <row r="31" spans="1:16" ht="15.6" customHeight="1" x14ac:dyDescent="0.3"/>
    <row r="32" spans="1:16" ht="15.6" x14ac:dyDescent="0.3">
      <c r="A32" s="22" t="s">
        <v>41</v>
      </c>
      <c r="B32" s="22"/>
      <c r="C32" s="27" t="s">
        <v>96</v>
      </c>
      <c r="D32" s="24"/>
      <c r="E32" s="27" t="s">
        <v>97</v>
      </c>
      <c r="F32" s="24"/>
      <c r="G32" s="27" t="s">
        <v>98</v>
      </c>
      <c r="H32" s="24"/>
      <c r="I32" s="27"/>
      <c r="J32" s="24"/>
      <c r="K32" s="24"/>
      <c r="N32" s="22" t="s">
        <v>29</v>
      </c>
      <c r="O32" s="24"/>
      <c r="P32" s="24"/>
    </row>
    <row r="33" spans="1:27" x14ac:dyDescent="0.3">
      <c r="A33" s="52" t="s">
        <v>30</v>
      </c>
      <c r="B33" s="2" t="s">
        <v>136</v>
      </c>
      <c r="N33" s="2" t="s">
        <v>53</v>
      </c>
    </row>
    <row r="34" spans="1:27" x14ac:dyDescent="0.3">
      <c r="A34" s="52" t="s">
        <v>31</v>
      </c>
      <c r="B34" s="2" t="s">
        <v>137</v>
      </c>
      <c r="N34" s="2" t="s">
        <v>32</v>
      </c>
    </row>
    <row r="35" spans="1:27" x14ac:dyDescent="0.3">
      <c r="A35" s="52" t="s">
        <v>38</v>
      </c>
      <c r="B35" s="2" t="s">
        <v>671</v>
      </c>
      <c r="N35" s="2" t="s">
        <v>54</v>
      </c>
    </row>
    <row r="39" spans="1:27" x14ac:dyDescent="0.3">
      <c r="AA39"/>
    </row>
    <row r="40" spans="1:27" x14ac:dyDescent="0.3">
      <c r="L40" s="73" t="s">
        <v>194</v>
      </c>
    </row>
    <row r="41" spans="1:27" ht="15.6" x14ac:dyDescent="0.3">
      <c r="A41" s="162" t="s">
        <v>15</v>
      </c>
      <c r="B41" s="19" t="s">
        <v>19</v>
      </c>
      <c r="C41" s="26" t="s">
        <v>20</v>
      </c>
      <c r="D41" s="4">
        <v>8</v>
      </c>
      <c r="E41" s="26">
        <f>D41-1</f>
        <v>7</v>
      </c>
      <c r="F41" s="4">
        <f t="shared" ref="F41:L41" si="2">E41-1</f>
        <v>6</v>
      </c>
      <c r="G41" s="26">
        <f t="shared" si="2"/>
        <v>5</v>
      </c>
      <c r="H41" s="4">
        <f t="shared" si="2"/>
        <v>4</v>
      </c>
      <c r="I41" s="26">
        <f t="shared" si="2"/>
        <v>3</v>
      </c>
      <c r="J41" s="4">
        <f t="shared" si="2"/>
        <v>2</v>
      </c>
      <c r="K41" s="26">
        <f t="shared" si="2"/>
        <v>1</v>
      </c>
      <c r="L41" s="4">
        <f t="shared" si="2"/>
        <v>0</v>
      </c>
      <c r="M41" s="215" t="s">
        <v>26</v>
      </c>
      <c r="N41" s="215"/>
      <c r="O41" s="22" t="s">
        <v>27</v>
      </c>
      <c r="P41" s="24"/>
    </row>
    <row r="42" spans="1:27" ht="18" x14ac:dyDescent="0.3">
      <c r="A42" s="93" t="s">
        <v>133</v>
      </c>
      <c r="B42" s="1" t="s">
        <v>23</v>
      </c>
      <c r="C42" s="74">
        <v>10</v>
      </c>
      <c r="D42" s="75">
        <f>C42+1</f>
        <v>11</v>
      </c>
      <c r="E42" s="74">
        <f t="shared" ref="E42:L42" si="3">D42+1</f>
        <v>12</v>
      </c>
      <c r="F42" s="75">
        <f t="shared" si="3"/>
        <v>13</v>
      </c>
      <c r="G42" s="74">
        <f t="shared" si="3"/>
        <v>14</v>
      </c>
      <c r="H42" s="75">
        <f t="shared" si="3"/>
        <v>15</v>
      </c>
      <c r="I42" s="74">
        <f t="shared" si="3"/>
        <v>16</v>
      </c>
      <c r="J42" s="75">
        <f t="shared" si="3"/>
        <v>17</v>
      </c>
      <c r="K42" s="74">
        <f t="shared" si="3"/>
        <v>18</v>
      </c>
      <c r="L42" s="75">
        <f t="shared" si="3"/>
        <v>19</v>
      </c>
      <c r="M42" s="199" t="s">
        <v>83</v>
      </c>
      <c r="N42" s="199"/>
    </row>
    <row r="43" spans="1:27" ht="18" x14ac:dyDescent="0.3">
      <c r="A43" s="93" t="s">
        <v>24</v>
      </c>
      <c r="B43" s="1" t="s">
        <v>23</v>
      </c>
      <c r="C43" s="74">
        <v>11</v>
      </c>
      <c r="D43" s="75">
        <f t="shared" ref="D43:L44" si="4">C43+1</f>
        <v>12</v>
      </c>
      <c r="E43" s="74">
        <f t="shared" si="4"/>
        <v>13</v>
      </c>
      <c r="F43" s="75">
        <f t="shared" si="4"/>
        <v>14</v>
      </c>
      <c r="G43" s="74">
        <f t="shared" si="4"/>
        <v>15</v>
      </c>
      <c r="H43" s="75">
        <f t="shared" si="4"/>
        <v>16</v>
      </c>
      <c r="I43" s="74">
        <f t="shared" si="4"/>
        <v>17</v>
      </c>
      <c r="J43" s="75">
        <f t="shared" si="4"/>
        <v>18</v>
      </c>
      <c r="K43" s="74">
        <f t="shared" si="4"/>
        <v>19</v>
      </c>
      <c r="L43" s="75">
        <f t="shared" si="4"/>
        <v>20</v>
      </c>
      <c r="M43" s="200" t="s">
        <v>134</v>
      </c>
      <c r="N43" s="200"/>
      <c r="O43" s="3"/>
    </row>
    <row r="44" spans="1:27" ht="18" x14ac:dyDescent="0.3">
      <c r="A44" s="93" t="s">
        <v>24</v>
      </c>
      <c r="B44" s="1" t="s">
        <v>135</v>
      </c>
      <c r="C44" s="74">
        <v>10</v>
      </c>
      <c r="D44" s="75">
        <f t="shared" si="4"/>
        <v>11</v>
      </c>
      <c r="E44" s="74">
        <f t="shared" si="4"/>
        <v>12</v>
      </c>
      <c r="F44" s="75">
        <f t="shared" si="4"/>
        <v>13</v>
      </c>
      <c r="G44" s="74">
        <f t="shared" si="4"/>
        <v>14</v>
      </c>
      <c r="H44" s="75">
        <f t="shared" si="4"/>
        <v>15</v>
      </c>
      <c r="I44" s="74">
        <f t="shared" si="4"/>
        <v>16</v>
      </c>
      <c r="J44" s="75">
        <f t="shared" si="4"/>
        <v>17</v>
      </c>
      <c r="K44" s="74">
        <f t="shared" si="4"/>
        <v>18</v>
      </c>
      <c r="L44" s="75">
        <f t="shared" si="4"/>
        <v>19</v>
      </c>
      <c r="M44" s="200" t="s">
        <v>83</v>
      </c>
      <c r="N44" s="200"/>
      <c r="O44" s="3"/>
    </row>
  </sheetData>
  <mergeCells count="19">
    <mergeCell ref="A14:B16"/>
    <mergeCell ref="C9:I9"/>
    <mergeCell ref="M9:O9"/>
    <mergeCell ref="C10:I10"/>
    <mergeCell ref="M10:O10"/>
    <mergeCell ref="C11:I11"/>
    <mergeCell ref="M11:P11"/>
    <mergeCell ref="L16:L18"/>
    <mergeCell ref="C6:I6"/>
    <mergeCell ref="M6:O6"/>
    <mergeCell ref="C7:I7"/>
    <mergeCell ref="M7:O7"/>
    <mergeCell ref="C8:I8"/>
    <mergeCell ref="M8:O8"/>
    <mergeCell ref="N20:P20"/>
    <mergeCell ref="M41:N41"/>
    <mergeCell ref="M42:N42"/>
    <mergeCell ref="M43:N43"/>
    <mergeCell ref="M44:N44"/>
  </mergeCells>
  <printOptions horizontalCentered="1" verticalCentered="1"/>
  <pageMargins left="0" right="0" top="0" bottom="0" header="0" footer="0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358A-285B-44FD-BF8B-215DACF91772}">
  <dimension ref="A1:U50"/>
  <sheetViews>
    <sheetView topLeftCell="A38" zoomScale="120" zoomScaleNormal="120" workbookViewId="0">
      <selection activeCell="N47" sqref="N47"/>
    </sheetView>
  </sheetViews>
  <sheetFormatPr defaultRowHeight="14.4" x14ac:dyDescent="0.3"/>
  <cols>
    <col min="1" max="1" width="5.88671875" customWidth="1"/>
    <col min="2" max="2" width="5.88671875" style="5" customWidth="1"/>
    <col min="3" max="17" width="5.88671875" customWidth="1"/>
    <col min="18" max="21" width="5.5546875" customWidth="1"/>
  </cols>
  <sheetData>
    <row r="1" spans="1:21" s="2" customFormat="1" ht="17.399999999999999" customHeight="1" x14ac:dyDescent="0.3">
      <c r="A1" s="2" t="s">
        <v>212</v>
      </c>
      <c r="B1" s="1"/>
      <c r="C1" s="143">
        <f>Mage!F4</f>
        <v>18</v>
      </c>
      <c r="E1" s="2" t="s">
        <v>211</v>
      </c>
      <c r="G1" s="143" t="str">
        <f>Mage!G4</f>
        <v>+5</v>
      </c>
      <c r="I1" s="2" t="s">
        <v>214</v>
      </c>
      <c r="K1" s="143"/>
      <c r="M1" s="2" t="s">
        <v>213</v>
      </c>
      <c r="O1" s="146">
        <f>Mage!P22+Mage!P29</f>
        <v>9</v>
      </c>
      <c r="P1" s="16"/>
      <c r="Q1" s="17"/>
    </row>
    <row r="2" spans="1:21" ht="17.399999999999999" customHeight="1" x14ac:dyDescent="0.3">
      <c r="A2" s="82" t="s">
        <v>45</v>
      </c>
      <c r="B2" s="76"/>
      <c r="C2" s="76"/>
      <c r="D2" s="76"/>
      <c r="E2" s="76"/>
      <c r="F2" s="76"/>
      <c r="G2" s="76"/>
      <c r="H2" s="34" t="s">
        <v>44</v>
      </c>
      <c r="I2" s="34" t="s">
        <v>46</v>
      </c>
      <c r="J2" s="208" t="s">
        <v>359</v>
      </c>
      <c r="K2" s="208"/>
      <c r="L2" s="208"/>
      <c r="M2" s="208"/>
      <c r="N2" s="208"/>
      <c r="O2" s="208"/>
      <c r="P2" s="209"/>
      <c r="Q2" s="208"/>
      <c r="R2" s="6"/>
      <c r="S2" s="6"/>
      <c r="T2" s="6"/>
      <c r="U2" s="6"/>
    </row>
    <row r="3" spans="1:21" ht="17.399999999999999" customHeight="1" x14ac:dyDescent="0.3">
      <c r="A3" s="59">
        <v>1</v>
      </c>
      <c r="B3" s="2"/>
      <c r="C3" s="2"/>
      <c r="D3" s="2"/>
      <c r="E3" s="1"/>
      <c r="F3" s="2"/>
      <c r="G3" s="2"/>
      <c r="H3" s="9"/>
      <c r="I3" s="10"/>
      <c r="J3" s="143" t="s">
        <v>9</v>
      </c>
      <c r="K3" s="107"/>
      <c r="L3" s="107"/>
      <c r="M3" s="107"/>
      <c r="N3" s="107"/>
      <c r="O3" s="107"/>
      <c r="P3" s="107"/>
      <c r="Q3" s="107"/>
    </row>
    <row r="4" spans="1:21" ht="17.399999999999999" customHeight="1" x14ac:dyDescent="0.3">
      <c r="A4" s="83">
        <f>A3+1</f>
        <v>2</v>
      </c>
      <c r="B4" s="77"/>
      <c r="C4" s="77"/>
      <c r="D4" s="77"/>
      <c r="E4" s="77"/>
      <c r="F4" s="77"/>
      <c r="G4" s="77"/>
      <c r="H4" s="11"/>
      <c r="I4" s="11"/>
      <c r="J4" s="165"/>
      <c r="K4" s="107"/>
      <c r="L4" s="107"/>
      <c r="M4" s="107"/>
      <c r="N4" s="107"/>
      <c r="O4" s="107"/>
      <c r="P4" s="107"/>
      <c r="Q4" s="107"/>
    </row>
    <row r="5" spans="1:21" ht="17.399999999999999" customHeight="1" x14ac:dyDescent="0.3">
      <c r="A5" s="59">
        <f>A4+1</f>
        <v>3</v>
      </c>
      <c r="B5" s="2"/>
      <c r="C5" s="2"/>
      <c r="D5" s="2"/>
      <c r="E5" s="1"/>
      <c r="F5" s="2"/>
      <c r="G5" s="2"/>
      <c r="H5" s="10"/>
      <c r="I5" s="10"/>
      <c r="J5" s="165"/>
      <c r="K5" s="107"/>
      <c r="L5" s="107"/>
      <c r="M5" s="107"/>
      <c r="N5" s="107"/>
      <c r="O5" s="107"/>
      <c r="P5" s="107"/>
      <c r="Q5" s="107"/>
    </row>
    <row r="6" spans="1:21" ht="17.399999999999999" customHeight="1" x14ac:dyDescent="0.3">
      <c r="A6" s="83">
        <f t="shared" ref="A6:A22" si="0">A5+1</f>
        <v>4</v>
      </c>
      <c r="B6" s="77"/>
      <c r="C6" s="77"/>
      <c r="D6" s="77"/>
      <c r="E6" s="77"/>
      <c r="F6" s="77"/>
      <c r="G6" s="77"/>
      <c r="H6" s="11"/>
      <c r="I6" s="11"/>
      <c r="J6" s="166" t="s">
        <v>335</v>
      </c>
      <c r="K6" s="14"/>
      <c r="L6" s="14"/>
      <c r="M6" s="14"/>
      <c r="N6" s="14"/>
      <c r="O6" s="14"/>
      <c r="P6" s="14"/>
      <c r="Q6" s="14"/>
    </row>
    <row r="7" spans="1:21" ht="17.399999999999999" customHeight="1" x14ac:dyDescent="0.3">
      <c r="A7" s="59">
        <f t="shared" si="0"/>
        <v>5</v>
      </c>
      <c r="B7" s="2"/>
      <c r="C7" s="2"/>
      <c r="D7" s="2"/>
      <c r="E7" s="1"/>
      <c r="F7" s="2"/>
      <c r="G7" s="2"/>
      <c r="H7" s="10"/>
      <c r="I7" s="10"/>
      <c r="J7" s="167" t="s">
        <v>353</v>
      </c>
      <c r="K7" s="114" t="s">
        <v>347</v>
      </c>
      <c r="L7" s="114" t="s">
        <v>348</v>
      </c>
      <c r="M7" s="114" t="s">
        <v>349</v>
      </c>
      <c r="N7" s="114" t="s">
        <v>350</v>
      </c>
      <c r="O7" s="114" t="s">
        <v>351</v>
      </c>
      <c r="P7" s="114"/>
      <c r="Q7" s="114"/>
    </row>
    <row r="8" spans="1:21" ht="17.399999999999999" customHeight="1" x14ac:dyDescent="0.3">
      <c r="A8" s="83">
        <f t="shared" si="0"/>
        <v>6</v>
      </c>
      <c r="B8" s="77"/>
      <c r="C8" s="77"/>
      <c r="D8" s="77"/>
      <c r="E8" s="77"/>
      <c r="F8" s="77"/>
      <c r="G8" s="77"/>
      <c r="H8" s="11"/>
      <c r="I8" s="11"/>
      <c r="J8" s="168" t="s">
        <v>8</v>
      </c>
      <c r="K8" s="14"/>
      <c r="L8" s="14"/>
      <c r="M8" s="14"/>
      <c r="N8" s="14"/>
      <c r="O8" s="14"/>
      <c r="P8" s="14"/>
      <c r="Q8" s="14"/>
    </row>
    <row r="9" spans="1:21" ht="17.399999999999999" customHeight="1" x14ac:dyDescent="0.3">
      <c r="A9" s="59">
        <f t="shared" si="0"/>
        <v>7</v>
      </c>
      <c r="B9" s="2"/>
      <c r="C9" s="2"/>
      <c r="D9" s="2"/>
      <c r="E9" s="1"/>
      <c r="F9" s="2"/>
      <c r="G9" s="2"/>
      <c r="H9" s="10"/>
      <c r="I9" s="10"/>
      <c r="J9" s="168" t="s">
        <v>336</v>
      </c>
      <c r="K9" s="14"/>
      <c r="L9" s="14"/>
      <c r="M9" s="14"/>
      <c r="N9" s="14"/>
      <c r="O9" s="14"/>
      <c r="P9" s="14"/>
      <c r="Q9" s="14"/>
    </row>
    <row r="10" spans="1:21" ht="17.399999999999999" customHeight="1" x14ac:dyDescent="0.3">
      <c r="A10" s="83">
        <f t="shared" si="0"/>
        <v>8</v>
      </c>
      <c r="B10" s="77"/>
      <c r="C10" s="77"/>
      <c r="D10" s="77"/>
      <c r="E10" s="77"/>
      <c r="F10" s="77"/>
      <c r="G10" s="77"/>
      <c r="H10" s="11"/>
      <c r="I10" s="11"/>
      <c r="J10" s="168" t="s">
        <v>337</v>
      </c>
      <c r="K10" s="14"/>
      <c r="L10" s="14"/>
      <c r="M10" s="14"/>
      <c r="N10" s="14"/>
      <c r="O10" s="14"/>
      <c r="P10" s="14"/>
      <c r="Q10" s="14"/>
    </row>
    <row r="11" spans="1:21" ht="17.399999999999999" customHeight="1" x14ac:dyDescent="0.3">
      <c r="A11" s="59">
        <f t="shared" si="0"/>
        <v>9</v>
      </c>
      <c r="B11" s="2"/>
      <c r="C11" s="2"/>
      <c r="D11" s="2"/>
      <c r="E11" s="1"/>
      <c r="F11" s="2"/>
      <c r="G11" s="2"/>
      <c r="H11" s="10"/>
      <c r="I11" s="10"/>
      <c r="J11" s="168" t="s">
        <v>338</v>
      </c>
      <c r="K11" s="14"/>
      <c r="L11" s="14"/>
      <c r="M11" s="14"/>
      <c r="N11" s="14"/>
      <c r="O11" s="14"/>
      <c r="P11" s="14"/>
      <c r="Q11" s="14"/>
    </row>
    <row r="12" spans="1:21" ht="17.399999999999999" customHeight="1" x14ac:dyDescent="0.3">
      <c r="A12" s="83">
        <f t="shared" si="0"/>
        <v>10</v>
      </c>
      <c r="B12" s="77"/>
      <c r="C12" s="77"/>
      <c r="D12" s="77"/>
      <c r="E12" s="77"/>
      <c r="F12" s="77"/>
      <c r="G12" s="77"/>
      <c r="H12" s="11"/>
      <c r="I12" s="11"/>
      <c r="J12" s="168" t="s">
        <v>340</v>
      </c>
      <c r="K12" s="14"/>
      <c r="L12" s="14"/>
      <c r="M12" s="14"/>
      <c r="N12" s="14"/>
      <c r="O12" s="14"/>
      <c r="P12" s="14"/>
      <c r="Q12" s="14"/>
    </row>
    <row r="13" spans="1:21" ht="17.399999999999999" customHeight="1" x14ac:dyDescent="0.3">
      <c r="A13" s="59">
        <f t="shared" si="0"/>
        <v>11</v>
      </c>
      <c r="B13" s="2"/>
      <c r="C13" s="2"/>
      <c r="D13" s="2"/>
      <c r="E13" s="1"/>
      <c r="F13" s="2"/>
      <c r="G13" s="2"/>
      <c r="H13" s="10"/>
      <c r="I13" s="10"/>
      <c r="J13" s="168" t="s">
        <v>339</v>
      </c>
      <c r="K13" s="14"/>
      <c r="L13" s="14"/>
      <c r="M13" s="14"/>
      <c r="N13" s="14"/>
      <c r="O13" s="14"/>
      <c r="P13" s="14"/>
      <c r="Q13" s="14"/>
    </row>
    <row r="14" spans="1:21" ht="17.399999999999999" customHeight="1" x14ac:dyDescent="0.3">
      <c r="A14" s="83">
        <f t="shared" si="0"/>
        <v>12</v>
      </c>
      <c r="B14" s="77"/>
      <c r="C14" s="77"/>
      <c r="D14" s="77"/>
      <c r="E14" s="77"/>
      <c r="F14" s="77"/>
      <c r="G14" s="77"/>
      <c r="H14" s="11"/>
      <c r="I14" s="11"/>
      <c r="J14" s="174" t="s">
        <v>358</v>
      </c>
      <c r="K14" s="171"/>
      <c r="L14" s="171"/>
      <c r="M14" s="171"/>
      <c r="N14" s="171"/>
      <c r="O14" s="171"/>
      <c r="P14" s="171"/>
      <c r="Q14" s="172"/>
    </row>
    <row r="15" spans="1:21" ht="17.399999999999999" customHeight="1" x14ac:dyDescent="0.3">
      <c r="A15" s="59">
        <f t="shared" si="0"/>
        <v>13</v>
      </c>
      <c r="B15" s="2"/>
      <c r="C15" s="2"/>
      <c r="D15" s="2"/>
      <c r="E15" s="1"/>
      <c r="F15" s="2"/>
      <c r="G15" s="2"/>
      <c r="H15" s="10"/>
      <c r="I15" s="10"/>
      <c r="J15" s="175" t="s">
        <v>352</v>
      </c>
      <c r="K15" s="2"/>
      <c r="L15" s="2"/>
      <c r="M15" s="2"/>
      <c r="N15" s="2"/>
      <c r="O15" s="2"/>
      <c r="P15" s="2"/>
      <c r="Q15" s="115"/>
      <c r="S15" s="124"/>
    </row>
    <row r="16" spans="1:21" ht="17.399999999999999" customHeight="1" x14ac:dyDescent="0.3">
      <c r="A16" s="83">
        <f t="shared" si="0"/>
        <v>14</v>
      </c>
      <c r="B16" s="77"/>
      <c r="C16" s="77"/>
      <c r="D16" s="77"/>
      <c r="E16" s="77"/>
      <c r="F16" s="77"/>
      <c r="G16" s="77"/>
      <c r="H16" s="11"/>
      <c r="I16" s="11"/>
      <c r="J16" s="175" t="s">
        <v>220</v>
      </c>
      <c r="K16" s="2"/>
      <c r="L16" s="2"/>
      <c r="M16" s="2"/>
      <c r="N16" s="2"/>
      <c r="O16" s="2"/>
      <c r="P16" s="2"/>
      <c r="Q16" s="115"/>
      <c r="S16" s="125"/>
    </row>
    <row r="17" spans="1:21" ht="17.399999999999999" customHeight="1" x14ac:dyDescent="0.3">
      <c r="A17" s="59">
        <f t="shared" si="0"/>
        <v>15</v>
      </c>
      <c r="B17" s="2"/>
      <c r="C17" s="2"/>
      <c r="D17" s="2"/>
      <c r="E17" s="1"/>
      <c r="F17" s="2"/>
      <c r="G17" s="2"/>
      <c r="H17" s="10"/>
      <c r="I17" s="10"/>
      <c r="J17" s="175" t="s">
        <v>334</v>
      </c>
      <c r="K17" s="2"/>
      <c r="L17" s="2"/>
      <c r="M17" s="2"/>
      <c r="N17" s="2"/>
      <c r="O17" s="2"/>
      <c r="P17" s="2"/>
      <c r="Q17" s="115"/>
      <c r="S17" s="125"/>
    </row>
    <row r="18" spans="1:21" ht="17.399999999999999" customHeight="1" x14ac:dyDescent="0.3">
      <c r="A18" s="83">
        <f t="shared" si="0"/>
        <v>16</v>
      </c>
      <c r="B18" s="77"/>
      <c r="C18" s="77"/>
      <c r="D18" s="77"/>
      <c r="E18" s="77"/>
      <c r="F18" s="77"/>
      <c r="G18" s="77"/>
      <c r="H18" s="11"/>
      <c r="I18" s="11"/>
      <c r="J18" s="175" t="s">
        <v>219</v>
      </c>
      <c r="K18" s="2"/>
      <c r="L18" s="2"/>
      <c r="M18" s="2"/>
      <c r="N18" s="2"/>
      <c r="O18" s="2"/>
      <c r="P18" s="2"/>
      <c r="Q18" s="115"/>
      <c r="S18" s="125"/>
    </row>
    <row r="19" spans="1:21" ht="17.399999999999999" customHeight="1" x14ac:dyDescent="0.3">
      <c r="A19" s="59">
        <f t="shared" si="0"/>
        <v>17</v>
      </c>
      <c r="B19" s="2"/>
      <c r="C19" s="2"/>
      <c r="D19" s="2"/>
      <c r="E19" s="1"/>
      <c r="F19" s="2"/>
      <c r="G19" s="2"/>
      <c r="H19" s="10"/>
      <c r="I19" s="10"/>
      <c r="J19" s="175" t="s">
        <v>217</v>
      </c>
      <c r="K19" s="2"/>
      <c r="L19" s="2"/>
      <c r="M19" s="2"/>
      <c r="N19" s="2"/>
      <c r="O19" s="2"/>
      <c r="P19" s="2"/>
      <c r="Q19" s="115"/>
      <c r="S19" s="125"/>
    </row>
    <row r="20" spans="1:21" ht="17.399999999999999" customHeight="1" x14ac:dyDescent="0.3">
      <c r="A20" s="84">
        <f t="shared" si="0"/>
        <v>18</v>
      </c>
      <c r="B20" s="78"/>
      <c r="C20" s="77"/>
      <c r="D20" s="77"/>
      <c r="E20" s="77"/>
      <c r="F20" s="77"/>
      <c r="G20" s="77"/>
      <c r="H20" s="11"/>
      <c r="I20" s="11"/>
      <c r="J20" s="175" t="s">
        <v>356</v>
      </c>
      <c r="K20" s="2"/>
      <c r="L20" s="2"/>
      <c r="M20" s="2"/>
      <c r="N20" s="2"/>
      <c r="O20" s="2"/>
      <c r="P20" s="2"/>
      <c r="Q20" s="115"/>
      <c r="S20" s="125" t="s">
        <v>354</v>
      </c>
    </row>
    <row r="21" spans="1:21" ht="17.399999999999999" customHeight="1" x14ac:dyDescent="0.3">
      <c r="A21" s="35">
        <f t="shared" si="0"/>
        <v>19</v>
      </c>
      <c r="B21" s="2"/>
      <c r="C21" s="2"/>
      <c r="D21" s="2"/>
      <c r="E21" s="1"/>
      <c r="F21" s="2"/>
      <c r="G21" s="2"/>
      <c r="H21" s="10"/>
      <c r="I21" s="10"/>
      <c r="J21" s="175" t="s">
        <v>355</v>
      </c>
      <c r="K21" s="2"/>
      <c r="L21" s="2"/>
      <c r="M21" s="2"/>
      <c r="N21" s="2"/>
      <c r="O21" s="2"/>
      <c r="P21" s="2"/>
      <c r="Q21" s="115"/>
      <c r="S21" s="125" t="s">
        <v>354</v>
      </c>
    </row>
    <row r="22" spans="1:21" ht="17.399999999999999" customHeight="1" x14ac:dyDescent="0.3">
      <c r="A22" s="84">
        <f t="shared" si="0"/>
        <v>20</v>
      </c>
      <c r="B22" s="77"/>
      <c r="C22" s="8"/>
      <c r="D22" s="8"/>
      <c r="E22" s="8"/>
      <c r="F22" s="8"/>
      <c r="G22" s="8"/>
      <c r="H22" s="12"/>
      <c r="I22" s="12"/>
      <c r="J22" s="176" t="s">
        <v>218</v>
      </c>
      <c r="K22" s="24"/>
      <c r="L22" s="24"/>
      <c r="M22" s="24"/>
      <c r="N22" s="24"/>
      <c r="O22" s="24"/>
      <c r="P22" s="24"/>
      <c r="Q22" s="173"/>
      <c r="S22" s="126" t="s">
        <v>354</v>
      </c>
    </row>
    <row r="23" spans="1:21" ht="14.4" customHeight="1" thickBot="1" x14ac:dyDescent="0.35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27" t="s">
        <v>357</v>
      </c>
    </row>
    <row r="24" spans="1:21" ht="17.399999999999999" customHeight="1" x14ac:dyDescent="0.3">
      <c r="A24" s="210" t="s">
        <v>194</v>
      </c>
      <c r="B24" s="211"/>
      <c r="C24" s="81" t="s">
        <v>8</v>
      </c>
      <c r="D24" s="81" t="s">
        <v>8</v>
      </c>
      <c r="E24" s="81" t="s">
        <v>8</v>
      </c>
      <c r="F24" s="81" t="s">
        <v>8</v>
      </c>
      <c r="G24" s="81" t="s">
        <v>8</v>
      </c>
      <c r="H24" s="81" t="s">
        <v>8</v>
      </c>
      <c r="I24" s="81" t="s">
        <v>8</v>
      </c>
      <c r="J24" s="81" t="s">
        <v>8</v>
      </c>
      <c r="K24" s="81" t="s">
        <v>8</v>
      </c>
      <c r="L24" s="81" t="s">
        <v>8</v>
      </c>
      <c r="M24" s="81" t="s">
        <v>8</v>
      </c>
      <c r="N24" s="81" t="s">
        <v>8</v>
      </c>
      <c r="O24" s="81" t="s">
        <v>8</v>
      </c>
      <c r="P24" s="81" t="s">
        <v>8</v>
      </c>
      <c r="Q24" s="81" t="s">
        <v>8</v>
      </c>
    </row>
    <row r="25" spans="1:21" ht="17.399999999999999" customHeight="1" x14ac:dyDescent="0.3">
      <c r="A25" s="85"/>
      <c r="B25" s="86"/>
      <c r="C25" s="7">
        <v>-3</v>
      </c>
      <c r="D25" s="7">
        <f t="shared" ref="D25:Q25" si="1">C25+1</f>
        <v>-2</v>
      </c>
      <c r="E25" s="7">
        <f t="shared" si="1"/>
        <v>-1</v>
      </c>
      <c r="F25" s="7">
        <f t="shared" si="1"/>
        <v>0</v>
      </c>
      <c r="G25" s="7">
        <f t="shared" si="1"/>
        <v>1</v>
      </c>
      <c r="H25" s="7">
        <f t="shared" si="1"/>
        <v>2</v>
      </c>
      <c r="I25" s="7">
        <f t="shared" si="1"/>
        <v>3</v>
      </c>
      <c r="J25" s="7">
        <f t="shared" si="1"/>
        <v>4</v>
      </c>
      <c r="K25" s="7">
        <f t="shared" si="1"/>
        <v>5</v>
      </c>
      <c r="L25" s="7">
        <f t="shared" si="1"/>
        <v>6</v>
      </c>
      <c r="M25" s="7">
        <f t="shared" si="1"/>
        <v>7</v>
      </c>
      <c r="N25" s="7">
        <f t="shared" si="1"/>
        <v>8</v>
      </c>
      <c r="O25" s="7">
        <f t="shared" si="1"/>
        <v>9</v>
      </c>
      <c r="P25" s="7">
        <f t="shared" si="1"/>
        <v>10</v>
      </c>
      <c r="Q25" s="7">
        <f t="shared" si="1"/>
        <v>11</v>
      </c>
      <c r="R25" s="1"/>
      <c r="S25" s="1"/>
      <c r="T25" s="1"/>
      <c r="U25" s="1"/>
    </row>
    <row r="26" spans="1:21" ht="14.4" customHeight="1" x14ac:dyDescent="0.3">
      <c r="A26" s="212">
        <v>19</v>
      </c>
      <c r="B26" s="213"/>
      <c r="C26" s="79">
        <f>$A26-C$25</f>
        <v>22</v>
      </c>
      <c r="D26" s="79">
        <f t="shared" ref="D26:Q26" si="2">$A26-D$25</f>
        <v>21</v>
      </c>
      <c r="E26" s="79">
        <f t="shared" si="2"/>
        <v>20</v>
      </c>
      <c r="F26" s="79">
        <f t="shared" si="2"/>
        <v>19</v>
      </c>
      <c r="G26" s="79">
        <f t="shared" si="2"/>
        <v>18</v>
      </c>
      <c r="H26" s="79">
        <f t="shared" si="2"/>
        <v>17</v>
      </c>
      <c r="I26" s="79">
        <f t="shared" si="2"/>
        <v>16</v>
      </c>
      <c r="J26" s="79">
        <f t="shared" si="2"/>
        <v>15</v>
      </c>
      <c r="K26" s="79">
        <f t="shared" si="2"/>
        <v>14</v>
      </c>
      <c r="L26" s="79">
        <f t="shared" si="2"/>
        <v>13</v>
      </c>
      <c r="M26" s="79">
        <f t="shared" si="2"/>
        <v>12</v>
      </c>
      <c r="N26" s="79">
        <f t="shared" si="2"/>
        <v>11</v>
      </c>
      <c r="O26" s="79">
        <f t="shared" si="2"/>
        <v>10</v>
      </c>
      <c r="P26" s="79">
        <f t="shared" si="2"/>
        <v>9</v>
      </c>
      <c r="Q26" s="79">
        <f t="shared" si="2"/>
        <v>8</v>
      </c>
    </row>
    <row r="27" spans="1:21" ht="14.4" customHeight="1" x14ac:dyDescent="0.3">
      <c r="A27" s="214">
        <v>18</v>
      </c>
      <c r="B27" s="207"/>
      <c r="C27" s="80">
        <f t="shared" ref="C27:Q34" si="3">$A27-C$25</f>
        <v>21</v>
      </c>
      <c r="D27" s="80">
        <f t="shared" si="3"/>
        <v>20</v>
      </c>
      <c r="E27" s="80">
        <f t="shared" si="3"/>
        <v>19</v>
      </c>
      <c r="F27" s="80">
        <f t="shared" si="3"/>
        <v>18</v>
      </c>
      <c r="G27" s="80">
        <f t="shared" si="3"/>
        <v>17</v>
      </c>
      <c r="H27" s="80">
        <f t="shared" si="3"/>
        <v>16</v>
      </c>
      <c r="I27" s="80">
        <f t="shared" si="3"/>
        <v>15</v>
      </c>
      <c r="J27" s="80">
        <f t="shared" si="3"/>
        <v>14</v>
      </c>
      <c r="K27" s="80">
        <f t="shared" si="3"/>
        <v>13</v>
      </c>
      <c r="L27" s="80">
        <f t="shared" si="3"/>
        <v>12</v>
      </c>
      <c r="M27" s="80">
        <f t="shared" si="3"/>
        <v>11</v>
      </c>
      <c r="N27" s="80">
        <f t="shared" si="3"/>
        <v>10</v>
      </c>
      <c r="O27" s="80">
        <f t="shared" si="3"/>
        <v>9</v>
      </c>
      <c r="P27" s="80">
        <f t="shared" si="3"/>
        <v>8</v>
      </c>
      <c r="Q27" s="80">
        <f t="shared" si="3"/>
        <v>7</v>
      </c>
    </row>
    <row r="28" spans="1:21" ht="14.4" customHeight="1" x14ac:dyDescent="0.3">
      <c r="A28" s="213">
        <v>17</v>
      </c>
      <c r="B28" s="213"/>
      <c r="C28" s="79">
        <f t="shared" si="3"/>
        <v>20</v>
      </c>
      <c r="D28" s="79">
        <f t="shared" si="3"/>
        <v>19</v>
      </c>
      <c r="E28" s="79">
        <f t="shared" si="3"/>
        <v>18</v>
      </c>
      <c r="F28" s="79">
        <f t="shared" si="3"/>
        <v>17</v>
      </c>
      <c r="G28" s="79">
        <f t="shared" si="3"/>
        <v>16</v>
      </c>
      <c r="H28" s="79">
        <f t="shared" si="3"/>
        <v>15</v>
      </c>
      <c r="I28" s="79">
        <f t="shared" si="3"/>
        <v>14</v>
      </c>
      <c r="J28" s="79">
        <f t="shared" si="3"/>
        <v>13</v>
      </c>
      <c r="K28" s="79">
        <f t="shared" si="3"/>
        <v>12</v>
      </c>
      <c r="L28" s="79">
        <f t="shared" si="3"/>
        <v>11</v>
      </c>
      <c r="M28" s="79">
        <f t="shared" si="3"/>
        <v>10</v>
      </c>
      <c r="N28" s="79">
        <f t="shared" si="3"/>
        <v>9</v>
      </c>
      <c r="O28" s="79">
        <f t="shared" si="3"/>
        <v>8</v>
      </c>
      <c r="P28" s="79">
        <f t="shared" si="3"/>
        <v>7</v>
      </c>
      <c r="Q28" s="79">
        <f t="shared" si="3"/>
        <v>6</v>
      </c>
    </row>
    <row r="29" spans="1:21" ht="14.4" customHeight="1" x14ac:dyDescent="0.3">
      <c r="A29" s="207">
        <v>16</v>
      </c>
      <c r="B29" s="207"/>
      <c r="C29" s="80">
        <f t="shared" si="3"/>
        <v>19</v>
      </c>
      <c r="D29" s="80">
        <f t="shared" si="3"/>
        <v>18</v>
      </c>
      <c r="E29" s="80">
        <f t="shared" si="3"/>
        <v>17</v>
      </c>
      <c r="F29" s="80">
        <f t="shared" si="3"/>
        <v>16</v>
      </c>
      <c r="G29" s="80">
        <f t="shared" si="3"/>
        <v>15</v>
      </c>
      <c r="H29" s="80">
        <f t="shared" si="3"/>
        <v>14</v>
      </c>
      <c r="I29" s="80">
        <f t="shared" si="3"/>
        <v>13</v>
      </c>
      <c r="J29" s="80">
        <f t="shared" si="3"/>
        <v>12</v>
      </c>
      <c r="K29" s="80">
        <f t="shared" si="3"/>
        <v>11</v>
      </c>
      <c r="L29" s="80">
        <f t="shared" si="3"/>
        <v>10</v>
      </c>
      <c r="M29" s="80">
        <f t="shared" si="3"/>
        <v>9</v>
      </c>
      <c r="N29" s="80">
        <f t="shared" si="3"/>
        <v>8</v>
      </c>
      <c r="O29" s="80">
        <f t="shared" si="3"/>
        <v>7</v>
      </c>
      <c r="P29" s="80">
        <f t="shared" si="3"/>
        <v>6</v>
      </c>
      <c r="Q29" s="80">
        <f t="shared" si="3"/>
        <v>5</v>
      </c>
    </row>
    <row r="30" spans="1:21" ht="14.4" customHeight="1" x14ac:dyDescent="0.3">
      <c r="A30" s="213">
        <v>15</v>
      </c>
      <c r="B30" s="213"/>
      <c r="C30" s="79">
        <f t="shared" si="3"/>
        <v>18</v>
      </c>
      <c r="D30" s="79">
        <f t="shared" si="3"/>
        <v>17</v>
      </c>
      <c r="E30" s="79">
        <f t="shared" si="3"/>
        <v>16</v>
      </c>
      <c r="F30" s="79">
        <f t="shared" si="3"/>
        <v>15</v>
      </c>
      <c r="G30" s="79">
        <f t="shared" si="3"/>
        <v>14</v>
      </c>
      <c r="H30" s="79">
        <f t="shared" si="3"/>
        <v>13</v>
      </c>
      <c r="I30" s="79">
        <f t="shared" si="3"/>
        <v>12</v>
      </c>
      <c r="J30" s="79">
        <f t="shared" si="3"/>
        <v>11</v>
      </c>
      <c r="K30" s="79">
        <f t="shared" si="3"/>
        <v>10</v>
      </c>
      <c r="L30" s="79">
        <f t="shared" si="3"/>
        <v>9</v>
      </c>
      <c r="M30" s="79">
        <f t="shared" si="3"/>
        <v>8</v>
      </c>
      <c r="N30" s="79">
        <f t="shared" si="3"/>
        <v>7</v>
      </c>
      <c r="O30" s="79">
        <f t="shared" si="3"/>
        <v>6</v>
      </c>
      <c r="P30" s="79">
        <f t="shared" si="3"/>
        <v>5</v>
      </c>
      <c r="Q30" s="79">
        <f t="shared" si="3"/>
        <v>4</v>
      </c>
    </row>
    <row r="31" spans="1:21" ht="14.4" customHeight="1" x14ac:dyDescent="0.3">
      <c r="A31" s="207">
        <v>14</v>
      </c>
      <c r="B31" s="207"/>
      <c r="C31" s="80">
        <f t="shared" si="3"/>
        <v>17</v>
      </c>
      <c r="D31" s="80">
        <f t="shared" si="3"/>
        <v>16</v>
      </c>
      <c r="E31" s="80">
        <f t="shared" si="3"/>
        <v>15</v>
      </c>
      <c r="F31" s="80">
        <f t="shared" si="3"/>
        <v>14</v>
      </c>
      <c r="G31" s="80">
        <f t="shared" si="3"/>
        <v>13</v>
      </c>
      <c r="H31" s="80">
        <f t="shared" si="3"/>
        <v>12</v>
      </c>
      <c r="I31" s="80">
        <f t="shared" si="3"/>
        <v>11</v>
      </c>
      <c r="J31" s="80">
        <f t="shared" si="3"/>
        <v>10</v>
      </c>
      <c r="K31" s="80">
        <f t="shared" si="3"/>
        <v>9</v>
      </c>
      <c r="L31" s="80">
        <f t="shared" si="3"/>
        <v>8</v>
      </c>
      <c r="M31" s="80">
        <f t="shared" si="3"/>
        <v>7</v>
      </c>
      <c r="N31" s="80">
        <f t="shared" si="3"/>
        <v>6</v>
      </c>
      <c r="O31" s="80">
        <f t="shared" si="3"/>
        <v>5</v>
      </c>
      <c r="P31" s="80">
        <f t="shared" si="3"/>
        <v>4</v>
      </c>
      <c r="Q31" s="80">
        <f t="shared" si="3"/>
        <v>3</v>
      </c>
    </row>
    <row r="32" spans="1:21" ht="14.4" customHeight="1" x14ac:dyDescent="0.3">
      <c r="A32" s="216">
        <v>13</v>
      </c>
      <c r="B32" s="216"/>
      <c r="C32" s="79">
        <f t="shared" si="3"/>
        <v>16</v>
      </c>
      <c r="D32" s="79">
        <f t="shared" si="3"/>
        <v>15</v>
      </c>
      <c r="E32" s="79">
        <f t="shared" si="3"/>
        <v>14</v>
      </c>
      <c r="F32" s="79">
        <f t="shared" si="3"/>
        <v>13</v>
      </c>
      <c r="G32" s="79">
        <f t="shared" si="3"/>
        <v>12</v>
      </c>
      <c r="H32" s="79">
        <f t="shared" si="3"/>
        <v>11</v>
      </c>
      <c r="I32" s="79">
        <f t="shared" si="3"/>
        <v>10</v>
      </c>
      <c r="J32" s="79">
        <f t="shared" si="3"/>
        <v>9</v>
      </c>
      <c r="K32" s="79">
        <f t="shared" si="3"/>
        <v>8</v>
      </c>
      <c r="L32" s="79">
        <f t="shared" si="3"/>
        <v>7</v>
      </c>
      <c r="M32" s="79">
        <f t="shared" si="3"/>
        <v>6</v>
      </c>
      <c r="N32" s="79">
        <f t="shared" si="3"/>
        <v>5</v>
      </c>
      <c r="O32" s="79">
        <f t="shared" si="3"/>
        <v>4</v>
      </c>
      <c r="P32" s="79">
        <f t="shared" si="3"/>
        <v>3</v>
      </c>
      <c r="Q32" s="79">
        <f t="shared" si="3"/>
        <v>2</v>
      </c>
    </row>
    <row r="33" spans="1:17" ht="14.4" customHeight="1" x14ac:dyDescent="0.3">
      <c r="A33" s="207">
        <v>12</v>
      </c>
      <c r="B33" s="207"/>
      <c r="C33" s="80">
        <f t="shared" si="3"/>
        <v>15</v>
      </c>
      <c r="D33" s="80">
        <f t="shared" si="3"/>
        <v>14</v>
      </c>
      <c r="E33" s="80">
        <f t="shared" si="3"/>
        <v>13</v>
      </c>
      <c r="F33" s="80">
        <f t="shared" si="3"/>
        <v>12</v>
      </c>
      <c r="G33" s="80">
        <f t="shared" si="3"/>
        <v>11</v>
      </c>
      <c r="H33" s="80">
        <f t="shared" si="3"/>
        <v>10</v>
      </c>
      <c r="I33" s="80">
        <f t="shared" si="3"/>
        <v>9</v>
      </c>
      <c r="J33" s="80">
        <f t="shared" si="3"/>
        <v>8</v>
      </c>
      <c r="K33" s="80">
        <f t="shared" si="3"/>
        <v>7</v>
      </c>
      <c r="L33" s="80">
        <f t="shared" si="3"/>
        <v>6</v>
      </c>
      <c r="M33" s="80">
        <f t="shared" si="3"/>
        <v>5</v>
      </c>
      <c r="N33" s="80">
        <f t="shared" si="3"/>
        <v>4</v>
      </c>
      <c r="O33" s="80">
        <f t="shared" si="3"/>
        <v>3</v>
      </c>
      <c r="P33" s="80">
        <f t="shared" si="3"/>
        <v>2</v>
      </c>
      <c r="Q33" s="80">
        <f t="shared" si="3"/>
        <v>1</v>
      </c>
    </row>
    <row r="34" spans="1:17" ht="14.4" customHeight="1" x14ac:dyDescent="0.3">
      <c r="A34" s="213">
        <v>11</v>
      </c>
      <c r="B34" s="213"/>
      <c r="C34" s="79">
        <f t="shared" si="3"/>
        <v>14</v>
      </c>
      <c r="D34" s="79">
        <f t="shared" si="3"/>
        <v>13</v>
      </c>
      <c r="E34" s="79">
        <f t="shared" si="3"/>
        <v>12</v>
      </c>
      <c r="F34" s="79">
        <f t="shared" si="3"/>
        <v>11</v>
      </c>
      <c r="G34" s="79">
        <f t="shared" si="3"/>
        <v>10</v>
      </c>
      <c r="H34" s="79">
        <f t="shared" si="3"/>
        <v>9</v>
      </c>
      <c r="I34" s="79">
        <f t="shared" si="3"/>
        <v>8</v>
      </c>
      <c r="J34" s="79">
        <f t="shared" si="3"/>
        <v>7</v>
      </c>
      <c r="K34" s="79">
        <f t="shared" si="3"/>
        <v>6</v>
      </c>
      <c r="L34" s="79">
        <f t="shared" si="3"/>
        <v>5</v>
      </c>
      <c r="M34" s="79">
        <f t="shared" si="3"/>
        <v>4</v>
      </c>
      <c r="N34" s="79">
        <f t="shared" si="3"/>
        <v>3</v>
      </c>
      <c r="O34" s="79">
        <f t="shared" si="3"/>
        <v>2</v>
      </c>
      <c r="P34" s="79">
        <f t="shared" si="3"/>
        <v>1</v>
      </c>
      <c r="Q34" s="79">
        <f t="shared" si="3"/>
        <v>0</v>
      </c>
    </row>
    <row r="35" spans="1:17" ht="14.4" customHeight="1" x14ac:dyDescent="0.3">
      <c r="A35" s="119"/>
      <c r="B35" s="120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1" t="s">
        <v>195</v>
      </c>
    </row>
    <row r="36" spans="1:17" ht="12.6" customHeight="1" thickBot="1" x14ac:dyDescent="0.35">
      <c r="A36" s="122"/>
      <c r="B36" s="123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1:17" ht="12.6" customHeight="1" x14ac:dyDescent="0.3">
      <c r="A37" s="38" t="s">
        <v>46</v>
      </c>
      <c r="B37" s="39" t="s">
        <v>48</v>
      </c>
      <c r="C37" s="38"/>
      <c r="D37" s="38"/>
      <c r="E37" s="38"/>
      <c r="F37" s="38"/>
      <c r="G37" s="38"/>
      <c r="H37" s="38"/>
      <c r="I37" s="38"/>
      <c r="J37" s="38"/>
      <c r="K37" s="40" t="s">
        <v>203</v>
      </c>
      <c r="L37" s="41"/>
      <c r="M37" s="42" t="s">
        <v>8</v>
      </c>
      <c r="N37" s="42" t="s">
        <v>46</v>
      </c>
      <c r="O37" s="42" t="s">
        <v>204</v>
      </c>
      <c r="P37" s="42" t="s">
        <v>205</v>
      </c>
      <c r="Q37" s="42" t="s">
        <v>206</v>
      </c>
    </row>
    <row r="38" spans="1:17" ht="12.6" customHeight="1" x14ac:dyDescent="0.3">
      <c r="A38" s="36">
        <v>0</v>
      </c>
      <c r="B38" s="37" t="s">
        <v>221</v>
      </c>
      <c r="K38" s="35" t="s">
        <v>196</v>
      </c>
      <c r="L38" s="2"/>
      <c r="M38" s="43">
        <v>9</v>
      </c>
      <c r="N38" s="43">
        <v>0</v>
      </c>
      <c r="O38" s="43" t="s">
        <v>207</v>
      </c>
      <c r="P38" s="43" t="s">
        <v>208</v>
      </c>
      <c r="Q38" s="43" t="s">
        <v>209</v>
      </c>
    </row>
    <row r="39" spans="1:17" ht="12.6" customHeight="1" x14ac:dyDescent="0.3">
      <c r="A39" s="36" t="s">
        <v>223</v>
      </c>
      <c r="B39" s="47" t="s">
        <v>222</v>
      </c>
      <c r="C39" s="48"/>
      <c r="D39" s="48"/>
      <c r="E39" s="48"/>
      <c r="F39" s="48"/>
      <c r="G39" s="48"/>
      <c r="H39" s="48"/>
      <c r="I39" s="48"/>
      <c r="J39" s="48"/>
      <c r="K39" s="44" t="s">
        <v>233</v>
      </c>
      <c r="L39" s="45"/>
      <c r="M39" s="46">
        <v>8</v>
      </c>
      <c r="N39" s="46">
        <v>1</v>
      </c>
      <c r="O39" s="46" t="s">
        <v>207</v>
      </c>
      <c r="P39" s="46" t="s">
        <v>208</v>
      </c>
      <c r="Q39" s="46" t="s">
        <v>209</v>
      </c>
    </row>
    <row r="40" spans="1:17" ht="12.6" customHeight="1" x14ac:dyDescent="0.3">
      <c r="A40" s="36" t="s">
        <v>224</v>
      </c>
      <c r="B40" s="49" t="s">
        <v>225</v>
      </c>
      <c r="K40" s="35" t="s">
        <v>197</v>
      </c>
      <c r="L40" s="2"/>
      <c r="M40" s="43">
        <v>7</v>
      </c>
      <c r="N40" s="43">
        <v>2</v>
      </c>
      <c r="O40" s="43"/>
      <c r="P40" s="43" t="s">
        <v>208</v>
      </c>
      <c r="Q40" s="43" t="s">
        <v>209</v>
      </c>
    </row>
    <row r="41" spans="1:17" ht="12.6" customHeight="1" x14ac:dyDescent="0.3">
      <c r="A41" s="36">
        <v>1</v>
      </c>
      <c r="B41" s="47" t="s">
        <v>226</v>
      </c>
      <c r="C41" s="47"/>
      <c r="D41" s="47"/>
      <c r="E41" s="47"/>
      <c r="F41" s="47"/>
      <c r="G41" s="47"/>
      <c r="H41" s="47"/>
      <c r="I41" s="47"/>
      <c r="J41" s="47"/>
      <c r="K41" s="44" t="s">
        <v>198</v>
      </c>
      <c r="L41" s="45"/>
      <c r="M41" s="46">
        <v>6</v>
      </c>
      <c r="N41" s="46">
        <v>2</v>
      </c>
      <c r="O41" s="46" t="s">
        <v>207</v>
      </c>
      <c r="P41" s="46" t="s">
        <v>208</v>
      </c>
      <c r="Q41" s="46" t="s">
        <v>209</v>
      </c>
    </row>
    <row r="42" spans="1:17" ht="12.6" customHeight="1" x14ac:dyDescent="0.3">
      <c r="A42" s="36">
        <v>2</v>
      </c>
      <c r="B42" s="49" t="s">
        <v>228</v>
      </c>
      <c r="K42" s="35" t="s">
        <v>199</v>
      </c>
      <c r="L42" s="2"/>
      <c r="M42" s="43">
        <v>5</v>
      </c>
      <c r="N42" s="43">
        <v>2</v>
      </c>
      <c r="O42" s="43" t="s">
        <v>209</v>
      </c>
      <c r="P42" s="43" t="s">
        <v>208</v>
      </c>
      <c r="Q42" s="43" t="s">
        <v>208</v>
      </c>
    </row>
    <row r="43" spans="1:17" ht="12.6" customHeight="1" x14ac:dyDescent="0.3">
      <c r="A43" s="36">
        <v>3</v>
      </c>
      <c r="B43" s="47" t="s">
        <v>227</v>
      </c>
      <c r="C43" s="47"/>
      <c r="D43" s="47"/>
      <c r="E43" s="47"/>
      <c r="F43" s="47"/>
      <c r="G43" s="47"/>
      <c r="H43" s="47"/>
      <c r="I43" s="47"/>
      <c r="J43" s="47"/>
      <c r="K43" s="44" t="s">
        <v>201</v>
      </c>
      <c r="L43" s="45"/>
      <c r="M43" s="46">
        <v>4</v>
      </c>
      <c r="N43" s="46">
        <v>3</v>
      </c>
      <c r="O43" s="46" t="s">
        <v>208</v>
      </c>
      <c r="P43" s="46" t="s">
        <v>208</v>
      </c>
      <c r="Q43" s="46" t="s">
        <v>47</v>
      </c>
    </row>
    <row r="44" spans="1:17" ht="12.6" customHeight="1" x14ac:dyDescent="0.3">
      <c r="A44" s="36"/>
      <c r="B44" s="50"/>
      <c r="C44" s="13"/>
      <c r="D44" s="13"/>
      <c r="E44" s="13"/>
      <c r="G44" s="13"/>
      <c r="H44" s="13"/>
      <c r="I44" s="13"/>
      <c r="J44" s="3"/>
      <c r="K44" s="35" t="s">
        <v>202</v>
      </c>
      <c r="L44" s="2"/>
      <c r="M44" s="43">
        <v>3</v>
      </c>
      <c r="N44" s="43">
        <v>3</v>
      </c>
      <c r="O44" s="43" t="s">
        <v>208</v>
      </c>
      <c r="P44" s="43" t="s">
        <v>208</v>
      </c>
      <c r="Q44" s="43" t="s">
        <v>47</v>
      </c>
    </row>
    <row r="45" spans="1:17" ht="12.6" customHeight="1" x14ac:dyDescent="0.3">
      <c r="A45" t="s">
        <v>230</v>
      </c>
      <c r="B45" s="50"/>
      <c r="C45" s="13"/>
      <c r="D45" s="13"/>
      <c r="E45" s="13"/>
      <c r="F45" s="51"/>
      <c r="G45" s="13"/>
      <c r="H45" s="13"/>
      <c r="I45" s="13"/>
      <c r="J45" s="3"/>
      <c r="K45" s="44" t="s">
        <v>234</v>
      </c>
      <c r="L45" s="45"/>
      <c r="M45" s="46">
        <v>2</v>
      </c>
      <c r="N45" s="46">
        <v>3</v>
      </c>
      <c r="O45" s="46" t="s">
        <v>208</v>
      </c>
      <c r="P45" s="46" t="s">
        <v>208</v>
      </c>
      <c r="Q45" s="46" t="s">
        <v>47</v>
      </c>
    </row>
    <row r="46" spans="1:17" ht="12.6" customHeight="1" x14ac:dyDescent="0.3">
      <c r="A46" t="s">
        <v>229</v>
      </c>
      <c r="B46" s="50"/>
      <c r="C46" s="13"/>
      <c r="D46" s="13"/>
      <c r="E46" s="13"/>
      <c r="F46" s="13"/>
      <c r="G46" s="13"/>
      <c r="H46" s="13"/>
      <c r="I46" s="13"/>
      <c r="J46" s="3"/>
      <c r="K46" s="35" t="s">
        <v>200</v>
      </c>
      <c r="L46" s="2"/>
      <c r="M46" s="43">
        <v>-1</v>
      </c>
      <c r="N46" s="43">
        <v>2</v>
      </c>
      <c r="O46" s="43"/>
      <c r="P46" s="43"/>
      <c r="Q46" s="43"/>
    </row>
    <row r="47" spans="1:17" ht="12.6" customHeight="1" x14ac:dyDescent="0.3">
      <c r="A47" t="s">
        <v>231</v>
      </c>
      <c r="B47" s="50"/>
      <c r="C47" s="13"/>
      <c r="D47" s="13"/>
      <c r="E47" s="13"/>
      <c r="F47" s="13"/>
      <c r="G47" s="13"/>
      <c r="H47" s="13"/>
      <c r="I47" s="13"/>
      <c r="J47" s="3"/>
      <c r="K47" s="44" t="s">
        <v>235</v>
      </c>
      <c r="L47" s="45"/>
      <c r="M47" s="46">
        <v>-2</v>
      </c>
      <c r="N47" s="46">
        <v>3</v>
      </c>
      <c r="O47" s="46" t="s">
        <v>236</v>
      </c>
      <c r="P47" s="46"/>
      <c r="Q47" s="46"/>
    </row>
    <row r="48" spans="1:17" ht="12.6" customHeight="1" x14ac:dyDescent="0.3">
      <c r="A48" t="s">
        <v>232</v>
      </c>
      <c r="B48" s="13"/>
      <c r="C48" s="13"/>
      <c r="D48" s="13"/>
      <c r="E48" s="13"/>
      <c r="F48" s="13"/>
      <c r="G48" s="13"/>
      <c r="H48" s="13"/>
      <c r="I48" s="13"/>
      <c r="J48" s="3"/>
      <c r="Q48" s="128" t="s">
        <v>360</v>
      </c>
    </row>
    <row r="49" spans="1:17" ht="17.399999999999999" customHeight="1" x14ac:dyDescent="0.3"/>
    <row r="50" spans="1:17" ht="15" thickBot="1" x14ac:dyDescent="0.35">
      <c r="A50" s="118"/>
      <c r="B50" s="181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</row>
  </sheetData>
  <mergeCells count="11">
    <mergeCell ref="A30:B30"/>
    <mergeCell ref="A31:B31"/>
    <mergeCell ref="A32:B32"/>
    <mergeCell ref="A33:B33"/>
    <mergeCell ref="A34:B34"/>
    <mergeCell ref="A29:B29"/>
    <mergeCell ref="J2:Q2"/>
    <mergeCell ref="A24:B24"/>
    <mergeCell ref="A26:B26"/>
    <mergeCell ref="A27:B27"/>
    <mergeCell ref="A28:B28"/>
  </mergeCells>
  <printOptions horizontalCentered="1" verticalCentered="1"/>
  <pageMargins left="0" right="0" top="0" bottom="0" header="0" footer="0"/>
  <pageSetup paperSize="9" fitToWidth="0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BBBE-C9DF-4D21-98BF-29E96594E7D0}">
  <dimension ref="A1:AA44"/>
  <sheetViews>
    <sheetView topLeftCell="A6" zoomScale="120" zoomScaleNormal="120" workbookViewId="0">
      <selection activeCell="A21" sqref="A21"/>
    </sheetView>
  </sheetViews>
  <sheetFormatPr defaultRowHeight="14.4" x14ac:dyDescent="0.3"/>
  <cols>
    <col min="1" max="2" width="11.109375" style="2" customWidth="1"/>
    <col min="3" max="3" width="5.77734375" style="2" customWidth="1"/>
    <col min="4" max="12" width="4.77734375" style="2" customWidth="1"/>
    <col min="13" max="13" width="5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29" t="s">
        <v>0</v>
      </c>
      <c r="B1" s="30" t="s">
        <v>673</v>
      </c>
      <c r="C1" s="30"/>
      <c r="D1" s="157"/>
      <c r="E1" s="29"/>
      <c r="F1" s="159"/>
      <c r="G1" s="160" t="s">
        <v>117</v>
      </c>
      <c r="H1" s="30"/>
      <c r="I1" s="159"/>
      <c r="J1" s="52"/>
      <c r="K1" s="29" t="s">
        <v>34</v>
      </c>
      <c r="L1" s="30"/>
      <c r="M1" s="30"/>
      <c r="N1" s="161" t="s">
        <v>94</v>
      </c>
      <c r="O1" s="30"/>
      <c r="P1" s="30"/>
    </row>
    <row r="2" spans="1:16" ht="20.399999999999999" customHeight="1" x14ac:dyDescent="0.3">
      <c r="A2" s="158" t="s">
        <v>93</v>
      </c>
      <c r="B2" s="28" t="s">
        <v>74</v>
      </c>
      <c r="C2" s="28"/>
      <c r="D2" s="52"/>
      <c r="E2" s="29" t="s">
        <v>33</v>
      </c>
      <c r="F2" s="30"/>
      <c r="G2" s="30" t="s">
        <v>103</v>
      </c>
      <c r="H2" s="30"/>
      <c r="I2" s="156" t="s">
        <v>124</v>
      </c>
      <c r="J2" s="52"/>
      <c r="K2" s="29" t="s">
        <v>1</v>
      </c>
      <c r="L2" s="30"/>
      <c r="M2" s="30"/>
      <c r="N2" s="30" t="s">
        <v>50</v>
      </c>
      <c r="O2" s="30"/>
      <c r="P2" s="30"/>
    </row>
    <row r="3" spans="1:16" ht="9.6" customHeight="1" x14ac:dyDescent="0.3">
      <c r="A3" s="3"/>
      <c r="B3" s="3"/>
      <c r="C3" s="3"/>
      <c r="D3" s="3"/>
      <c r="E3" s="3"/>
      <c r="F3" s="3"/>
      <c r="G3" s="3"/>
      <c r="H3" s="3"/>
      <c r="K3" s="3"/>
      <c r="L3" s="3"/>
      <c r="M3" s="3"/>
      <c r="N3" s="3"/>
      <c r="O3" s="3"/>
      <c r="P3" s="3"/>
    </row>
    <row r="4" spans="1:16" ht="18.600000000000001" customHeight="1" x14ac:dyDescent="0.3">
      <c r="A4" s="53" t="s">
        <v>8</v>
      </c>
      <c r="B4" s="177">
        <v>2</v>
      </c>
      <c r="C4" s="1"/>
      <c r="E4" s="87" t="s">
        <v>46</v>
      </c>
      <c r="F4" s="54">
        <v>24</v>
      </c>
      <c r="G4" s="144" t="s">
        <v>108</v>
      </c>
      <c r="H4" s="145" t="s">
        <v>657</v>
      </c>
      <c r="I4" s="1"/>
      <c r="J4" s="55"/>
      <c r="K4" s="1"/>
      <c r="L4" s="56" t="s">
        <v>92</v>
      </c>
      <c r="M4" s="54">
        <v>1</v>
      </c>
      <c r="N4" s="1"/>
      <c r="O4" s="53" t="s">
        <v>9</v>
      </c>
      <c r="P4" s="149">
        <v>35</v>
      </c>
    </row>
    <row r="5" spans="1:16" ht="19.8" customHeight="1" x14ac:dyDescent="0.3">
      <c r="A5" s="25" t="s">
        <v>29</v>
      </c>
      <c r="B5" s="25"/>
      <c r="J5" s="2" t="s">
        <v>91</v>
      </c>
      <c r="M5" s="25" t="s">
        <v>10</v>
      </c>
      <c r="N5" s="24"/>
      <c r="O5" s="24"/>
      <c r="P5" s="24"/>
    </row>
    <row r="6" spans="1:16" ht="32.4" customHeight="1" x14ac:dyDescent="0.3">
      <c r="A6" s="154">
        <v>17</v>
      </c>
      <c r="B6" s="178" t="s">
        <v>2</v>
      </c>
      <c r="C6" s="202" t="s">
        <v>111</v>
      </c>
      <c r="D6" s="202"/>
      <c r="E6" s="202"/>
      <c r="F6" s="202"/>
      <c r="G6" s="202"/>
      <c r="H6" s="202"/>
      <c r="I6" s="202"/>
      <c r="J6" s="57">
        <v>2</v>
      </c>
      <c r="K6" s="57"/>
      <c r="L6" s="113"/>
      <c r="M6" s="203" t="s">
        <v>346</v>
      </c>
      <c r="N6" s="203"/>
      <c r="O6" s="203"/>
      <c r="P6" s="150">
        <v>10</v>
      </c>
    </row>
    <row r="7" spans="1:16" ht="32.4" customHeight="1" x14ac:dyDescent="0.3">
      <c r="A7" s="154">
        <v>14</v>
      </c>
      <c r="B7" s="178" t="s">
        <v>3</v>
      </c>
      <c r="C7" s="202" t="s">
        <v>112</v>
      </c>
      <c r="D7" s="202"/>
      <c r="E7" s="202"/>
      <c r="F7" s="202"/>
      <c r="G7" s="202"/>
      <c r="H7" s="202"/>
      <c r="I7" s="202"/>
      <c r="J7" s="57">
        <v>1</v>
      </c>
      <c r="K7" s="57"/>
      <c r="M7" s="203" t="s">
        <v>11</v>
      </c>
      <c r="N7" s="203"/>
      <c r="O7" s="203"/>
      <c r="P7" s="150">
        <v>11</v>
      </c>
    </row>
    <row r="8" spans="1:16" ht="32.4" customHeight="1" x14ac:dyDescent="0.3">
      <c r="A8" s="154">
        <v>11</v>
      </c>
      <c r="B8" s="178" t="s">
        <v>4</v>
      </c>
      <c r="C8" s="202" t="s">
        <v>86</v>
      </c>
      <c r="D8" s="202"/>
      <c r="E8" s="202"/>
      <c r="F8" s="202"/>
      <c r="G8" s="202"/>
      <c r="H8" s="202"/>
      <c r="I8" s="202"/>
      <c r="J8" s="57">
        <v>0</v>
      </c>
      <c r="K8" s="57"/>
      <c r="M8" s="203" t="s">
        <v>14</v>
      </c>
      <c r="N8" s="203"/>
      <c r="O8" s="203"/>
      <c r="P8" s="150">
        <v>12</v>
      </c>
    </row>
    <row r="9" spans="1:16" ht="32.4" customHeight="1" x14ac:dyDescent="0.3">
      <c r="A9" s="154">
        <v>7</v>
      </c>
      <c r="B9" s="178" t="s">
        <v>5</v>
      </c>
      <c r="C9" s="202" t="s">
        <v>87</v>
      </c>
      <c r="D9" s="202"/>
      <c r="E9" s="202"/>
      <c r="F9" s="202"/>
      <c r="G9" s="202"/>
      <c r="H9" s="202"/>
      <c r="I9" s="202"/>
      <c r="J9" s="57">
        <v>-1</v>
      </c>
      <c r="K9" s="57"/>
      <c r="M9" s="203" t="s">
        <v>12</v>
      </c>
      <c r="N9" s="203"/>
      <c r="O9" s="203"/>
      <c r="P9" s="150">
        <v>13</v>
      </c>
    </row>
    <row r="10" spans="1:16" ht="32.4" customHeight="1" x14ac:dyDescent="0.3">
      <c r="A10" s="154">
        <v>4</v>
      </c>
      <c r="B10" s="178" t="s">
        <v>6</v>
      </c>
      <c r="C10" s="202" t="s">
        <v>113</v>
      </c>
      <c r="D10" s="202"/>
      <c r="E10" s="202"/>
      <c r="F10" s="202"/>
      <c r="G10" s="202"/>
      <c r="H10" s="202"/>
      <c r="I10" s="202"/>
      <c r="J10" s="57">
        <v>-2</v>
      </c>
      <c r="K10" s="57"/>
      <c r="M10" s="203" t="s">
        <v>13</v>
      </c>
      <c r="N10" s="203"/>
      <c r="O10" s="203"/>
      <c r="P10" s="150">
        <v>16</v>
      </c>
    </row>
    <row r="11" spans="1:16" ht="32.4" customHeight="1" x14ac:dyDescent="0.3">
      <c r="A11" s="154">
        <v>10</v>
      </c>
      <c r="B11" s="178" t="s">
        <v>7</v>
      </c>
      <c r="C11" s="202" t="s">
        <v>89</v>
      </c>
      <c r="D11" s="202"/>
      <c r="E11" s="202"/>
      <c r="F11" s="202"/>
      <c r="G11" s="202"/>
      <c r="H11" s="202"/>
      <c r="I11" s="202"/>
      <c r="J11" s="57">
        <v>0</v>
      </c>
      <c r="K11" s="57"/>
      <c r="M11" s="205" t="s">
        <v>341</v>
      </c>
      <c r="N11" s="205"/>
      <c r="O11" s="205"/>
      <c r="P11" s="205"/>
    </row>
    <row r="12" spans="1:16" ht="8.4" customHeight="1" x14ac:dyDescent="0.3"/>
    <row r="13" spans="1:16" s="3" customFormat="1" ht="15.6" customHeight="1" x14ac:dyDescent="0.3">
      <c r="A13" s="22" t="s">
        <v>16</v>
      </c>
      <c r="B13" s="22"/>
      <c r="C13" s="58"/>
      <c r="D13" s="22" t="s">
        <v>17</v>
      </c>
      <c r="E13" s="22"/>
      <c r="F13" s="22"/>
      <c r="G13" s="58"/>
      <c r="H13" s="59" t="s">
        <v>65</v>
      </c>
      <c r="I13" s="59" t="s">
        <v>66</v>
      </c>
      <c r="J13" s="59" t="s">
        <v>67</v>
      </c>
      <c r="K13" s="110" t="s">
        <v>344</v>
      </c>
      <c r="L13" s="109" t="s">
        <v>342</v>
      </c>
      <c r="N13" s="22" t="s">
        <v>55</v>
      </c>
      <c r="O13" s="23"/>
      <c r="P13" s="22"/>
    </row>
    <row r="14" spans="1:16" s="3" customFormat="1" ht="15.6" customHeight="1" x14ac:dyDescent="0.3">
      <c r="A14" s="204" t="s">
        <v>166</v>
      </c>
      <c r="B14" s="204"/>
      <c r="D14" s="58" t="s">
        <v>21</v>
      </c>
      <c r="E14" s="58"/>
      <c r="G14" s="36" t="s">
        <v>70</v>
      </c>
      <c r="H14" s="60">
        <v>20</v>
      </c>
      <c r="I14" s="1">
        <f>J14*1.5</f>
        <v>6</v>
      </c>
      <c r="J14" s="1">
        <f>H14/5</f>
        <v>4</v>
      </c>
      <c r="K14" s="110" t="s">
        <v>345</v>
      </c>
      <c r="L14" s="109" t="s">
        <v>47</v>
      </c>
      <c r="N14" s="3" t="s">
        <v>56</v>
      </c>
    </row>
    <row r="15" spans="1:16" s="3" customFormat="1" ht="15.6" customHeight="1" x14ac:dyDescent="0.3">
      <c r="A15" s="204"/>
      <c r="B15" s="204"/>
      <c r="D15" s="61" t="s">
        <v>37</v>
      </c>
      <c r="E15" s="61"/>
      <c r="F15" s="62"/>
      <c r="G15" s="63" t="s">
        <v>71</v>
      </c>
      <c r="H15" s="64">
        <v>60</v>
      </c>
      <c r="I15" s="64">
        <f>J15*1.5</f>
        <v>18</v>
      </c>
      <c r="J15" s="64">
        <f t="shared" ref="J15:J18" si="0">H15/5</f>
        <v>12</v>
      </c>
      <c r="K15" s="111" t="s">
        <v>47</v>
      </c>
      <c r="L15" s="112" t="s">
        <v>47</v>
      </c>
      <c r="N15" s="3" t="s">
        <v>109</v>
      </c>
    </row>
    <row r="16" spans="1:16" s="3" customFormat="1" ht="15.6" customHeight="1" x14ac:dyDescent="0.3">
      <c r="A16" s="204"/>
      <c r="B16" s="204"/>
      <c r="D16" s="58" t="s">
        <v>18</v>
      </c>
      <c r="E16" s="58"/>
      <c r="G16" s="36" t="s">
        <v>70</v>
      </c>
      <c r="H16" s="60">
        <v>60</v>
      </c>
      <c r="I16" s="1">
        <f>J16*1.5</f>
        <v>18</v>
      </c>
      <c r="J16" s="1">
        <f t="shared" si="0"/>
        <v>12</v>
      </c>
      <c r="K16" s="110">
        <f>J16+(J16/2)</f>
        <v>18</v>
      </c>
      <c r="L16" s="206" t="s">
        <v>343</v>
      </c>
      <c r="N16" s="3" t="s">
        <v>110</v>
      </c>
    </row>
    <row r="17" spans="1:16" s="3" customFormat="1" ht="15.6" customHeight="1" x14ac:dyDescent="0.3">
      <c r="A17" s="155" t="s">
        <v>195</v>
      </c>
      <c r="B17" s="163"/>
      <c r="D17" s="61" t="s">
        <v>35</v>
      </c>
      <c r="E17" s="61"/>
      <c r="F17" s="62"/>
      <c r="G17" s="63" t="s">
        <v>70</v>
      </c>
      <c r="H17" s="64">
        <v>10</v>
      </c>
      <c r="I17" s="64">
        <f>J17*1.5</f>
        <v>3</v>
      </c>
      <c r="J17" s="64">
        <f t="shared" si="0"/>
        <v>2</v>
      </c>
      <c r="K17" s="111">
        <f t="shared" ref="K17:K18" si="1">J17+(J17/2)</f>
        <v>3</v>
      </c>
      <c r="L17" s="206"/>
      <c r="N17" s="3" t="s">
        <v>59</v>
      </c>
    </row>
    <row r="18" spans="1:16" s="3" customFormat="1" ht="15.6" customHeight="1" x14ac:dyDescent="0.3">
      <c r="A18" s="155" t="s">
        <v>95</v>
      </c>
      <c r="B18" s="164"/>
      <c r="D18" s="58" t="s">
        <v>36</v>
      </c>
      <c r="E18" s="58"/>
      <c r="G18" s="36" t="s">
        <v>70</v>
      </c>
      <c r="H18" s="60">
        <v>10</v>
      </c>
      <c r="I18" s="1">
        <f>J18*1.5</f>
        <v>3</v>
      </c>
      <c r="J18" s="1">
        <f t="shared" si="0"/>
        <v>2</v>
      </c>
      <c r="K18" s="110">
        <f t="shared" si="1"/>
        <v>3</v>
      </c>
      <c r="L18" s="206"/>
      <c r="N18" s="3" t="s">
        <v>650</v>
      </c>
    </row>
    <row r="19" spans="1:16" s="3" customFormat="1" ht="15.6" customHeight="1" x14ac:dyDescent="0.3">
      <c r="A19" s="21"/>
      <c r="B19" s="20"/>
      <c r="D19" s="61" t="s">
        <v>22</v>
      </c>
      <c r="E19" s="61"/>
      <c r="F19" s="62"/>
      <c r="G19" s="63" t="s">
        <v>72</v>
      </c>
      <c r="H19" s="65" t="s">
        <v>69</v>
      </c>
      <c r="I19" s="65" t="s">
        <v>68</v>
      </c>
      <c r="J19" s="65"/>
      <c r="K19" s="111" t="s">
        <v>47</v>
      </c>
      <c r="L19" s="112" t="s">
        <v>47</v>
      </c>
      <c r="N19" s="3" t="s">
        <v>116</v>
      </c>
    </row>
    <row r="20" spans="1:16" s="3" customFormat="1" ht="15.6" customHeight="1" x14ac:dyDescent="0.3">
      <c r="A20" s="18"/>
      <c r="B20" s="18"/>
      <c r="E20" s="66"/>
      <c r="N20" s="201"/>
      <c r="O20" s="201"/>
      <c r="P20" s="201"/>
    </row>
    <row r="21" spans="1:16" s="3" customFormat="1" ht="15.6" customHeight="1" x14ac:dyDescent="0.3">
      <c r="A21" s="125" t="s">
        <v>663</v>
      </c>
      <c r="B21" s="21"/>
      <c r="D21" s="66"/>
      <c r="O21" s="67"/>
      <c r="P21" s="151"/>
    </row>
    <row r="22" spans="1:16" ht="15.6" customHeight="1" x14ac:dyDescent="0.3">
      <c r="A22" s="125" t="s">
        <v>664</v>
      </c>
      <c r="B22" s="21"/>
      <c r="D22" s="66"/>
      <c r="N22" s="3"/>
      <c r="O22" s="67" t="s">
        <v>46</v>
      </c>
      <c r="P22" s="151">
        <v>11</v>
      </c>
    </row>
    <row r="23" spans="1:16" ht="15.6" customHeight="1" x14ac:dyDescent="0.3">
      <c r="A23" s="125" t="s">
        <v>665</v>
      </c>
      <c r="B23" s="21"/>
      <c r="D23" s="66"/>
      <c r="M23" s="58"/>
      <c r="N23" s="88"/>
    </row>
    <row r="24" spans="1:16" ht="15.6" customHeight="1" x14ac:dyDescent="0.3">
      <c r="A24" s="125" t="s">
        <v>666</v>
      </c>
      <c r="B24" s="21"/>
      <c r="D24" s="66"/>
      <c r="M24" s="58"/>
      <c r="N24" s="33"/>
      <c r="O24" s="33" t="s">
        <v>215</v>
      </c>
      <c r="P24" s="33" t="s">
        <v>216</v>
      </c>
    </row>
    <row r="25" spans="1:16" ht="15.6" customHeight="1" x14ac:dyDescent="0.3">
      <c r="A25" s="125" t="s">
        <v>667</v>
      </c>
      <c r="B25" s="21"/>
      <c r="D25" s="66"/>
      <c r="N25" s="69" t="s">
        <v>42</v>
      </c>
      <c r="O25" s="21"/>
      <c r="P25" s="152"/>
    </row>
    <row r="26" spans="1:16" ht="15.6" customHeight="1" x14ac:dyDescent="0.3">
      <c r="A26" s="49" t="s">
        <v>668</v>
      </c>
      <c r="B26" s="21"/>
      <c r="D26" s="70"/>
      <c r="N26" s="69" t="s">
        <v>39</v>
      </c>
      <c r="O26" s="21"/>
      <c r="P26" s="152">
        <v>500</v>
      </c>
    </row>
    <row r="27" spans="1:16" ht="15.6" customHeight="1" x14ac:dyDescent="0.3">
      <c r="A27" s="49" t="s">
        <v>669</v>
      </c>
      <c r="D27" s="70"/>
      <c r="N27" s="69" t="s">
        <v>43</v>
      </c>
      <c r="O27" s="21"/>
      <c r="P27" s="152"/>
    </row>
    <row r="28" spans="1:16" ht="15.6" customHeight="1" x14ac:dyDescent="0.3">
      <c r="A28" s="126" t="s">
        <v>670</v>
      </c>
      <c r="D28" s="71"/>
      <c r="N28" s="69" t="s">
        <v>40</v>
      </c>
      <c r="O28" s="21"/>
      <c r="P28" s="152"/>
    </row>
    <row r="29" spans="1:16" ht="15.6" customHeight="1" x14ac:dyDescent="0.3">
      <c r="A29" s="126" t="s">
        <v>672</v>
      </c>
      <c r="D29" s="71"/>
      <c r="N29" s="72"/>
      <c r="O29" s="67" t="s">
        <v>46</v>
      </c>
      <c r="P29" s="151">
        <v>5</v>
      </c>
    </row>
    <row r="30" spans="1:16" x14ac:dyDescent="0.3">
      <c r="D30" s="71"/>
    </row>
    <row r="31" spans="1:16" ht="15.6" customHeight="1" x14ac:dyDescent="0.3">
      <c r="A31" s="153" t="s">
        <v>121</v>
      </c>
      <c r="B31" s="89"/>
      <c r="C31" s="89" t="s">
        <v>8</v>
      </c>
      <c r="E31" s="66"/>
    </row>
    <row r="32" spans="1:16" ht="15.6" x14ac:dyDescent="0.3">
      <c r="A32" s="148" t="s">
        <v>120</v>
      </c>
      <c r="B32" s="5"/>
      <c r="C32" s="90">
        <v>1</v>
      </c>
      <c r="E32" s="66"/>
      <c r="N32" s="22" t="s">
        <v>29</v>
      </c>
      <c r="O32" s="24"/>
      <c r="P32" s="24"/>
    </row>
    <row r="33" spans="1:27" x14ac:dyDescent="0.3">
      <c r="A33" s="148" t="s">
        <v>659</v>
      </c>
      <c r="B33" s="5"/>
      <c r="C33" s="5">
        <v>2</v>
      </c>
      <c r="E33" s="66"/>
      <c r="N33" s="2" t="s">
        <v>53</v>
      </c>
    </row>
    <row r="34" spans="1:27" x14ac:dyDescent="0.3">
      <c r="A34" s="148" t="s">
        <v>119</v>
      </c>
      <c r="B34" s="5"/>
      <c r="C34" s="5">
        <v>2</v>
      </c>
      <c r="E34" s="66"/>
      <c r="N34" s="2" t="s">
        <v>32</v>
      </c>
    </row>
    <row r="35" spans="1:27" x14ac:dyDescent="0.3">
      <c r="A35" s="148" t="s">
        <v>24</v>
      </c>
      <c r="B35" s="5"/>
      <c r="C35" s="5">
        <v>2</v>
      </c>
      <c r="E35" s="66"/>
      <c r="N35" s="2" t="s">
        <v>54</v>
      </c>
    </row>
    <row r="39" spans="1:27" x14ac:dyDescent="0.3">
      <c r="AA39"/>
    </row>
    <row r="40" spans="1:27" x14ac:dyDescent="0.3">
      <c r="L40" s="73" t="s">
        <v>194</v>
      </c>
    </row>
    <row r="41" spans="1:27" ht="15.6" x14ac:dyDescent="0.3">
      <c r="A41" s="162" t="s">
        <v>15</v>
      </c>
      <c r="B41" s="19" t="s">
        <v>19</v>
      </c>
      <c r="C41" s="26" t="s">
        <v>20</v>
      </c>
      <c r="D41" s="4">
        <v>8</v>
      </c>
      <c r="E41" s="26">
        <f>D41-1</f>
        <v>7</v>
      </c>
      <c r="F41" s="4">
        <f t="shared" ref="F41:L41" si="2">E41-1</f>
        <v>6</v>
      </c>
      <c r="G41" s="26">
        <f t="shared" si="2"/>
        <v>5</v>
      </c>
      <c r="H41" s="4">
        <f t="shared" si="2"/>
        <v>4</v>
      </c>
      <c r="I41" s="26">
        <f t="shared" si="2"/>
        <v>3</v>
      </c>
      <c r="J41" s="4">
        <f t="shared" si="2"/>
        <v>2</v>
      </c>
      <c r="K41" s="26">
        <f t="shared" si="2"/>
        <v>1</v>
      </c>
      <c r="L41" s="4">
        <f t="shared" si="2"/>
        <v>0</v>
      </c>
      <c r="M41" s="215" t="s">
        <v>26</v>
      </c>
      <c r="N41" s="215"/>
      <c r="O41" s="22" t="s">
        <v>27</v>
      </c>
      <c r="P41" s="24"/>
    </row>
    <row r="42" spans="1:27" ht="18" x14ac:dyDescent="0.3">
      <c r="A42" s="93" t="s">
        <v>651</v>
      </c>
      <c r="B42" s="1" t="s">
        <v>210</v>
      </c>
      <c r="C42" s="74">
        <v>5</v>
      </c>
      <c r="D42" s="75">
        <f>C42+1</f>
        <v>6</v>
      </c>
      <c r="E42" s="74">
        <f t="shared" ref="E42:L42" si="3">D42+1</f>
        <v>7</v>
      </c>
      <c r="F42" s="75">
        <f t="shared" si="3"/>
        <v>8</v>
      </c>
      <c r="G42" s="74">
        <f t="shared" si="3"/>
        <v>9</v>
      </c>
      <c r="H42" s="75">
        <f t="shared" si="3"/>
        <v>10</v>
      </c>
      <c r="I42" s="74">
        <f t="shared" si="3"/>
        <v>11</v>
      </c>
      <c r="J42" s="75">
        <f t="shared" si="3"/>
        <v>12</v>
      </c>
      <c r="K42" s="74">
        <f t="shared" si="3"/>
        <v>13</v>
      </c>
      <c r="L42" s="75">
        <f t="shared" si="3"/>
        <v>14</v>
      </c>
      <c r="M42" s="199" t="s">
        <v>652</v>
      </c>
      <c r="N42" s="199"/>
      <c r="O42" s="2" t="s">
        <v>660</v>
      </c>
    </row>
    <row r="43" spans="1:27" ht="18" x14ac:dyDescent="0.3">
      <c r="A43" s="93" t="s">
        <v>24</v>
      </c>
      <c r="B43" s="1" t="s">
        <v>23</v>
      </c>
      <c r="C43" s="74">
        <v>6</v>
      </c>
      <c r="D43" s="75">
        <f t="shared" ref="D43:L44" si="4">C43+1</f>
        <v>7</v>
      </c>
      <c r="E43" s="74">
        <f t="shared" si="4"/>
        <v>8</v>
      </c>
      <c r="F43" s="75">
        <f t="shared" si="4"/>
        <v>9</v>
      </c>
      <c r="G43" s="74">
        <f t="shared" si="4"/>
        <v>10</v>
      </c>
      <c r="H43" s="75">
        <f t="shared" si="4"/>
        <v>11</v>
      </c>
      <c r="I43" s="74">
        <f t="shared" si="4"/>
        <v>12</v>
      </c>
      <c r="J43" s="75">
        <f t="shared" si="4"/>
        <v>13</v>
      </c>
      <c r="K43" s="74">
        <f t="shared" si="4"/>
        <v>14</v>
      </c>
      <c r="L43" s="75">
        <f t="shared" si="4"/>
        <v>15</v>
      </c>
      <c r="M43" s="200" t="s">
        <v>106</v>
      </c>
      <c r="N43" s="200"/>
      <c r="O43" s="3" t="s">
        <v>114</v>
      </c>
    </row>
    <row r="44" spans="1:27" ht="18" x14ac:dyDescent="0.3">
      <c r="A44" s="93" t="s">
        <v>25</v>
      </c>
      <c r="B44" s="1" t="s">
        <v>107</v>
      </c>
      <c r="C44" s="74">
        <v>7</v>
      </c>
      <c r="D44" s="75">
        <f t="shared" si="4"/>
        <v>8</v>
      </c>
      <c r="E44" s="74">
        <f t="shared" si="4"/>
        <v>9</v>
      </c>
      <c r="F44" s="75">
        <f t="shared" si="4"/>
        <v>10</v>
      </c>
      <c r="G44" s="74">
        <f t="shared" si="4"/>
        <v>11</v>
      </c>
      <c r="H44" s="75">
        <f t="shared" si="4"/>
        <v>12</v>
      </c>
      <c r="I44" s="74">
        <f t="shared" si="4"/>
        <v>13</v>
      </c>
      <c r="J44" s="75">
        <f t="shared" si="4"/>
        <v>14</v>
      </c>
      <c r="K44" s="74">
        <f t="shared" si="4"/>
        <v>15</v>
      </c>
      <c r="L44" s="75">
        <f t="shared" si="4"/>
        <v>16</v>
      </c>
      <c r="M44" s="200" t="s">
        <v>28</v>
      </c>
      <c r="N44" s="200"/>
      <c r="O44" s="3" t="s">
        <v>115</v>
      </c>
    </row>
  </sheetData>
  <mergeCells count="19">
    <mergeCell ref="M11:P11"/>
    <mergeCell ref="L16:L18"/>
    <mergeCell ref="A14:B16"/>
    <mergeCell ref="C6:I6"/>
    <mergeCell ref="M6:O6"/>
    <mergeCell ref="C7:I7"/>
    <mergeCell ref="M7:O7"/>
    <mergeCell ref="C8:I8"/>
    <mergeCell ref="M8:O8"/>
    <mergeCell ref="C9:I9"/>
    <mergeCell ref="M9:O9"/>
    <mergeCell ref="C10:I10"/>
    <mergeCell ref="M10:O10"/>
    <mergeCell ref="C11:I11"/>
    <mergeCell ref="M41:N41"/>
    <mergeCell ref="M42:N42"/>
    <mergeCell ref="M43:N43"/>
    <mergeCell ref="M44:N44"/>
    <mergeCell ref="N20:P20"/>
  </mergeCells>
  <printOptions horizontalCentered="1" verticalCentered="1"/>
  <pageMargins left="0" right="0" top="0" bottom="0" header="0" footer="0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48B9-03F3-4EA8-BCFF-01597897EFD4}">
  <dimension ref="A1:U50"/>
  <sheetViews>
    <sheetView topLeftCell="A24" zoomScale="120" zoomScaleNormal="120" workbookViewId="0">
      <selection activeCell="H50" sqref="H50"/>
    </sheetView>
  </sheetViews>
  <sheetFormatPr defaultRowHeight="14.4" x14ac:dyDescent="0.3"/>
  <cols>
    <col min="1" max="1" width="5.88671875" customWidth="1"/>
    <col min="2" max="2" width="5.88671875" style="5" customWidth="1"/>
    <col min="3" max="17" width="5.88671875" customWidth="1"/>
    <col min="18" max="21" width="5.5546875" customWidth="1"/>
  </cols>
  <sheetData>
    <row r="1" spans="1:21" s="2" customFormat="1" ht="17.399999999999999" customHeight="1" x14ac:dyDescent="0.3">
      <c r="A1" s="2" t="s">
        <v>212</v>
      </c>
      <c r="B1" s="1"/>
      <c r="C1" s="143">
        <f>Fighter!F4</f>
        <v>24</v>
      </c>
      <c r="E1" s="2" t="s">
        <v>211</v>
      </c>
      <c r="G1" s="143" t="str">
        <f>Fighter!G4</f>
        <v>+8</v>
      </c>
      <c r="I1" s="2" t="s">
        <v>214</v>
      </c>
      <c r="K1" s="143"/>
      <c r="M1" s="2" t="s">
        <v>213</v>
      </c>
      <c r="O1" s="146">
        <f>Fighter!P22+Fighter!P29</f>
        <v>16</v>
      </c>
      <c r="P1" s="16"/>
      <c r="Q1" s="17"/>
    </row>
    <row r="2" spans="1:21" ht="17.399999999999999" customHeight="1" x14ac:dyDescent="0.3">
      <c r="A2" s="82" t="s">
        <v>45</v>
      </c>
      <c r="B2" s="76"/>
      <c r="C2" s="76"/>
      <c r="D2" s="76"/>
      <c r="E2" s="76"/>
      <c r="F2" s="76"/>
      <c r="G2" s="76"/>
      <c r="H2" s="34" t="s">
        <v>44</v>
      </c>
      <c r="I2" s="34" t="s">
        <v>46</v>
      </c>
      <c r="J2" s="208" t="s">
        <v>359</v>
      </c>
      <c r="K2" s="208"/>
      <c r="L2" s="208"/>
      <c r="M2" s="208"/>
      <c r="N2" s="208"/>
      <c r="O2" s="208"/>
      <c r="P2" s="209"/>
      <c r="Q2" s="208"/>
      <c r="R2" s="6"/>
      <c r="S2" s="6"/>
      <c r="T2" s="6"/>
      <c r="U2" s="6"/>
    </row>
    <row r="3" spans="1:21" ht="17.399999999999999" customHeight="1" x14ac:dyDescent="0.3">
      <c r="A3" s="59">
        <v>1</v>
      </c>
      <c r="B3" s="2"/>
      <c r="C3" s="2"/>
      <c r="D3" s="2"/>
      <c r="E3" s="1"/>
      <c r="F3" s="2"/>
      <c r="G3" s="2"/>
      <c r="H3" s="9"/>
      <c r="I3" s="10"/>
      <c r="J3" s="143" t="s">
        <v>9</v>
      </c>
      <c r="K3" s="107"/>
      <c r="L3" s="107"/>
      <c r="M3" s="107"/>
      <c r="N3" s="107"/>
      <c r="O3" s="107"/>
      <c r="P3" s="107"/>
      <c r="Q3" s="107"/>
    </row>
    <row r="4" spans="1:21" ht="17.399999999999999" customHeight="1" x14ac:dyDescent="0.3">
      <c r="A4" s="83">
        <f>A3+1</f>
        <v>2</v>
      </c>
      <c r="B4" s="77"/>
      <c r="C4" s="77"/>
      <c r="D4" s="77"/>
      <c r="E4" s="77"/>
      <c r="F4" s="77"/>
      <c r="G4" s="77"/>
      <c r="H4" s="11"/>
      <c r="I4" s="11"/>
      <c r="J4" s="165"/>
      <c r="K4" s="107"/>
      <c r="L4" s="107"/>
      <c r="M4" s="107"/>
      <c r="N4" s="107"/>
      <c r="O4" s="107"/>
      <c r="P4" s="107"/>
      <c r="Q4" s="107"/>
    </row>
    <row r="5" spans="1:21" ht="17.399999999999999" customHeight="1" x14ac:dyDescent="0.3">
      <c r="A5" s="59">
        <f>A4+1</f>
        <v>3</v>
      </c>
      <c r="B5" s="2"/>
      <c r="C5" s="2"/>
      <c r="D5" s="2"/>
      <c r="E5" s="1"/>
      <c r="F5" s="2"/>
      <c r="G5" s="2"/>
      <c r="H5" s="10"/>
      <c r="I5" s="10"/>
      <c r="J5" s="165"/>
      <c r="K5" s="107"/>
      <c r="L5" s="107"/>
      <c r="M5" s="107"/>
      <c r="N5" s="107"/>
      <c r="O5" s="107"/>
      <c r="P5" s="107"/>
      <c r="Q5" s="107"/>
    </row>
    <row r="6" spans="1:21" ht="17.399999999999999" customHeight="1" x14ac:dyDescent="0.3">
      <c r="A6" s="83">
        <f t="shared" ref="A6:A22" si="0">A5+1</f>
        <v>4</v>
      </c>
      <c r="B6" s="77"/>
      <c r="C6" s="77"/>
      <c r="D6" s="77"/>
      <c r="E6" s="77"/>
      <c r="F6" s="77"/>
      <c r="G6" s="77"/>
      <c r="H6" s="11"/>
      <c r="I6" s="11"/>
      <c r="J6" s="166" t="s">
        <v>335</v>
      </c>
      <c r="K6" s="14"/>
      <c r="L6" s="14"/>
      <c r="M6" s="14"/>
      <c r="N6" s="14"/>
      <c r="O6" s="14"/>
      <c r="P6" s="14"/>
      <c r="Q6" s="14"/>
    </row>
    <row r="7" spans="1:21" ht="17.399999999999999" customHeight="1" x14ac:dyDescent="0.3">
      <c r="A7" s="59">
        <f t="shared" si="0"/>
        <v>5</v>
      </c>
      <c r="B7" s="2"/>
      <c r="C7" s="2"/>
      <c r="D7" s="2"/>
      <c r="E7" s="1"/>
      <c r="F7" s="2"/>
      <c r="G7" s="2"/>
      <c r="H7" s="10"/>
      <c r="I7" s="10"/>
      <c r="J7" s="167" t="s">
        <v>353</v>
      </c>
      <c r="K7" s="114" t="s">
        <v>347</v>
      </c>
      <c r="L7" s="114" t="s">
        <v>348</v>
      </c>
      <c r="M7" s="114" t="s">
        <v>349</v>
      </c>
      <c r="N7" s="114" t="s">
        <v>350</v>
      </c>
      <c r="O7" s="114" t="s">
        <v>351</v>
      </c>
      <c r="P7" s="114"/>
      <c r="Q7" s="114"/>
    </row>
    <row r="8" spans="1:21" ht="17.399999999999999" customHeight="1" x14ac:dyDescent="0.3">
      <c r="A8" s="83">
        <f t="shared" si="0"/>
        <v>6</v>
      </c>
      <c r="B8" s="77"/>
      <c r="C8" s="77"/>
      <c r="D8" s="77"/>
      <c r="E8" s="77"/>
      <c r="F8" s="77"/>
      <c r="G8" s="77"/>
      <c r="H8" s="11"/>
      <c r="I8" s="11"/>
      <c r="J8" s="168" t="s">
        <v>8</v>
      </c>
      <c r="K8" s="14"/>
      <c r="L8" s="14"/>
      <c r="M8" s="14"/>
      <c r="N8" s="14"/>
      <c r="O8" s="14"/>
      <c r="P8" s="14"/>
      <c r="Q8" s="14"/>
    </row>
    <row r="9" spans="1:21" ht="17.399999999999999" customHeight="1" x14ac:dyDescent="0.3">
      <c r="A9" s="59">
        <f t="shared" si="0"/>
        <v>7</v>
      </c>
      <c r="B9" s="2"/>
      <c r="C9" s="2"/>
      <c r="D9" s="2"/>
      <c r="E9" s="1"/>
      <c r="F9" s="2"/>
      <c r="G9" s="2"/>
      <c r="H9" s="10"/>
      <c r="I9" s="10"/>
      <c r="J9" s="168" t="s">
        <v>336</v>
      </c>
      <c r="K9" s="14"/>
      <c r="L9" s="14"/>
      <c r="M9" s="14"/>
      <c r="N9" s="14"/>
      <c r="O9" s="14"/>
      <c r="P9" s="14"/>
      <c r="Q9" s="14"/>
    </row>
    <row r="10" spans="1:21" ht="17.399999999999999" customHeight="1" x14ac:dyDescent="0.3">
      <c r="A10" s="83">
        <f t="shared" si="0"/>
        <v>8</v>
      </c>
      <c r="B10" s="77"/>
      <c r="C10" s="77"/>
      <c r="D10" s="77"/>
      <c r="E10" s="77"/>
      <c r="F10" s="77"/>
      <c r="G10" s="77"/>
      <c r="H10" s="11"/>
      <c r="I10" s="11"/>
      <c r="J10" s="168" t="s">
        <v>337</v>
      </c>
      <c r="K10" s="14"/>
      <c r="L10" s="14"/>
      <c r="M10" s="14"/>
      <c r="N10" s="14"/>
      <c r="O10" s="14"/>
      <c r="P10" s="14"/>
      <c r="Q10" s="14"/>
    </row>
    <row r="11" spans="1:21" ht="17.399999999999999" customHeight="1" x14ac:dyDescent="0.3">
      <c r="A11" s="59">
        <f t="shared" si="0"/>
        <v>9</v>
      </c>
      <c r="B11" s="2"/>
      <c r="C11" s="2"/>
      <c r="D11" s="2"/>
      <c r="E11" s="1"/>
      <c r="F11" s="2"/>
      <c r="G11" s="2"/>
      <c r="H11" s="10"/>
      <c r="I11" s="10"/>
      <c r="J11" s="168" t="s">
        <v>338</v>
      </c>
      <c r="K11" s="14"/>
      <c r="L11" s="14"/>
      <c r="M11" s="14"/>
      <c r="N11" s="14"/>
      <c r="O11" s="14"/>
      <c r="P11" s="14"/>
      <c r="Q11" s="14"/>
    </row>
    <row r="12" spans="1:21" ht="17.399999999999999" customHeight="1" x14ac:dyDescent="0.3">
      <c r="A12" s="83">
        <f t="shared" si="0"/>
        <v>10</v>
      </c>
      <c r="B12" s="77"/>
      <c r="C12" s="77"/>
      <c r="D12" s="77"/>
      <c r="E12" s="77"/>
      <c r="F12" s="77"/>
      <c r="G12" s="77"/>
      <c r="H12" s="11"/>
      <c r="I12" s="11"/>
      <c r="J12" s="168" t="s">
        <v>340</v>
      </c>
      <c r="K12" s="14"/>
      <c r="L12" s="14"/>
      <c r="M12" s="14"/>
      <c r="N12" s="14"/>
      <c r="O12" s="14"/>
      <c r="P12" s="14"/>
      <c r="Q12" s="14"/>
    </row>
    <row r="13" spans="1:21" ht="17.399999999999999" customHeight="1" x14ac:dyDescent="0.3">
      <c r="A13" s="59">
        <f t="shared" si="0"/>
        <v>11</v>
      </c>
      <c r="B13" s="2"/>
      <c r="C13" s="2"/>
      <c r="D13" s="2"/>
      <c r="E13" s="1"/>
      <c r="F13" s="2"/>
      <c r="G13" s="2"/>
      <c r="H13" s="10"/>
      <c r="I13" s="10"/>
      <c r="J13" s="168" t="s">
        <v>339</v>
      </c>
      <c r="K13" s="14"/>
      <c r="L13" s="14"/>
      <c r="M13" s="14"/>
      <c r="N13" s="14"/>
      <c r="O13" s="14"/>
      <c r="P13" s="14"/>
      <c r="Q13" s="14"/>
    </row>
    <row r="14" spans="1:21" ht="17.399999999999999" customHeight="1" x14ac:dyDescent="0.3">
      <c r="A14" s="83">
        <f t="shared" si="0"/>
        <v>12</v>
      </c>
      <c r="B14" s="77"/>
      <c r="C14" s="77"/>
      <c r="D14" s="77"/>
      <c r="E14" s="77"/>
      <c r="F14" s="77"/>
      <c r="G14" s="77"/>
      <c r="H14" s="11"/>
      <c r="I14" s="11"/>
      <c r="J14" s="174" t="s">
        <v>358</v>
      </c>
      <c r="K14" s="171"/>
      <c r="L14" s="171"/>
      <c r="M14" s="171"/>
      <c r="N14" s="171"/>
      <c r="O14" s="171"/>
      <c r="P14" s="171"/>
      <c r="Q14" s="172"/>
    </row>
    <row r="15" spans="1:21" ht="17.399999999999999" customHeight="1" x14ac:dyDescent="0.3">
      <c r="A15" s="59">
        <f t="shared" si="0"/>
        <v>13</v>
      </c>
      <c r="B15" s="2"/>
      <c r="C15" s="2"/>
      <c r="D15" s="2"/>
      <c r="E15" s="1"/>
      <c r="F15" s="2"/>
      <c r="G15" s="2"/>
      <c r="H15" s="10"/>
      <c r="I15" s="10"/>
      <c r="J15" s="175" t="s">
        <v>352</v>
      </c>
      <c r="K15" s="2"/>
      <c r="L15" s="2"/>
      <c r="M15" s="2"/>
      <c r="N15" s="2"/>
      <c r="O15" s="2"/>
      <c r="P15" s="2"/>
      <c r="Q15" s="115"/>
      <c r="S15" s="124"/>
    </row>
    <row r="16" spans="1:21" ht="17.399999999999999" customHeight="1" x14ac:dyDescent="0.3">
      <c r="A16" s="83">
        <f t="shared" si="0"/>
        <v>14</v>
      </c>
      <c r="B16" s="77"/>
      <c r="C16" s="77"/>
      <c r="D16" s="77"/>
      <c r="E16" s="77"/>
      <c r="F16" s="77"/>
      <c r="G16" s="77"/>
      <c r="H16" s="11"/>
      <c r="I16" s="11"/>
      <c r="J16" s="175" t="s">
        <v>220</v>
      </c>
      <c r="K16" s="2"/>
      <c r="L16" s="2"/>
      <c r="M16" s="2"/>
      <c r="N16" s="2"/>
      <c r="O16" s="2"/>
      <c r="P16" s="2"/>
      <c r="Q16" s="115"/>
      <c r="S16" s="125"/>
    </row>
    <row r="17" spans="1:21" ht="17.399999999999999" customHeight="1" x14ac:dyDescent="0.3">
      <c r="A17" s="59">
        <f t="shared" si="0"/>
        <v>15</v>
      </c>
      <c r="B17" s="2"/>
      <c r="C17" s="2"/>
      <c r="D17" s="2"/>
      <c r="E17" s="1"/>
      <c r="F17" s="2"/>
      <c r="G17" s="2"/>
      <c r="H17" s="10"/>
      <c r="I17" s="10"/>
      <c r="J17" s="175" t="s">
        <v>334</v>
      </c>
      <c r="K17" s="2"/>
      <c r="L17" s="2"/>
      <c r="M17" s="2"/>
      <c r="N17" s="2"/>
      <c r="O17" s="2"/>
      <c r="P17" s="2"/>
      <c r="Q17" s="115"/>
      <c r="S17" s="125"/>
    </row>
    <row r="18" spans="1:21" ht="17.399999999999999" customHeight="1" x14ac:dyDescent="0.3">
      <c r="A18" s="83">
        <f t="shared" si="0"/>
        <v>16</v>
      </c>
      <c r="B18" s="77"/>
      <c r="C18" s="77"/>
      <c r="D18" s="77"/>
      <c r="E18" s="77"/>
      <c r="F18" s="77"/>
      <c r="G18" s="77"/>
      <c r="H18" s="11"/>
      <c r="I18" s="11"/>
      <c r="J18" s="175" t="s">
        <v>219</v>
      </c>
      <c r="K18" s="2"/>
      <c r="L18" s="2"/>
      <c r="M18" s="2"/>
      <c r="N18" s="2"/>
      <c r="O18" s="2"/>
      <c r="P18" s="2"/>
      <c r="Q18" s="115"/>
      <c r="S18" s="125"/>
    </row>
    <row r="19" spans="1:21" ht="17.399999999999999" customHeight="1" x14ac:dyDescent="0.3">
      <c r="A19" s="59">
        <f t="shared" si="0"/>
        <v>17</v>
      </c>
      <c r="B19" s="2"/>
      <c r="C19" s="2"/>
      <c r="D19" s="2"/>
      <c r="E19" s="1"/>
      <c r="F19" s="2"/>
      <c r="G19" s="2"/>
      <c r="H19" s="10"/>
      <c r="I19" s="10"/>
      <c r="J19" s="175" t="s">
        <v>217</v>
      </c>
      <c r="K19" s="2"/>
      <c r="L19" s="2"/>
      <c r="M19" s="2"/>
      <c r="N19" s="2"/>
      <c r="O19" s="2"/>
      <c r="P19" s="2"/>
      <c r="Q19" s="115"/>
      <c r="S19" s="125"/>
    </row>
    <row r="20" spans="1:21" ht="17.399999999999999" customHeight="1" x14ac:dyDescent="0.3">
      <c r="A20" s="84">
        <f t="shared" si="0"/>
        <v>18</v>
      </c>
      <c r="B20" s="78"/>
      <c r="C20" s="77"/>
      <c r="D20" s="77"/>
      <c r="E20" s="77"/>
      <c r="F20" s="77"/>
      <c r="G20" s="77"/>
      <c r="H20" s="11"/>
      <c r="I20" s="11"/>
      <c r="J20" s="175" t="s">
        <v>356</v>
      </c>
      <c r="K20" s="2"/>
      <c r="L20" s="2"/>
      <c r="M20" s="2"/>
      <c r="N20" s="2"/>
      <c r="O20" s="2"/>
      <c r="P20" s="2"/>
      <c r="Q20" s="115"/>
      <c r="S20" s="125" t="s">
        <v>354</v>
      </c>
    </row>
    <row r="21" spans="1:21" ht="17.399999999999999" customHeight="1" x14ac:dyDescent="0.3">
      <c r="A21" s="35">
        <f t="shared" si="0"/>
        <v>19</v>
      </c>
      <c r="B21" s="2"/>
      <c r="C21" s="2"/>
      <c r="D21" s="2"/>
      <c r="E21" s="1"/>
      <c r="F21" s="2"/>
      <c r="G21" s="2"/>
      <c r="H21" s="10"/>
      <c r="I21" s="10"/>
      <c r="J21" s="175" t="s">
        <v>355</v>
      </c>
      <c r="K21" s="2"/>
      <c r="L21" s="2"/>
      <c r="M21" s="2"/>
      <c r="N21" s="2"/>
      <c r="O21" s="2"/>
      <c r="P21" s="2"/>
      <c r="Q21" s="115"/>
      <c r="S21" s="125" t="s">
        <v>354</v>
      </c>
    </row>
    <row r="22" spans="1:21" ht="17.399999999999999" customHeight="1" x14ac:dyDescent="0.3">
      <c r="A22" s="84">
        <f t="shared" si="0"/>
        <v>20</v>
      </c>
      <c r="B22" s="77"/>
      <c r="C22" s="8"/>
      <c r="D22" s="8"/>
      <c r="E22" s="8"/>
      <c r="F22" s="8"/>
      <c r="G22" s="8"/>
      <c r="H22" s="12"/>
      <c r="I22" s="12"/>
      <c r="J22" s="176" t="s">
        <v>218</v>
      </c>
      <c r="K22" s="24"/>
      <c r="L22" s="24"/>
      <c r="M22" s="24"/>
      <c r="N22" s="24"/>
      <c r="O22" s="24"/>
      <c r="P22" s="24"/>
      <c r="Q22" s="173"/>
      <c r="S22" s="126" t="s">
        <v>354</v>
      </c>
    </row>
    <row r="23" spans="1:21" ht="14.4" customHeight="1" thickBot="1" x14ac:dyDescent="0.35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27" t="s">
        <v>357</v>
      </c>
    </row>
    <row r="24" spans="1:21" ht="17.399999999999999" customHeight="1" x14ac:dyDescent="0.3">
      <c r="A24" s="210" t="s">
        <v>194</v>
      </c>
      <c r="B24" s="211"/>
      <c r="C24" s="81" t="s">
        <v>8</v>
      </c>
      <c r="D24" s="81" t="s">
        <v>8</v>
      </c>
      <c r="E24" s="81" t="s">
        <v>8</v>
      </c>
      <c r="F24" s="81" t="s">
        <v>8</v>
      </c>
      <c r="G24" s="81" t="s">
        <v>8</v>
      </c>
      <c r="H24" s="81" t="s">
        <v>8</v>
      </c>
      <c r="I24" s="81" t="s">
        <v>8</v>
      </c>
      <c r="J24" s="81" t="s">
        <v>8</v>
      </c>
      <c r="K24" s="81" t="s">
        <v>8</v>
      </c>
      <c r="L24" s="81" t="s">
        <v>8</v>
      </c>
      <c r="M24" s="81" t="s">
        <v>8</v>
      </c>
      <c r="N24" s="81" t="s">
        <v>8</v>
      </c>
      <c r="O24" s="81" t="s">
        <v>8</v>
      </c>
      <c r="P24" s="81" t="s">
        <v>8</v>
      </c>
      <c r="Q24" s="81" t="s">
        <v>8</v>
      </c>
    </row>
    <row r="25" spans="1:21" ht="17.399999999999999" customHeight="1" x14ac:dyDescent="0.3">
      <c r="A25" s="85"/>
      <c r="B25" s="86"/>
      <c r="C25" s="7">
        <v>-3</v>
      </c>
      <c r="D25" s="7">
        <f t="shared" ref="D25:Q25" si="1">C25+1</f>
        <v>-2</v>
      </c>
      <c r="E25" s="7">
        <f t="shared" si="1"/>
        <v>-1</v>
      </c>
      <c r="F25" s="7">
        <f t="shared" si="1"/>
        <v>0</v>
      </c>
      <c r="G25" s="7">
        <f t="shared" si="1"/>
        <v>1</v>
      </c>
      <c r="H25" s="7">
        <f t="shared" si="1"/>
        <v>2</v>
      </c>
      <c r="I25" s="7">
        <f t="shared" si="1"/>
        <v>3</v>
      </c>
      <c r="J25" s="7">
        <f t="shared" si="1"/>
        <v>4</v>
      </c>
      <c r="K25" s="7">
        <f t="shared" si="1"/>
        <v>5</v>
      </c>
      <c r="L25" s="7">
        <f t="shared" si="1"/>
        <v>6</v>
      </c>
      <c r="M25" s="7">
        <f t="shared" si="1"/>
        <v>7</v>
      </c>
      <c r="N25" s="7">
        <f t="shared" si="1"/>
        <v>8</v>
      </c>
      <c r="O25" s="7">
        <f t="shared" si="1"/>
        <v>9</v>
      </c>
      <c r="P25" s="7">
        <f t="shared" si="1"/>
        <v>10</v>
      </c>
      <c r="Q25" s="7">
        <f t="shared" si="1"/>
        <v>11</v>
      </c>
      <c r="R25" s="1"/>
      <c r="S25" s="1"/>
      <c r="T25" s="1"/>
      <c r="U25" s="1"/>
    </row>
    <row r="26" spans="1:21" ht="14.4" customHeight="1" x14ac:dyDescent="0.3">
      <c r="A26" s="212">
        <v>19</v>
      </c>
      <c r="B26" s="213"/>
      <c r="C26" s="79">
        <f>$A26-C$25</f>
        <v>22</v>
      </c>
      <c r="D26" s="79">
        <f t="shared" ref="D26:Q26" si="2">$A26-D$25</f>
        <v>21</v>
      </c>
      <c r="E26" s="79">
        <f t="shared" si="2"/>
        <v>20</v>
      </c>
      <c r="F26" s="79">
        <f t="shared" si="2"/>
        <v>19</v>
      </c>
      <c r="G26" s="79">
        <f t="shared" si="2"/>
        <v>18</v>
      </c>
      <c r="H26" s="79">
        <f t="shared" si="2"/>
        <v>17</v>
      </c>
      <c r="I26" s="79">
        <f t="shared" si="2"/>
        <v>16</v>
      </c>
      <c r="J26" s="79">
        <f t="shared" si="2"/>
        <v>15</v>
      </c>
      <c r="K26" s="79">
        <f t="shared" si="2"/>
        <v>14</v>
      </c>
      <c r="L26" s="79">
        <f t="shared" si="2"/>
        <v>13</v>
      </c>
      <c r="M26" s="79">
        <f t="shared" si="2"/>
        <v>12</v>
      </c>
      <c r="N26" s="79">
        <f t="shared" si="2"/>
        <v>11</v>
      </c>
      <c r="O26" s="79">
        <f t="shared" si="2"/>
        <v>10</v>
      </c>
      <c r="P26" s="79">
        <f t="shared" si="2"/>
        <v>9</v>
      </c>
      <c r="Q26" s="79">
        <f t="shared" si="2"/>
        <v>8</v>
      </c>
    </row>
    <row r="27" spans="1:21" ht="14.4" customHeight="1" x14ac:dyDescent="0.3">
      <c r="A27" s="214">
        <v>18</v>
      </c>
      <c r="B27" s="207"/>
      <c r="C27" s="80">
        <f t="shared" ref="C27:Q34" si="3">$A27-C$25</f>
        <v>21</v>
      </c>
      <c r="D27" s="80">
        <f t="shared" si="3"/>
        <v>20</v>
      </c>
      <c r="E27" s="80">
        <f t="shared" si="3"/>
        <v>19</v>
      </c>
      <c r="F27" s="80">
        <f t="shared" si="3"/>
        <v>18</v>
      </c>
      <c r="G27" s="80">
        <f t="shared" si="3"/>
        <v>17</v>
      </c>
      <c r="H27" s="80">
        <f t="shared" si="3"/>
        <v>16</v>
      </c>
      <c r="I27" s="80">
        <f t="shared" si="3"/>
        <v>15</v>
      </c>
      <c r="J27" s="80">
        <f t="shared" si="3"/>
        <v>14</v>
      </c>
      <c r="K27" s="80">
        <f t="shared" si="3"/>
        <v>13</v>
      </c>
      <c r="L27" s="80">
        <f t="shared" si="3"/>
        <v>12</v>
      </c>
      <c r="M27" s="80">
        <f t="shared" si="3"/>
        <v>11</v>
      </c>
      <c r="N27" s="80">
        <f t="shared" si="3"/>
        <v>10</v>
      </c>
      <c r="O27" s="80">
        <f t="shared" si="3"/>
        <v>9</v>
      </c>
      <c r="P27" s="80">
        <f t="shared" si="3"/>
        <v>8</v>
      </c>
      <c r="Q27" s="80">
        <f t="shared" si="3"/>
        <v>7</v>
      </c>
    </row>
    <row r="28" spans="1:21" ht="14.4" customHeight="1" x14ac:dyDescent="0.3">
      <c r="A28" s="213">
        <v>17</v>
      </c>
      <c r="B28" s="213"/>
      <c r="C28" s="79">
        <f t="shared" si="3"/>
        <v>20</v>
      </c>
      <c r="D28" s="79">
        <f t="shared" si="3"/>
        <v>19</v>
      </c>
      <c r="E28" s="79">
        <f t="shared" si="3"/>
        <v>18</v>
      </c>
      <c r="F28" s="79">
        <f t="shared" si="3"/>
        <v>17</v>
      </c>
      <c r="G28" s="79">
        <f t="shared" si="3"/>
        <v>16</v>
      </c>
      <c r="H28" s="79">
        <f t="shared" si="3"/>
        <v>15</v>
      </c>
      <c r="I28" s="79">
        <f t="shared" si="3"/>
        <v>14</v>
      </c>
      <c r="J28" s="79">
        <f t="shared" si="3"/>
        <v>13</v>
      </c>
      <c r="K28" s="79">
        <f t="shared" si="3"/>
        <v>12</v>
      </c>
      <c r="L28" s="79">
        <f t="shared" si="3"/>
        <v>11</v>
      </c>
      <c r="M28" s="79">
        <f t="shared" si="3"/>
        <v>10</v>
      </c>
      <c r="N28" s="79">
        <f t="shared" si="3"/>
        <v>9</v>
      </c>
      <c r="O28" s="79">
        <f t="shared" si="3"/>
        <v>8</v>
      </c>
      <c r="P28" s="79">
        <f t="shared" si="3"/>
        <v>7</v>
      </c>
      <c r="Q28" s="79">
        <f t="shared" si="3"/>
        <v>6</v>
      </c>
    </row>
    <row r="29" spans="1:21" ht="14.4" customHeight="1" x14ac:dyDescent="0.3">
      <c r="A29" s="207">
        <v>16</v>
      </c>
      <c r="B29" s="207"/>
      <c r="C29" s="80">
        <f t="shared" si="3"/>
        <v>19</v>
      </c>
      <c r="D29" s="80">
        <f t="shared" si="3"/>
        <v>18</v>
      </c>
      <c r="E29" s="80">
        <f t="shared" si="3"/>
        <v>17</v>
      </c>
      <c r="F29" s="80">
        <f t="shared" si="3"/>
        <v>16</v>
      </c>
      <c r="G29" s="80">
        <f t="shared" si="3"/>
        <v>15</v>
      </c>
      <c r="H29" s="80">
        <f t="shared" si="3"/>
        <v>14</v>
      </c>
      <c r="I29" s="80">
        <f t="shared" si="3"/>
        <v>13</v>
      </c>
      <c r="J29" s="80">
        <f t="shared" si="3"/>
        <v>12</v>
      </c>
      <c r="K29" s="80">
        <f t="shared" si="3"/>
        <v>11</v>
      </c>
      <c r="L29" s="80">
        <f t="shared" si="3"/>
        <v>10</v>
      </c>
      <c r="M29" s="80">
        <f t="shared" si="3"/>
        <v>9</v>
      </c>
      <c r="N29" s="80">
        <f t="shared" si="3"/>
        <v>8</v>
      </c>
      <c r="O29" s="80">
        <f t="shared" si="3"/>
        <v>7</v>
      </c>
      <c r="P29" s="80">
        <f t="shared" si="3"/>
        <v>6</v>
      </c>
      <c r="Q29" s="80">
        <f t="shared" si="3"/>
        <v>5</v>
      </c>
    </row>
    <row r="30" spans="1:21" ht="14.4" customHeight="1" x14ac:dyDescent="0.3">
      <c r="A30" s="213">
        <v>15</v>
      </c>
      <c r="B30" s="213"/>
      <c r="C30" s="79">
        <f t="shared" si="3"/>
        <v>18</v>
      </c>
      <c r="D30" s="79">
        <f t="shared" si="3"/>
        <v>17</v>
      </c>
      <c r="E30" s="79">
        <f t="shared" si="3"/>
        <v>16</v>
      </c>
      <c r="F30" s="79">
        <f t="shared" si="3"/>
        <v>15</v>
      </c>
      <c r="G30" s="79">
        <f t="shared" si="3"/>
        <v>14</v>
      </c>
      <c r="H30" s="79">
        <f t="shared" si="3"/>
        <v>13</v>
      </c>
      <c r="I30" s="79">
        <f t="shared" si="3"/>
        <v>12</v>
      </c>
      <c r="J30" s="79">
        <f t="shared" si="3"/>
        <v>11</v>
      </c>
      <c r="K30" s="79">
        <f t="shared" si="3"/>
        <v>10</v>
      </c>
      <c r="L30" s="79">
        <f t="shared" si="3"/>
        <v>9</v>
      </c>
      <c r="M30" s="79">
        <f t="shared" si="3"/>
        <v>8</v>
      </c>
      <c r="N30" s="79">
        <f t="shared" si="3"/>
        <v>7</v>
      </c>
      <c r="O30" s="79">
        <f t="shared" si="3"/>
        <v>6</v>
      </c>
      <c r="P30" s="79">
        <f t="shared" si="3"/>
        <v>5</v>
      </c>
      <c r="Q30" s="79">
        <f t="shared" si="3"/>
        <v>4</v>
      </c>
    </row>
    <row r="31" spans="1:21" ht="14.4" customHeight="1" x14ac:dyDescent="0.3">
      <c r="A31" s="207">
        <v>14</v>
      </c>
      <c r="B31" s="207"/>
      <c r="C31" s="80">
        <f t="shared" si="3"/>
        <v>17</v>
      </c>
      <c r="D31" s="80">
        <f t="shared" si="3"/>
        <v>16</v>
      </c>
      <c r="E31" s="80">
        <f t="shared" si="3"/>
        <v>15</v>
      </c>
      <c r="F31" s="80">
        <f t="shared" si="3"/>
        <v>14</v>
      </c>
      <c r="G31" s="80">
        <f t="shared" si="3"/>
        <v>13</v>
      </c>
      <c r="H31" s="80">
        <f t="shared" si="3"/>
        <v>12</v>
      </c>
      <c r="I31" s="80">
        <f t="shared" si="3"/>
        <v>11</v>
      </c>
      <c r="J31" s="80">
        <f t="shared" si="3"/>
        <v>10</v>
      </c>
      <c r="K31" s="80">
        <f t="shared" si="3"/>
        <v>9</v>
      </c>
      <c r="L31" s="80">
        <f t="shared" si="3"/>
        <v>8</v>
      </c>
      <c r="M31" s="80">
        <f t="shared" si="3"/>
        <v>7</v>
      </c>
      <c r="N31" s="80">
        <f t="shared" si="3"/>
        <v>6</v>
      </c>
      <c r="O31" s="80">
        <f t="shared" si="3"/>
        <v>5</v>
      </c>
      <c r="P31" s="80">
        <f t="shared" si="3"/>
        <v>4</v>
      </c>
      <c r="Q31" s="80">
        <f t="shared" si="3"/>
        <v>3</v>
      </c>
    </row>
    <row r="32" spans="1:21" ht="14.4" customHeight="1" x14ac:dyDescent="0.3">
      <c r="A32" s="213">
        <v>13</v>
      </c>
      <c r="B32" s="213"/>
      <c r="C32" s="79">
        <f t="shared" si="3"/>
        <v>16</v>
      </c>
      <c r="D32" s="79">
        <f t="shared" si="3"/>
        <v>15</v>
      </c>
      <c r="E32" s="79">
        <f t="shared" si="3"/>
        <v>14</v>
      </c>
      <c r="F32" s="79">
        <f t="shared" si="3"/>
        <v>13</v>
      </c>
      <c r="G32" s="79">
        <f t="shared" si="3"/>
        <v>12</v>
      </c>
      <c r="H32" s="79">
        <f t="shared" si="3"/>
        <v>11</v>
      </c>
      <c r="I32" s="79">
        <f t="shared" si="3"/>
        <v>10</v>
      </c>
      <c r="J32" s="79">
        <f t="shared" si="3"/>
        <v>9</v>
      </c>
      <c r="K32" s="79">
        <f t="shared" si="3"/>
        <v>8</v>
      </c>
      <c r="L32" s="79">
        <f t="shared" si="3"/>
        <v>7</v>
      </c>
      <c r="M32" s="79">
        <f t="shared" si="3"/>
        <v>6</v>
      </c>
      <c r="N32" s="79">
        <f t="shared" si="3"/>
        <v>5</v>
      </c>
      <c r="O32" s="79">
        <f t="shared" si="3"/>
        <v>4</v>
      </c>
      <c r="P32" s="79">
        <f t="shared" si="3"/>
        <v>3</v>
      </c>
      <c r="Q32" s="79">
        <f t="shared" si="3"/>
        <v>2</v>
      </c>
    </row>
    <row r="33" spans="1:17" ht="14.4" customHeight="1" x14ac:dyDescent="0.3">
      <c r="A33" s="207">
        <v>12</v>
      </c>
      <c r="B33" s="207"/>
      <c r="C33" s="80">
        <f t="shared" si="3"/>
        <v>15</v>
      </c>
      <c r="D33" s="80">
        <f t="shared" si="3"/>
        <v>14</v>
      </c>
      <c r="E33" s="80">
        <f t="shared" si="3"/>
        <v>13</v>
      </c>
      <c r="F33" s="80">
        <f t="shared" si="3"/>
        <v>12</v>
      </c>
      <c r="G33" s="80">
        <f t="shared" si="3"/>
        <v>11</v>
      </c>
      <c r="H33" s="80">
        <f t="shared" si="3"/>
        <v>10</v>
      </c>
      <c r="I33" s="80">
        <f t="shared" si="3"/>
        <v>9</v>
      </c>
      <c r="J33" s="80">
        <f t="shared" si="3"/>
        <v>8</v>
      </c>
      <c r="K33" s="80">
        <f t="shared" si="3"/>
        <v>7</v>
      </c>
      <c r="L33" s="80">
        <f t="shared" si="3"/>
        <v>6</v>
      </c>
      <c r="M33" s="80">
        <f t="shared" si="3"/>
        <v>5</v>
      </c>
      <c r="N33" s="80">
        <f t="shared" si="3"/>
        <v>4</v>
      </c>
      <c r="O33" s="80">
        <f t="shared" si="3"/>
        <v>3</v>
      </c>
      <c r="P33" s="80">
        <f t="shared" si="3"/>
        <v>2</v>
      </c>
      <c r="Q33" s="80">
        <f t="shared" si="3"/>
        <v>1</v>
      </c>
    </row>
    <row r="34" spans="1:17" ht="14.4" customHeight="1" x14ac:dyDescent="0.3">
      <c r="A34" s="213">
        <v>11</v>
      </c>
      <c r="B34" s="213"/>
      <c r="C34" s="79">
        <f t="shared" si="3"/>
        <v>14</v>
      </c>
      <c r="D34" s="79">
        <f t="shared" si="3"/>
        <v>13</v>
      </c>
      <c r="E34" s="79">
        <f t="shared" si="3"/>
        <v>12</v>
      </c>
      <c r="F34" s="79">
        <f t="shared" si="3"/>
        <v>11</v>
      </c>
      <c r="G34" s="79">
        <f t="shared" si="3"/>
        <v>10</v>
      </c>
      <c r="H34" s="79">
        <f t="shared" si="3"/>
        <v>9</v>
      </c>
      <c r="I34" s="79">
        <f t="shared" si="3"/>
        <v>8</v>
      </c>
      <c r="J34" s="79">
        <f t="shared" si="3"/>
        <v>7</v>
      </c>
      <c r="K34" s="79">
        <f t="shared" si="3"/>
        <v>6</v>
      </c>
      <c r="L34" s="79">
        <f t="shared" si="3"/>
        <v>5</v>
      </c>
      <c r="M34" s="79">
        <f t="shared" si="3"/>
        <v>4</v>
      </c>
      <c r="N34" s="79">
        <f t="shared" si="3"/>
        <v>3</v>
      </c>
      <c r="O34" s="79">
        <f t="shared" si="3"/>
        <v>2</v>
      </c>
      <c r="P34" s="79">
        <f t="shared" si="3"/>
        <v>1</v>
      </c>
      <c r="Q34" s="79">
        <f t="shared" si="3"/>
        <v>0</v>
      </c>
    </row>
    <row r="35" spans="1:17" ht="14.4" customHeight="1" x14ac:dyDescent="0.3">
      <c r="A35" s="119"/>
      <c r="B35" s="120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1" t="s">
        <v>195</v>
      </c>
    </row>
    <row r="36" spans="1:17" ht="12.6" customHeight="1" thickBot="1" x14ac:dyDescent="0.35">
      <c r="A36" s="122"/>
      <c r="B36" s="123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1:17" ht="12.6" customHeight="1" x14ac:dyDescent="0.3">
      <c r="A37" s="38" t="s">
        <v>46</v>
      </c>
      <c r="B37" s="39" t="s">
        <v>48</v>
      </c>
      <c r="C37" s="38"/>
      <c r="D37" s="38"/>
      <c r="E37" s="38"/>
      <c r="F37" s="38"/>
      <c r="G37" s="38"/>
      <c r="H37" s="38"/>
      <c r="I37" s="38"/>
      <c r="J37" s="38"/>
      <c r="K37" s="40" t="s">
        <v>203</v>
      </c>
      <c r="L37" s="41"/>
      <c r="M37" s="42" t="s">
        <v>8</v>
      </c>
      <c r="N37" s="42" t="s">
        <v>46</v>
      </c>
      <c r="O37" s="42" t="s">
        <v>204</v>
      </c>
      <c r="P37" s="42" t="s">
        <v>205</v>
      </c>
      <c r="Q37" s="42" t="s">
        <v>206</v>
      </c>
    </row>
    <row r="38" spans="1:17" ht="12.6" customHeight="1" x14ac:dyDescent="0.3">
      <c r="A38" s="36">
        <v>0</v>
      </c>
      <c r="B38" s="37" t="s">
        <v>221</v>
      </c>
      <c r="K38" s="35" t="s">
        <v>196</v>
      </c>
      <c r="L38" s="2"/>
      <c r="M38" s="43">
        <v>9</v>
      </c>
      <c r="N38" s="43">
        <v>0</v>
      </c>
      <c r="O38" s="43" t="s">
        <v>207</v>
      </c>
      <c r="P38" s="43" t="s">
        <v>208</v>
      </c>
      <c r="Q38" s="43" t="s">
        <v>209</v>
      </c>
    </row>
    <row r="39" spans="1:17" ht="12.6" customHeight="1" x14ac:dyDescent="0.3">
      <c r="A39" s="36" t="s">
        <v>223</v>
      </c>
      <c r="B39" s="47" t="s">
        <v>222</v>
      </c>
      <c r="C39" s="48"/>
      <c r="D39" s="48"/>
      <c r="E39" s="48"/>
      <c r="F39" s="48"/>
      <c r="G39" s="48"/>
      <c r="H39" s="48"/>
      <c r="I39" s="48"/>
      <c r="J39" s="48"/>
      <c r="K39" s="44" t="s">
        <v>233</v>
      </c>
      <c r="L39" s="45"/>
      <c r="M39" s="46">
        <v>8</v>
      </c>
      <c r="N39" s="46">
        <v>1</v>
      </c>
      <c r="O39" s="46" t="s">
        <v>207</v>
      </c>
      <c r="P39" s="46" t="s">
        <v>208</v>
      </c>
      <c r="Q39" s="46" t="s">
        <v>209</v>
      </c>
    </row>
    <row r="40" spans="1:17" ht="12.6" customHeight="1" x14ac:dyDescent="0.3">
      <c r="A40" s="36" t="s">
        <v>224</v>
      </c>
      <c r="B40" s="49" t="s">
        <v>225</v>
      </c>
      <c r="K40" s="35" t="s">
        <v>197</v>
      </c>
      <c r="L40" s="2"/>
      <c r="M40" s="43">
        <v>7</v>
      </c>
      <c r="N40" s="43">
        <v>2</v>
      </c>
      <c r="O40" s="43"/>
      <c r="P40" s="43" t="s">
        <v>208</v>
      </c>
      <c r="Q40" s="43" t="s">
        <v>209</v>
      </c>
    </row>
    <row r="41" spans="1:17" ht="12.6" customHeight="1" x14ac:dyDescent="0.3">
      <c r="A41" s="36">
        <v>1</v>
      </c>
      <c r="B41" s="47" t="s">
        <v>226</v>
      </c>
      <c r="C41" s="47"/>
      <c r="D41" s="47"/>
      <c r="E41" s="47"/>
      <c r="F41" s="47"/>
      <c r="G41" s="47"/>
      <c r="H41" s="47"/>
      <c r="I41" s="47"/>
      <c r="J41" s="47"/>
      <c r="K41" s="44" t="s">
        <v>198</v>
      </c>
      <c r="L41" s="45"/>
      <c r="M41" s="46">
        <v>6</v>
      </c>
      <c r="N41" s="46">
        <v>2</v>
      </c>
      <c r="O41" s="46" t="s">
        <v>207</v>
      </c>
      <c r="P41" s="46" t="s">
        <v>208</v>
      </c>
      <c r="Q41" s="46" t="s">
        <v>209</v>
      </c>
    </row>
    <row r="42" spans="1:17" ht="12.6" customHeight="1" x14ac:dyDescent="0.3">
      <c r="A42" s="36">
        <v>2</v>
      </c>
      <c r="B42" s="49" t="s">
        <v>228</v>
      </c>
      <c r="K42" s="35" t="s">
        <v>199</v>
      </c>
      <c r="L42" s="2"/>
      <c r="M42" s="43">
        <v>5</v>
      </c>
      <c r="N42" s="43">
        <v>2</v>
      </c>
      <c r="O42" s="43" t="s">
        <v>209</v>
      </c>
      <c r="P42" s="43" t="s">
        <v>208</v>
      </c>
      <c r="Q42" s="43" t="s">
        <v>208</v>
      </c>
    </row>
    <row r="43" spans="1:17" ht="12.6" customHeight="1" x14ac:dyDescent="0.3">
      <c r="A43" s="36">
        <v>3</v>
      </c>
      <c r="B43" s="47" t="s">
        <v>227</v>
      </c>
      <c r="C43" s="47"/>
      <c r="D43" s="47"/>
      <c r="E43" s="47"/>
      <c r="F43" s="47"/>
      <c r="G43" s="47"/>
      <c r="H43" s="47"/>
      <c r="I43" s="47"/>
      <c r="J43" s="47"/>
      <c r="K43" s="44" t="s">
        <v>201</v>
      </c>
      <c r="L43" s="45"/>
      <c r="M43" s="46">
        <v>4</v>
      </c>
      <c r="N43" s="46">
        <v>3</v>
      </c>
      <c r="O43" s="46" t="s">
        <v>208</v>
      </c>
      <c r="P43" s="46" t="s">
        <v>208</v>
      </c>
      <c r="Q43" s="46" t="s">
        <v>47</v>
      </c>
    </row>
    <row r="44" spans="1:17" ht="12.6" customHeight="1" x14ac:dyDescent="0.3">
      <c r="A44" s="36"/>
      <c r="B44" s="50"/>
      <c r="C44" s="13"/>
      <c r="D44" s="13"/>
      <c r="E44" s="13"/>
      <c r="G44" s="13"/>
      <c r="H44" s="13"/>
      <c r="I44" s="13"/>
      <c r="J44" s="3"/>
      <c r="K44" s="35" t="s">
        <v>202</v>
      </c>
      <c r="L44" s="2"/>
      <c r="M44" s="43">
        <v>3</v>
      </c>
      <c r="N44" s="43">
        <v>3</v>
      </c>
      <c r="O44" s="43" t="s">
        <v>208</v>
      </c>
      <c r="P44" s="43" t="s">
        <v>208</v>
      </c>
      <c r="Q44" s="43" t="s">
        <v>47</v>
      </c>
    </row>
    <row r="45" spans="1:17" ht="12.6" customHeight="1" x14ac:dyDescent="0.3">
      <c r="A45" t="s">
        <v>230</v>
      </c>
      <c r="B45" s="50"/>
      <c r="C45" s="13"/>
      <c r="D45" s="13"/>
      <c r="E45" s="13"/>
      <c r="F45" s="51"/>
      <c r="G45" s="13"/>
      <c r="H45" s="13"/>
      <c r="I45" s="13"/>
      <c r="J45" s="3"/>
      <c r="K45" s="44" t="s">
        <v>234</v>
      </c>
      <c r="L45" s="45"/>
      <c r="M45" s="46">
        <v>2</v>
      </c>
      <c r="N45" s="46">
        <v>3</v>
      </c>
      <c r="O45" s="46" t="s">
        <v>208</v>
      </c>
      <c r="P45" s="46" t="s">
        <v>208</v>
      </c>
      <c r="Q45" s="46" t="s">
        <v>47</v>
      </c>
    </row>
    <row r="46" spans="1:17" ht="12.6" customHeight="1" x14ac:dyDescent="0.3">
      <c r="A46" t="s">
        <v>229</v>
      </c>
      <c r="B46" s="50"/>
      <c r="C46" s="13"/>
      <c r="D46" s="13"/>
      <c r="E46" s="13"/>
      <c r="F46" s="13"/>
      <c r="G46" s="13"/>
      <c r="H46" s="13"/>
      <c r="I46" s="13"/>
      <c r="J46" s="3"/>
      <c r="K46" s="35" t="s">
        <v>200</v>
      </c>
      <c r="L46" s="2"/>
      <c r="M46" s="43">
        <v>-1</v>
      </c>
      <c r="N46" s="43">
        <v>2</v>
      </c>
      <c r="O46" s="43"/>
      <c r="P46" s="43"/>
      <c r="Q46" s="43"/>
    </row>
    <row r="47" spans="1:17" ht="12.6" customHeight="1" x14ac:dyDescent="0.3">
      <c r="A47" t="s">
        <v>231</v>
      </c>
      <c r="B47" s="50"/>
      <c r="C47" s="13"/>
      <c r="D47" s="13"/>
      <c r="E47" s="13"/>
      <c r="F47" s="13"/>
      <c r="G47" s="13"/>
      <c r="H47" s="13"/>
      <c r="I47" s="13"/>
      <c r="J47" s="3"/>
      <c r="K47" s="44" t="s">
        <v>235</v>
      </c>
      <c r="L47" s="45"/>
      <c r="M47" s="46">
        <v>-2</v>
      </c>
      <c r="N47" s="46">
        <v>3</v>
      </c>
      <c r="O47" s="46" t="s">
        <v>236</v>
      </c>
      <c r="P47" s="46"/>
      <c r="Q47" s="46"/>
    </row>
    <row r="48" spans="1:17" ht="12.6" customHeight="1" x14ac:dyDescent="0.3">
      <c r="A48" t="s">
        <v>232</v>
      </c>
      <c r="B48" s="13"/>
      <c r="C48" s="13"/>
      <c r="D48" s="13"/>
      <c r="E48" s="13"/>
      <c r="F48" s="13"/>
      <c r="G48" s="13"/>
      <c r="H48" s="13"/>
      <c r="I48" s="13"/>
      <c r="J48" s="3"/>
      <c r="Q48" s="128" t="s">
        <v>360</v>
      </c>
    </row>
    <row r="49" spans="1:17" ht="17.399999999999999" customHeight="1" x14ac:dyDescent="0.3"/>
    <row r="50" spans="1:17" ht="15" thickBot="1" x14ac:dyDescent="0.35">
      <c r="A50" s="118"/>
      <c r="B50" s="181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</row>
  </sheetData>
  <mergeCells count="11">
    <mergeCell ref="A30:B30"/>
    <mergeCell ref="A31:B31"/>
    <mergeCell ref="A32:B32"/>
    <mergeCell ref="A33:B33"/>
    <mergeCell ref="A34:B34"/>
    <mergeCell ref="A29:B29"/>
    <mergeCell ref="J2:Q2"/>
    <mergeCell ref="A24:B24"/>
    <mergeCell ref="A26:B26"/>
    <mergeCell ref="A27:B27"/>
    <mergeCell ref="A28:B28"/>
  </mergeCells>
  <printOptions horizontalCentered="1" verticalCentered="1"/>
  <pageMargins left="0" right="0" top="0" bottom="0" header="0" footer="0"/>
  <pageSetup paperSize="9" fitToWidth="0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ECC3-3302-44DA-8376-3DD3643BBD45}">
  <dimension ref="A1:AA44"/>
  <sheetViews>
    <sheetView tabSelected="1" topLeftCell="A12" zoomScale="120" zoomScaleNormal="120" workbookViewId="0">
      <selection activeCell="H38" sqref="H38"/>
    </sheetView>
  </sheetViews>
  <sheetFormatPr defaultRowHeight="14.4" x14ac:dyDescent="0.3"/>
  <cols>
    <col min="1" max="2" width="11.109375" style="2" customWidth="1"/>
    <col min="3" max="3" width="5.77734375" style="2" customWidth="1"/>
    <col min="4" max="12" width="4.77734375" style="2" customWidth="1"/>
    <col min="13" max="13" width="5.77734375" style="2" customWidth="1"/>
    <col min="14" max="14" width="5.109375" style="2" customWidth="1"/>
    <col min="15" max="15" width="11.109375" style="2" customWidth="1"/>
    <col min="16" max="16" width="10" style="2" customWidth="1"/>
    <col min="17" max="16384" width="8.88671875" style="2"/>
  </cols>
  <sheetData>
    <row r="1" spans="1:16" ht="20.399999999999999" customHeight="1" x14ac:dyDescent="0.3">
      <c r="A1" s="29" t="s">
        <v>0</v>
      </c>
      <c r="B1" s="30" t="s">
        <v>49</v>
      </c>
      <c r="C1" s="30"/>
      <c r="D1" s="157"/>
      <c r="E1" s="29"/>
      <c r="F1" s="159"/>
      <c r="G1" s="160" t="s">
        <v>102</v>
      </c>
      <c r="H1" s="30"/>
      <c r="I1" s="159"/>
      <c r="J1" s="52"/>
      <c r="K1" s="29" t="s">
        <v>34</v>
      </c>
      <c r="L1" s="30"/>
      <c r="M1" s="30"/>
      <c r="N1" s="161" t="s">
        <v>94</v>
      </c>
      <c r="O1" s="30"/>
      <c r="P1" s="30"/>
    </row>
    <row r="2" spans="1:16" ht="20.399999999999999" customHeight="1" x14ac:dyDescent="0.3">
      <c r="A2" s="158" t="s">
        <v>93</v>
      </c>
      <c r="B2" s="28" t="s">
        <v>74</v>
      </c>
      <c r="C2" s="28"/>
      <c r="D2" s="52"/>
      <c r="E2" s="29" t="s">
        <v>33</v>
      </c>
      <c r="F2" s="30"/>
      <c r="G2" s="30" t="s">
        <v>100</v>
      </c>
      <c r="H2" s="30"/>
      <c r="I2" s="156" t="s">
        <v>101</v>
      </c>
      <c r="J2" s="52"/>
      <c r="K2" s="29" t="s">
        <v>1</v>
      </c>
      <c r="L2" s="30"/>
      <c r="M2" s="30"/>
      <c r="N2" s="30" t="s">
        <v>50</v>
      </c>
      <c r="O2" s="30"/>
      <c r="P2" s="30"/>
    </row>
    <row r="3" spans="1:16" ht="9.6" customHeight="1" x14ac:dyDescent="0.3">
      <c r="A3" s="3"/>
      <c r="B3" s="3"/>
      <c r="C3" s="3"/>
      <c r="D3" s="3"/>
      <c r="E3" s="3"/>
      <c r="F3" s="3"/>
      <c r="G3" s="3"/>
      <c r="H3" s="3"/>
      <c r="K3" s="3"/>
      <c r="L3" s="3"/>
      <c r="M3" s="3"/>
      <c r="N3" s="3"/>
      <c r="O3" s="3"/>
      <c r="P3" s="3"/>
    </row>
    <row r="4" spans="1:16" ht="18.600000000000001" customHeight="1" x14ac:dyDescent="0.3">
      <c r="A4" s="53" t="s">
        <v>8</v>
      </c>
      <c r="B4" s="177">
        <v>2</v>
      </c>
      <c r="C4" s="1"/>
      <c r="E4" s="53" t="s">
        <v>46</v>
      </c>
      <c r="F4" s="54">
        <v>20</v>
      </c>
      <c r="G4" s="144" t="s">
        <v>62</v>
      </c>
      <c r="H4" s="145" t="s">
        <v>657</v>
      </c>
      <c r="I4" s="1"/>
      <c r="J4" s="55"/>
      <c r="L4" s="56" t="s">
        <v>92</v>
      </c>
      <c r="M4" s="54">
        <v>-1</v>
      </c>
      <c r="N4" s="1"/>
      <c r="O4" s="53" t="s">
        <v>9</v>
      </c>
      <c r="P4" s="149">
        <v>31</v>
      </c>
    </row>
    <row r="5" spans="1:16" ht="19.8" customHeight="1" x14ac:dyDescent="0.3">
      <c r="A5" s="25" t="s">
        <v>29</v>
      </c>
      <c r="B5" s="25"/>
      <c r="J5" s="2" t="s">
        <v>91</v>
      </c>
      <c r="M5" s="25" t="s">
        <v>10</v>
      </c>
      <c r="N5" s="24"/>
      <c r="O5" s="24"/>
      <c r="P5" s="24"/>
    </row>
    <row r="6" spans="1:16" ht="32.4" customHeight="1" x14ac:dyDescent="0.3">
      <c r="A6" s="154">
        <v>12</v>
      </c>
      <c r="B6" s="178" t="s">
        <v>2</v>
      </c>
      <c r="C6" s="202" t="s">
        <v>84</v>
      </c>
      <c r="D6" s="202"/>
      <c r="E6" s="202"/>
      <c r="F6" s="202"/>
      <c r="G6" s="202"/>
      <c r="H6" s="202"/>
      <c r="I6" s="202"/>
      <c r="J6" s="57">
        <v>0</v>
      </c>
      <c r="K6" s="57"/>
      <c r="L6" s="113"/>
      <c r="M6" s="203" t="s">
        <v>346</v>
      </c>
      <c r="N6" s="203"/>
      <c r="O6" s="203"/>
      <c r="P6" s="150">
        <v>9</v>
      </c>
    </row>
    <row r="7" spans="1:16" ht="32.4" customHeight="1" x14ac:dyDescent="0.3">
      <c r="A7" s="154">
        <v>6</v>
      </c>
      <c r="B7" s="178" t="s">
        <v>3</v>
      </c>
      <c r="C7" s="202" t="s">
        <v>85</v>
      </c>
      <c r="D7" s="202"/>
      <c r="E7" s="202"/>
      <c r="F7" s="202"/>
      <c r="G7" s="202"/>
      <c r="H7" s="202"/>
      <c r="I7" s="202"/>
      <c r="J7" s="57">
        <v>-1</v>
      </c>
      <c r="K7" s="57"/>
      <c r="M7" s="203" t="s">
        <v>11</v>
      </c>
      <c r="N7" s="203"/>
      <c r="O7" s="203"/>
      <c r="P7" s="150">
        <v>10</v>
      </c>
    </row>
    <row r="8" spans="1:16" ht="32.4" customHeight="1" x14ac:dyDescent="0.3">
      <c r="A8" s="154">
        <v>12</v>
      </c>
      <c r="B8" s="178" t="s">
        <v>4</v>
      </c>
      <c r="C8" s="202" t="s">
        <v>86</v>
      </c>
      <c r="D8" s="202"/>
      <c r="E8" s="202"/>
      <c r="F8" s="202"/>
      <c r="G8" s="202"/>
      <c r="H8" s="202"/>
      <c r="I8" s="202"/>
      <c r="J8" s="57">
        <v>0</v>
      </c>
      <c r="K8" s="57"/>
      <c r="M8" s="203" t="s">
        <v>14</v>
      </c>
      <c r="N8" s="203"/>
      <c r="O8" s="203"/>
      <c r="P8" s="150">
        <v>12</v>
      </c>
    </row>
    <row r="9" spans="1:16" ht="32.4" customHeight="1" x14ac:dyDescent="0.3">
      <c r="A9" s="154">
        <v>7</v>
      </c>
      <c r="B9" s="178" t="s">
        <v>5</v>
      </c>
      <c r="C9" s="202" t="s">
        <v>87</v>
      </c>
      <c r="D9" s="202"/>
      <c r="E9" s="202"/>
      <c r="F9" s="202"/>
      <c r="G9" s="202"/>
      <c r="H9" s="202"/>
      <c r="I9" s="202"/>
      <c r="J9" s="57">
        <v>-1</v>
      </c>
      <c r="K9" s="57"/>
      <c r="M9" s="203" t="s">
        <v>12</v>
      </c>
      <c r="N9" s="203"/>
      <c r="O9" s="203"/>
      <c r="P9" s="150">
        <v>14</v>
      </c>
    </row>
    <row r="10" spans="1:16" ht="32.4" customHeight="1" x14ac:dyDescent="0.3">
      <c r="A10" s="154">
        <v>13</v>
      </c>
      <c r="B10" s="178" t="s">
        <v>6</v>
      </c>
      <c r="C10" s="202" t="s">
        <v>88</v>
      </c>
      <c r="D10" s="202"/>
      <c r="E10" s="202"/>
      <c r="F10" s="202"/>
      <c r="G10" s="202"/>
      <c r="H10" s="202"/>
      <c r="I10" s="202"/>
      <c r="J10" s="57">
        <v>1</v>
      </c>
      <c r="K10" s="57"/>
      <c r="M10" s="203" t="s">
        <v>13</v>
      </c>
      <c r="N10" s="203"/>
      <c r="O10" s="203"/>
      <c r="P10" s="150">
        <v>11</v>
      </c>
    </row>
    <row r="11" spans="1:16" ht="32.4" customHeight="1" x14ac:dyDescent="0.3">
      <c r="A11" s="154">
        <v>9</v>
      </c>
      <c r="B11" s="178" t="s">
        <v>7</v>
      </c>
      <c r="C11" s="202" t="s">
        <v>89</v>
      </c>
      <c r="D11" s="202"/>
      <c r="E11" s="202"/>
      <c r="F11" s="202"/>
      <c r="G11" s="202"/>
      <c r="H11" s="202"/>
      <c r="I11" s="202"/>
      <c r="J11" s="57">
        <v>0</v>
      </c>
      <c r="K11" s="57"/>
      <c r="M11" s="205" t="s">
        <v>341</v>
      </c>
      <c r="N11" s="205"/>
      <c r="O11" s="205"/>
      <c r="P11" s="205"/>
    </row>
    <row r="12" spans="1:16" ht="8.4" customHeight="1" x14ac:dyDescent="0.3">
      <c r="P12" s="55"/>
    </row>
    <row r="13" spans="1:16" s="3" customFormat="1" ht="15.6" customHeight="1" x14ac:dyDescent="0.3">
      <c r="A13" s="22" t="s">
        <v>16</v>
      </c>
      <c r="B13" s="22"/>
      <c r="C13" s="58"/>
      <c r="D13" s="22" t="s">
        <v>17</v>
      </c>
      <c r="E13" s="22"/>
      <c r="F13" s="22"/>
      <c r="G13" s="58"/>
      <c r="H13" s="109" t="s">
        <v>65</v>
      </c>
      <c r="I13" s="109" t="s">
        <v>66</v>
      </c>
      <c r="J13" s="109" t="s">
        <v>67</v>
      </c>
      <c r="K13" s="110" t="s">
        <v>344</v>
      </c>
      <c r="L13" s="109" t="s">
        <v>342</v>
      </c>
      <c r="N13" s="31" t="s">
        <v>55</v>
      </c>
      <c r="O13" s="32"/>
      <c r="P13" s="31"/>
    </row>
    <row r="14" spans="1:16" s="3" customFormat="1" ht="15.6" customHeight="1" x14ac:dyDescent="0.3">
      <c r="A14" s="204" t="s">
        <v>166</v>
      </c>
      <c r="B14" s="204"/>
      <c r="D14" s="58" t="s">
        <v>21</v>
      </c>
      <c r="E14" s="58"/>
      <c r="G14" s="36" t="s">
        <v>70</v>
      </c>
      <c r="H14" s="60">
        <v>20</v>
      </c>
      <c r="I14" s="1">
        <f>J14*1.5</f>
        <v>6</v>
      </c>
      <c r="J14" s="1">
        <f>H14/5</f>
        <v>4</v>
      </c>
      <c r="K14" s="110" t="s">
        <v>345</v>
      </c>
      <c r="L14" s="109" t="s">
        <v>47</v>
      </c>
      <c r="N14" s="18" t="s">
        <v>56</v>
      </c>
      <c r="O14" s="18"/>
      <c r="P14" s="18"/>
    </row>
    <row r="15" spans="1:16" s="3" customFormat="1" ht="15.6" customHeight="1" x14ac:dyDescent="0.3">
      <c r="A15" s="204"/>
      <c r="B15" s="204"/>
      <c r="D15" s="61" t="s">
        <v>37</v>
      </c>
      <c r="E15" s="61"/>
      <c r="F15" s="62"/>
      <c r="G15" s="63" t="s">
        <v>71</v>
      </c>
      <c r="H15" s="64">
        <v>60</v>
      </c>
      <c r="I15" s="64">
        <f>J15*1.5</f>
        <v>18</v>
      </c>
      <c r="J15" s="64">
        <f t="shared" ref="J15:J18" si="0">H15/5</f>
        <v>12</v>
      </c>
      <c r="K15" s="111" t="s">
        <v>47</v>
      </c>
      <c r="L15" s="112" t="s">
        <v>47</v>
      </c>
      <c r="N15" s="18" t="s">
        <v>57</v>
      </c>
      <c r="O15" s="18"/>
      <c r="P15" s="18"/>
    </row>
    <row r="16" spans="1:16" s="3" customFormat="1" ht="15.6" customHeight="1" x14ac:dyDescent="0.3">
      <c r="A16" s="204"/>
      <c r="B16" s="204"/>
      <c r="D16" s="58" t="s">
        <v>18</v>
      </c>
      <c r="E16" s="58"/>
      <c r="G16" s="36" t="s">
        <v>70</v>
      </c>
      <c r="H16" s="60">
        <v>60</v>
      </c>
      <c r="I16" s="1">
        <f>J16*1.5</f>
        <v>18</v>
      </c>
      <c r="J16" s="1">
        <f t="shared" si="0"/>
        <v>12</v>
      </c>
      <c r="K16" s="110">
        <f>J16+(J16/2)</f>
        <v>18</v>
      </c>
      <c r="L16" s="206" t="s">
        <v>343</v>
      </c>
      <c r="N16" s="18" t="s">
        <v>58</v>
      </c>
      <c r="O16" s="18"/>
      <c r="P16" s="18"/>
    </row>
    <row r="17" spans="1:16" s="3" customFormat="1" ht="15.6" customHeight="1" x14ac:dyDescent="0.3">
      <c r="A17" s="155" t="s">
        <v>195</v>
      </c>
      <c r="B17" s="163"/>
      <c r="D17" s="61" t="s">
        <v>35</v>
      </c>
      <c r="E17" s="61"/>
      <c r="F17" s="62"/>
      <c r="G17" s="63" t="s">
        <v>70</v>
      </c>
      <c r="H17" s="64">
        <v>10</v>
      </c>
      <c r="I17" s="64">
        <f>J17*1.5</f>
        <v>3</v>
      </c>
      <c r="J17" s="64">
        <f t="shared" si="0"/>
        <v>2</v>
      </c>
      <c r="K17" s="111">
        <f t="shared" ref="K17:K18" si="1">J17+(J17/2)</f>
        <v>3</v>
      </c>
      <c r="L17" s="206"/>
      <c r="N17" s="18" t="s">
        <v>59</v>
      </c>
      <c r="O17" s="18"/>
      <c r="P17" s="18"/>
    </row>
    <row r="18" spans="1:16" s="3" customFormat="1" ht="15.6" customHeight="1" x14ac:dyDescent="0.3">
      <c r="A18" s="155" t="s">
        <v>95</v>
      </c>
      <c r="B18" s="164"/>
      <c r="D18" s="58" t="s">
        <v>36</v>
      </c>
      <c r="E18" s="58"/>
      <c r="G18" s="36" t="s">
        <v>70</v>
      </c>
      <c r="H18" s="60">
        <v>10</v>
      </c>
      <c r="I18" s="1">
        <f>J18*1.5</f>
        <v>3</v>
      </c>
      <c r="J18" s="1">
        <f t="shared" si="0"/>
        <v>2</v>
      </c>
      <c r="K18" s="110">
        <f t="shared" si="1"/>
        <v>3</v>
      </c>
      <c r="L18" s="206"/>
      <c r="N18" s="18" t="s">
        <v>60</v>
      </c>
      <c r="O18" s="18"/>
      <c r="P18" s="18"/>
    </row>
    <row r="19" spans="1:16" s="3" customFormat="1" ht="15.6" customHeight="1" x14ac:dyDescent="0.3">
      <c r="A19" s="21"/>
      <c r="B19" s="20"/>
      <c r="D19" s="61" t="s">
        <v>22</v>
      </c>
      <c r="E19" s="61"/>
      <c r="F19" s="62"/>
      <c r="G19" s="63" t="s">
        <v>72</v>
      </c>
      <c r="H19" s="65" t="s">
        <v>141</v>
      </c>
      <c r="I19" s="65" t="s">
        <v>68</v>
      </c>
      <c r="J19" s="65"/>
      <c r="K19" s="111" t="s">
        <v>47</v>
      </c>
      <c r="L19" s="112" t="s">
        <v>47</v>
      </c>
      <c r="N19" s="18" t="s">
        <v>90</v>
      </c>
      <c r="O19" s="18"/>
      <c r="P19" s="18"/>
    </row>
    <row r="20" spans="1:16" s="3" customFormat="1" ht="15.6" customHeight="1" x14ac:dyDescent="0.3">
      <c r="A20" s="124"/>
      <c r="B20" s="180"/>
      <c r="N20" s="217" t="s">
        <v>61</v>
      </c>
      <c r="O20" s="217"/>
      <c r="P20" s="217"/>
    </row>
    <row r="21" spans="1:16" s="3" customFormat="1" ht="15.6" customHeight="1" x14ac:dyDescent="0.3">
      <c r="A21" s="125" t="s">
        <v>663</v>
      </c>
      <c r="B21" s="21"/>
      <c r="N21" s="18"/>
      <c r="O21" s="18"/>
      <c r="P21" s="179"/>
    </row>
    <row r="22" spans="1:16" ht="15.6" customHeight="1" x14ac:dyDescent="0.3">
      <c r="A22" s="125" t="s">
        <v>664</v>
      </c>
      <c r="B22" s="21"/>
      <c r="N22" s="67"/>
      <c r="O22" s="67" t="s">
        <v>46</v>
      </c>
      <c r="P22" s="151">
        <v>8</v>
      </c>
    </row>
    <row r="23" spans="1:16" ht="15.6" customHeight="1" x14ac:dyDescent="0.3">
      <c r="A23" s="125" t="s">
        <v>665</v>
      </c>
      <c r="B23" s="21"/>
      <c r="M23" s="58"/>
      <c r="N23" s="68"/>
      <c r="O23" s="21"/>
      <c r="P23" s="21"/>
    </row>
    <row r="24" spans="1:16" ht="15.6" customHeight="1" x14ac:dyDescent="0.3">
      <c r="A24" s="125" t="s">
        <v>666</v>
      </c>
      <c r="B24" s="21"/>
      <c r="M24" s="58"/>
      <c r="N24" s="33"/>
      <c r="O24" s="33" t="s">
        <v>215</v>
      </c>
      <c r="P24" s="33" t="s">
        <v>216</v>
      </c>
    </row>
    <row r="25" spans="1:16" ht="15.6" customHeight="1" x14ac:dyDescent="0.3">
      <c r="A25" s="125" t="s">
        <v>667</v>
      </c>
      <c r="B25" s="21"/>
      <c r="N25" s="69" t="s">
        <v>42</v>
      </c>
      <c r="O25" s="21"/>
      <c r="P25" s="152"/>
    </row>
    <row r="26" spans="1:16" ht="15.6" customHeight="1" x14ac:dyDescent="0.3">
      <c r="A26" s="49" t="s">
        <v>668</v>
      </c>
      <c r="B26" s="21"/>
      <c r="N26" s="69" t="s">
        <v>39</v>
      </c>
      <c r="O26" s="21"/>
      <c r="P26" s="152">
        <v>500</v>
      </c>
    </row>
    <row r="27" spans="1:16" ht="15.6" customHeight="1" x14ac:dyDescent="0.3">
      <c r="A27" s="49" t="s">
        <v>669</v>
      </c>
      <c r="N27" s="69" t="s">
        <v>43</v>
      </c>
      <c r="O27" s="21"/>
      <c r="P27" s="152"/>
    </row>
    <row r="28" spans="1:16" ht="15.6" customHeight="1" x14ac:dyDescent="0.3">
      <c r="A28" s="126" t="s">
        <v>670</v>
      </c>
      <c r="N28" s="69" t="s">
        <v>40</v>
      </c>
      <c r="O28" s="21"/>
      <c r="P28" s="152"/>
    </row>
    <row r="29" spans="1:16" ht="15.6" customHeight="1" x14ac:dyDescent="0.3">
      <c r="A29" s="126" t="s">
        <v>672</v>
      </c>
      <c r="N29" s="72"/>
      <c r="O29" s="67" t="s">
        <v>46</v>
      </c>
      <c r="P29" s="151">
        <v>5</v>
      </c>
    </row>
    <row r="30" spans="1:16" x14ac:dyDescent="0.3">
      <c r="A30" s="126"/>
    </row>
    <row r="31" spans="1:16" ht="15.6" customHeight="1" x14ac:dyDescent="0.3">
      <c r="A31" s="22" t="s">
        <v>41</v>
      </c>
      <c r="B31" s="22"/>
      <c r="C31" s="27" t="s">
        <v>96</v>
      </c>
      <c r="D31" s="24"/>
      <c r="E31" s="27" t="s">
        <v>97</v>
      </c>
      <c r="F31" s="24"/>
      <c r="G31" s="27" t="s">
        <v>98</v>
      </c>
      <c r="H31" s="24"/>
      <c r="I31" s="27" t="s">
        <v>99</v>
      </c>
      <c r="J31" s="24"/>
      <c r="K31" s="24"/>
      <c r="N31" s="22" t="s">
        <v>29</v>
      </c>
      <c r="O31" s="24"/>
      <c r="P31" s="24"/>
    </row>
    <row r="32" spans="1:16" x14ac:dyDescent="0.3">
      <c r="A32" s="52" t="s">
        <v>30</v>
      </c>
      <c r="B32" s="2" t="s">
        <v>75</v>
      </c>
      <c r="N32" s="2" t="s">
        <v>53</v>
      </c>
    </row>
    <row r="33" spans="1:27" x14ac:dyDescent="0.3">
      <c r="A33" s="52" t="s">
        <v>31</v>
      </c>
      <c r="B33" s="2" t="s">
        <v>77</v>
      </c>
      <c r="N33" s="2" t="s">
        <v>32</v>
      </c>
    </row>
    <row r="34" spans="1:27" x14ac:dyDescent="0.3">
      <c r="A34" s="52" t="s">
        <v>38</v>
      </c>
      <c r="B34" s="2" t="s">
        <v>76</v>
      </c>
      <c r="N34" s="2" t="s">
        <v>54</v>
      </c>
    </row>
    <row r="35" spans="1:27" x14ac:dyDescent="0.3">
      <c r="A35" s="52" t="s">
        <v>63</v>
      </c>
      <c r="B35" s="2" t="s">
        <v>64</v>
      </c>
      <c r="N35" s="2" t="s">
        <v>73</v>
      </c>
    </row>
    <row r="39" spans="1:27" x14ac:dyDescent="0.3">
      <c r="AA39"/>
    </row>
    <row r="40" spans="1:27" x14ac:dyDescent="0.3">
      <c r="L40" s="73" t="s">
        <v>194</v>
      </c>
    </row>
    <row r="41" spans="1:27" ht="15.6" x14ac:dyDescent="0.3">
      <c r="A41" s="162" t="s">
        <v>15</v>
      </c>
      <c r="B41" s="19" t="s">
        <v>19</v>
      </c>
      <c r="C41" s="26" t="s">
        <v>20</v>
      </c>
      <c r="D41" s="4">
        <v>8</v>
      </c>
      <c r="E41" s="26">
        <f>D41-1</f>
        <v>7</v>
      </c>
      <c r="F41" s="4">
        <f t="shared" ref="F41:L41" si="2">E41-1</f>
        <v>6</v>
      </c>
      <c r="G41" s="26">
        <f t="shared" si="2"/>
        <v>5</v>
      </c>
      <c r="H41" s="4">
        <f t="shared" si="2"/>
        <v>4</v>
      </c>
      <c r="I41" s="26">
        <f t="shared" si="2"/>
        <v>3</v>
      </c>
      <c r="J41" s="4">
        <f t="shared" si="2"/>
        <v>2</v>
      </c>
      <c r="K41" s="26">
        <f t="shared" si="2"/>
        <v>1</v>
      </c>
      <c r="L41" s="4">
        <f t="shared" si="2"/>
        <v>0</v>
      </c>
      <c r="M41" s="215" t="s">
        <v>26</v>
      </c>
      <c r="N41" s="215"/>
      <c r="O41" s="22" t="s">
        <v>27</v>
      </c>
      <c r="P41" s="24"/>
    </row>
    <row r="42" spans="1:27" ht="18" x14ac:dyDescent="0.3">
      <c r="A42" s="93" t="s">
        <v>51</v>
      </c>
      <c r="B42" s="1" t="s">
        <v>23</v>
      </c>
      <c r="C42" s="74">
        <v>8</v>
      </c>
      <c r="D42" s="75">
        <f>C42+1</f>
        <v>9</v>
      </c>
      <c r="E42" s="74">
        <f t="shared" ref="E42:L42" si="3">D42+1</f>
        <v>10</v>
      </c>
      <c r="F42" s="75">
        <f t="shared" si="3"/>
        <v>11</v>
      </c>
      <c r="G42" s="74">
        <f t="shared" si="3"/>
        <v>12</v>
      </c>
      <c r="H42" s="75">
        <f t="shared" si="3"/>
        <v>13</v>
      </c>
      <c r="I42" s="74">
        <f t="shared" si="3"/>
        <v>14</v>
      </c>
      <c r="J42" s="75">
        <f t="shared" si="3"/>
        <v>15</v>
      </c>
      <c r="K42" s="74">
        <f t="shared" si="3"/>
        <v>16</v>
      </c>
      <c r="L42" s="75">
        <f t="shared" si="3"/>
        <v>17</v>
      </c>
      <c r="M42" s="199" t="s">
        <v>28</v>
      </c>
      <c r="N42" s="199"/>
    </row>
    <row r="43" spans="1:27" ht="18" x14ac:dyDescent="0.3">
      <c r="A43" s="93" t="s">
        <v>52</v>
      </c>
      <c r="B43" s="1" t="s">
        <v>79</v>
      </c>
      <c r="C43" s="74">
        <v>8</v>
      </c>
      <c r="D43" s="75">
        <f t="shared" ref="D43:L43" si="4">C43+1</f>
        <v>9</v>
      </c>
      <c r="E43" s="74">
        <f t="shared" si="4"/>
        <v>10</v>
      </c>
      <c r="F43" s="75">
        <f t="shared" si="4"/>
        <v>11</v>
      </c>
      <c r="G43" s="74">
        <f t="shared" si="4"/>
        <v>12</v>
      </c>
      <c r="H43" s="75">
        <f t="shared" si="4"/>
        <v>13</v>
      </c>
      <c r="I43" s="74">
        <f t="shared" si="4"/>
        <v>14</v>
      </c>
      <c r="J43" s="75">
        <f t="shared" si="4"/>
        <v>15</v>
      </c>
      <c r="K43" s="74">
        <f t="shared" si="4"/>
        <v>16</v>
      </c>
      <c r="L43" s="75">
        <f t="shared" si="4"/>
        <v>17</v>
      </c>
      <c r="M43" s="200" t="s">
        <v>83</v>
      </c>
      <c r="N43" s="200"/>
      <c r="O43" s="3" t="s">
        <v>82</v>
      </c>
    </row>
    <row r="44" spans="1:27" ht="18" x14ac:dyDescent="0.3">
      <c r="A44" s="93" t="s">
        <v>78</v>
      </c>
      <c r="B44" s="1" t="s">
        <v>80</v>
      </c>
      <c r="C44" s="74">
        <v>9</v>
      </c>
      <c r="D44" s="75">
        <f t="shared" ref="D44:L44" si="5">C44+1</f>
        <v>10</v>
      </c>
      <c r="E44" s="74">
        <f t="shared" si="5"/>
        <v>11</v>
      </c>
      <c r="F44" s="75">
        <f t="shared" si="5"/>
        <v>12</v>
      </c>
      <c r="G44" s="74">
        <f t="shared" si="5"/>
        <v>13</v>
      </c>
      <c r="H44" s="75">
        <f t="shared" si="5"/>
        <v>14</v>
      </c>
      <c r="I44" s="74">
        <f t="shared" si="5"/>
        <v>15</v>
      </c>
      <c r="J44" s="75">
        <f t="shared" si="5"/>
        <v>16</v>
      </c>
      <c r="K44" s="74">
        <f t="shared" si="5"/>
        <v>17</v>
      </c>
      <c r="L44" s="75">
        <f t="shared" si="5"/>
        <v>18</v>
      </c>
      <c r="M44" s="200" t="s">
        <v>81</v>
      </c>
      <c r="N44" s="200"/>
    </row>
  </sheetData>
  <mergeCells count="19">
    <mergeCell ref="M6:O6"/>
    <mergeCell ref="M7:O7"/>
    <mergeCell ref="M8:O8"/>
    <mergeCell ref="M9:O9"/>
    <mergeCell ref="M10:O10"/>
    <mergeCell ref="A14:B16"/>
    <mergeCell ref="C6:I6"/>
    <mergeCell ref="C7:I7"/>
    <mergeCell ref="C8:I8"/>
    <mergeCell ref="C9:I9"/>
    <mergeCell ref="C10:I10"/>
    <mergeCell ref="M43:N43"/>
    <mergeCell ref="C11:I11"/>
    <mergeCell ref="N20:P20"/>
    <mergeCell ref="M44:N44"/>
    <mergeCell ref="M41:N41"/>
    <mergeCell ref="M42:N42"/>
    <mergeCell ref="M11:P11"/>
    <mergeCell ref="L16:L18"/>
  </mergeCells>
  <phoneticPr fontId="13" type="noConversion"/>
  <printOptions horizontalCentered="1" verticalCentered="1"/>
  <pageMargins left="0" right="0" top="0" bottom="0" header="0" footer="0"/>
  <pageSetup paperSize="9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C040-005E-492A-8E23-3F638673A9FD}">
  <dimension ref="A1:U50"/>
  <sheetViews>
    <sheetView topLeftCell="A31" zoomScale="120" zoomScaleNormal="120" workbookViewId="0">
      <selection activeCell="H39" sqref="H39"/>
    </sheetView>
  </sheetViews>
  <sheetFormatPr defaultRowHeight="14.4" x14ac:dyDescent="0.3"/>
  <cols>
    <col min="1" max="1" width="5.88671875" customWidth="1"/>
    <col min="2" max="2" width="5.88671875" style="5" customWidth="1"/>
    <col min="3" max="17" width="5.88671875" customWidth="1"/>
    <col min="18" max="21" width="5.5546875" customWidth="1"/>
  </cols>
  <sheetData>
    <row r="1" spans="1:21" s="2" customFormat="1" ht="17.399999999999999" customHeight="1" x14ac:dyDescent="0.3">
      <c r="A1" s="2" t="s">
        <v>212</v>
      </c>
      <c r="B1" s="1"/>
      <c r="C1" s="143">
        <f>Cleric!F4</f>
        <v>20</v>
      </c>
      <c r="E1" s="2" t="s">
        <v>211</v>
      </c>
      <c r="G1" s="143" t="str">
        <f>Cleric!G4</f>
        <v>+6</v>
      </c>
      <c r="I1" s="2" t="s">
        <v>214</v>
      </c>
      <c r="K1" s="143"/>
      <c r="M1" s="2" t="s">
        <v>213</v>
      </c>
      <c r="O1" s="146">
        <f>Cleric!P22+Cleric!P29</f>
        <v>13</v>
      </c>
      <c r="P1" s="16"/>
      <c r="Q1" s="17"/>
    </row>
    <row r="2" spans="1:21" ht="17.399999999999999" customHeight="1" x14ac:dyDescent="0.3">
      <c r="A2" s="82" t="s">
        <v>45</v>
      </c>
      <c r="B2" s="76"/>
      <c r="C2" s="76"/>
      <c r="D2" s="76"/>
      <c r="E2" s="76"/>
      <c r="F2" s="76"/>
      <c r="G2" s="76"/>
      <c r="H2" s="34" t="s">
        <v>44</v>
      </c>
      <c r="I2" s="34" t="s">
        <v>46</v>
      </c>
      <c r="J2" s="208" t="s">
        <v>359</v>
      </c>
      <c r="K2" s="208"/>
      <c r="L2" s="208"/>
      <c r="M2" s="208"/>
      <c r="N2" s="208"/>
      <c r="O2" s="208"/>
      <c r="P2" s="209"/>
      <c r="Q2" s="208"/>
      <c r="R2" s="6"/>
      <c r="S2" s="6"/>
      <c r="T2" s="6"/>
      <c r="U2" s="6"/>
    </row>
    <row r="3" spans="1:21" ht="17.399999999999999" customHeight="1" x14ac:dyDescent="0.3">
      <c r="A3" s="59">
        <v>1</v>
      </c>
      <c r="B3" s="2"/>
      <c r="C3" s="2"/>
      <c r="D3" s="2"/>
      <c r="E3" s="1"/>
      <c r="F3" s="2"/>
      <c r="G3" s="2"/>
      <c r="H3" s="9"/>
      <c r="I3" s="10"/>
      <c r="J3" s="143" t="s">
        <v>9</v>
      </c>
      <c r="K3" s="107"/>
      <c r="L3" s="107"/>
      <c r="M3" s="107"/>
      <c r="N3" s="107"/>
      <c r="O3" s="107"/>
      <c r="P3" s="107"/>
      <c r="Q3" s="107"/>
    </row>
    <row r="4" spans="1:21" ht="17.399999999999999" customHeight="1" x14ac:dyDescent="0.3">
      <c r="A4" s="83">
        <f>A3+1</f>
        <v>2</v>
      </c>
      <c r="B4" s="77"/>
      <c r="C4" s="77"/>
      <c r="D4" s="77"/>
      <c r="E4" s="77"/>
      <c r="F4" s="77"/>
      <c r="G4" s="77"/>
      <c r="H4" s="11"/>
      <c r="I4" s="11"/>
      <c r="J4" s="165"/>
      <c r="K4" s="107"/>
      <c r="L4" s="107"/>
      <c r="M4" s="107"/>
      <c r="N4" s="107"/>
      <c r="O4" s="107"/>
      <c r="P4" s="107"/>
      <c r="Q4" s="107"/>
    </row>
    <row r="5" spans="1:21" ht="17.399999999999999" customHeight="1" x14ac:dyDescent="0.3">
      <c r="A5" s="59">
        <f>A4+1</f>
        <v>3</v>
      </c>
      <c r="B5" s="2"/>
      <c r="C5" s="2"/>
      <c r="D5" s="2"/>
      <c r="E5" s="1"/>
      <c r="F5" s="2"/>
      <c r="G5" s="2"/>
      <c r="H5" s="10"/>
      <c r="I5" s="10"/>
      <c r="J5" s="165"/>
      <c r="K5" s="107"/>
      <c r="L5" s="107"/>
      <c r="M5" s="107"/>
      <c r="N5" s="107"/>
      <c r="O5" s="107"/>
      <c r="P5" s="107"/>
      <c r="Q5" s="107"/>
    </row>
    <row r="6" spans="1:21" ht="17.399999999999999" customHeight="1" x14ac:dyDescent="0.3">
      <c r="A6" s="83">
        <f t="shared" ref="A6:A22" si="0">A5+1</f>
        <v>4</v>
      </c>
      <c r="B6" s="77"/>
      <c r="C6" s="77"/>
      <c r="D6" s="77"/>
      <c r="E6" s="77"/>
      <c r="F6" s="77"/>
      <c r="G6" s="77"/>
      <c r="H6" s="11"/>
      <c r="I6" s="11"/>
      <c r="J6" s="166" t="s">
        <v>335</v>
      </c>
      <c r="K6" s="14"/>
      <c r="L6" s="14"/>
      <c r="M6" s="14"/>
      <c r="N6" s="14"/>
      <c r="O6" s="14"/>
      <c r="P6" s="14"/>
      <c r="Q6" s="14"/>
    </row>
    <row r="7" spans="1:21" ht="17.399999999999999" customHeight="1" x14ac:dyDescent="0.3">
      <c r="A7" s="59">
        <f t="shared" si="0"/>
        <v>5</v>
      </c>
      <c r="B7" s="2"/>
      <c r="C7" s="2"/>
      <c r="D7" s="2"/>
      <c r="E7" s="1"/>
      <c r="F7" s="2"/>
      <c r="G7" s="2"/>
      <c r="H7" s="10"/>
      <c r="I7" s="10"/>
      <c r="J7" s="167" t="s">
        <v>353</v>
      </c>
      <c r="K7" s="114" t="s">
        <v>347</v>
      </c>
      <c r="L7" s="114" t="s">
        <v>348</v>
      </c>
      <c r="M7" s="114" t="s">
        <v>349</v>
      </c>
      <c r="N7" s="114" t="s">
        <v>350</v>
      </c>
      <c r="O7" s="114" t="s">
        <v>351</v>
      </c>
      <c r="P7" s="114"/>
      <c r="Q7" s="114"/>
    </row>
    <row r="8" spans="1:21" ht="17.399999999999999" customHeight="1" x14ac:dyDescent="0.3">
      <c r="A8" s="83">
        <f t="shared" si="0"/>
        <v>6</v>
      </c>
      <c r="B8" s="77"/>
      <c r="C8" s="77"/>
      <c r="D8" s="77"/>
      <c r="E8" s="77"/>
      <c r="F8" s="77"/>
      <c r="G8" s="77"/>
      <c r="H8" s="11"/>
      <c r="I8" s="11"/>
      <c r="J8" s="168" t="s">
        <v>8</v>
      </c>
      <c r="K8" s="14"/>
      <c r="L8" s="14"/>
      <c r="M8" s="14"/>
      <c r="N8" s="14"/>
      <c r="O8" s="14"/>
      <c r="P8" s="14"/>
      <c r="Q8" s="14"/>
    </row>
    <row r="9" spans="1:21" ht="17.399999999999999" customHeight="1" x14ac:dyDescent="0.3">
      <c r="A9" s="59">
        <f t="shared" si="0"/>
        <v>7</v>
      </c>
      <c r="B9" s="2"/>
      <c r="C9" s="2"/>
      <c r="D9" s="2"/>
      <c r="E9" s="1"/>
      <c r="F9" s="2"/>
      <c r="G9" s="2"/>
      <c r="H9" s="10"/>
      <c r="I9" s="10"/>
      <c r="J9" s="168" t="s">
        <v>336</v>
      </c>
      <c r="K9" s="14"/>
      <c r="L9" s="14"/>
      <c r="M9" s="14"/>
      <c r="N9" s="14"/>
      <c r="O9" s="14"/>
      <c r="P9" s="14"/>
      <c r="Q9" s="14"/>
    </row>
    <row r="10" spans="1:21" ht="17.399999999999999" customHeight="1" x14ac:dyDescent="0.3">
      <c r="A10" s="83">
        <f t="shared" si="0"/>
        <v>8</v>
      </c>
      <c r="B10" s="77"/>
      <c r="C10" s="77"/>
      <c r="D10" s="77"/>
      <c r="E10" s="77"/>
      <c r="F10" s="77"/>
      <c r="G10" s="77"/>
      <c r="H10" s="11"/>
      <c r="I10" s="11"/>
      <c r="J10" s="168" t="s">
        <v>337</v>
      </c>
      <c r="K10" s="14"/>
      <c r="L10" s="14"/>
      <c r="M10" s="14"/>
      <c r="N10" s="14"/>
      <c r="O10" s="14"/>
      <c r="P10" s="14"/>
      <c r="Q10" s="14"/>
    </row>
    <row r="11" spans="1:21" ht="17.399999999999999" customHeight="1" x14ac:dyDescent="0.3">
      <c r="A11" s="59">
        <f t="shared" si="0"/>
        <v>9</v>
      </c>
      <c r="B11" s="2"/>
      <c r="C11" s="2"/>
      <c r="D11" s="2"/>
      <c r="E11" s="1"/>
      <c r="F11" s="2"/>
      <c r="G11" s="2"/>
      <c r="H11" s="10"/>
      <c r="I11" s="10"/>
      <c r="J11" s="168" t="s">
        <v>338</v>
      </c>
      <c r="K11" s="14"/>
      <c r="L11" s="14"/>
      <c r="M11" s="14"/>
      <c r="N11" s="14"/>
      <c r="O11" s="14"/>
      <c r="P11" s="14"/>
      <c r="Q11" s="14"/>
    </row>
    <row r="12" spans="1:21" ht="17.399999999999999" customHeight="1" x14ac:dyDescent="0.3">
      <c r="A12" s="83">
        <f t="shared" si="0"/>
        <v>10</v>
      </c>
      <c r="B12" s="77"/>
      <c r="C12" s="77"/>
      <c r="D12" s="77"/>
      <c r="E12" s="77"/>
      <c r="F12" s="77"/>
      <c r="G12" s="77"/>
      <c r="H12" s="11"/>
      <c r="I12" s="11"/>
      <c r="J12" s="168" t="s">
        <v>340</v>
      </c>
      <c r="K12" s="14"/>
      <c r="L12" s="14"/>
      <c r="M12" s="14"/>
      <c r="N12" s="14"/>
      <c r="O12" s="14"/>
      <c r="P12" s="14"/>
      <c r="Q12" s="14"/>
    </row>
    <row r="13" spans="1:21" ht="17.399999999999999" customHeight="1" x14ac:dyDescent="0.3">
      <c r="A13" s="59">
        <f t="shared" si="0"/>
        <v>11</v>
      </c>
      <c r="B13" s="2"/>
      <c r="C13" s="2"/>
      <c r="D13" s="2"/>
      <c r="E13" s="1"/>
      <c r="F13" s="2"/>
      <c r="G13" s="2"/>
      <c r="H13" s="10"/>
      <c r="I13" s="10"/>
      <c r="J13" s="168" t="s">
        <v>339</v>
      </c>
      <c r="K13" s="14"/>
      <c r="L13" s="14"/>
      <c r="M13" s="14"/>
      <c r="N13" s="14"/>
      <c r="O13" s="14"/>
      <c r="P13" s="14"/>
      <c r="Q13" s="14"/>
    </row>
    <row r="14" spans="1:21" ht="17.399999999999999" customHeight="1" x14ac:dyDescent="0.3">
      <c r="A14" s="83">
        <f t="shared" si="0"/>
        <v>12</v>
      </c>
      <c r="B14" s="77"/>
      <c r="C14" s="77"/>
      <c r="D14" s="77"/>
      <c r="E14" s="77"/>
      <c r="F14" s="77"/>
      <c r="G14" s="77"/>
      <c r="H14" s="11"/>
      <c r="I14" s="11"/>
      <c r="J14" s="174" t="s">
        <v>358</v>
      </c>
      <c r="K14" s="171"/>
      <c r="L14" s="171"/>
      <c r="M14" s="171"/>
      <c r="N14" s="171"/>
      <c r="O14" s="171"/>
      <c r="P14" s="171"/>
      <c r="Q14" s="172"/>
    </row>
    <row r="15" spans="1:21" ht="17.399999999999999" customHeight="1" x14ac:dyDescent="0.3">
      <c r="A15" s="59">
        <f t="shared" si="0"/>
        <v>13</v>
      </c>
      <c r="B15" s="2"/>
      <c r="C15" s="2"/>
      <c r="D15" s="2"/>
      <c r="E15" s="1"/>
      <c r="F15" s="2"/>
      <c r="G15" s="2"/>
      <c r="H15" s="10"/>
      <c r="I15" s="10"/>
      <c r="J15" s="175" t="s">
        <v>352</v>
      </c>
      <c r="K15" s="2"/>
      <c r="L15" s="2"/>
      <c r="M15" s="2"/>
      <c r="N15" s="2"/>
      <c r="O15" s="2"/>
      <c r="P15" s="2"/>
      <c r="Q15" s="115"/>
      <c r="S15" s="124"/>
    </row>
    <row r="16" spans="1:21" ht="17.399999999999999" customHeight="1" x14ac:dyDescent="0.3">
      <c r="A16" s="83">
        <f t="shared" si="0"/>
        <v>14</v>
      </c>
      <c r="B16" s="77"/>
      <c r="C16" s="77"/>
      <c r="D16" s="77"/>
      <c r="E16" s="77"/>
      <c r="F16" s="77"/>
      <c r="G16" s="77"/>
      <c r="H16" s="11"/>
      <c r="I16" s="11"/>
      <c r="J16" s="175" t="s">
        <v>220</v>
      </c>
      <c r="K16" s="2"/>
      <c r="L16" s="2"/>
      <c r="M16" s="2"/>
      <c r="N16" s="2"/>
      <c r="O16" s="2"/>
      <c r="P16" s="2"/>
      <c r="Q16" s="115"/>
      <c r="S16" s="125"/>
    </row>
    <row r="17" spans="1:21" ht="17.399999999999999" customHeight="1" x14ac:dyDescent="0.3">
      <c r="A17" s="59">
        <f t="shared" si="0"/>
        <v>15</v>
      </c>
      <c r="B17" s="2"/>
      <c r="C17" s="2"/>
      <c r="D17" s="2"/>
      <c r="E17" s="1"/>
      <c r="F17" s="2"/>
      <c r="G17" s="2"/>
      <c r="H17" s="10"/>
      <c r="I17" s="10"/>
      <c r="J17" s="175" t="s">
        <v>334</v>
      </c>
      <c r="K17" s="2"/>
      <c r="L17" s="2"/>
      <c r="M17" s="2"/>
      <c r="N17" s="2"/>
      <c r="O17" s="2"/>
      <c r="P17" s="2"/>
      <c r="Q17" s="115"/>
      <c r="S17" s="125"/>
    </row>
    <row r="18" spans="1:21" ht="17.399999999999999" customHeight="1" x14ac:dyDescent="0.3">
      <c r="A18" s="83">
        <f t="shared" si="0"/>
        <v>16</v>
      </c>
      <c r="B18" s="77"/>
      <c r="C18" s="77"/>
      <c r="D18" s="77"/>
      <c r="E18" s="77"/>
      <c r="F18" s="77"/>
      <c r="G18" s="77"/>
      <c r="H18" s="11"/>
      <c r="I18" s="11"/>
      <c r="J18" s="175" t="s">
        <v>219</v>
      </c>
      <c r="K18" s="2"/>
      <c r="L18" s="2"/>
      <c r="M18" s="2"/>
      <c r="N18" s="2"/>
      <c r="O18" s="2"/>
      <c r="P18" s="2"/>
      <c r="Q18" s="115"/>
      <c r="S18" s="125"/>
    </row>
    <row r="19" spans="1:21" ht="17.399999999999999" customHeight="1" x14ac:dyDescent="0.3">
      <c r="A19" s="59">
        <f t="shared" si="0"/>
        <v>17</v>
      </c>
      <c r="B19" s="2"/>
      <c r="C19" s="2"/>
      <c r="D19" s="2"/>
      <c r="E19" s="1"/>
      <c r="F19" s="2"/>
      <c r="G19" s="2"/>
      <c r="H19" s="10"/>
      <c r="I19" s="10"/>
      <c r="J19" s="175" t="s">
        <v>217</v>
      </c>
      <c r="K19" s="2"/>
      <c r="L19" s="2"/>
      <c r="M19" s="2"/>
      <c r="N19" s="2"/>
      <c r="O19" s="2"/>
      <c r="P19" s="2"/>
      <c r="Q19" s="115"/>
      <c r="S19" s="125"/>
    </row>
    <row r="20" spans="1:21" ht="17.399999999999999" customHeight="1" x14ac:dyDescent="0.3">
      <c r="A20" s="84">
        <f t="shared" si="0"/>
        <v>18</v>
      </c>
      <c r="B20" s="78"/>
      <c r="C20" s="77"/>
      <c r="D20" s="77"/>
      <c r="E20" s="77"/>
      <c r="F20" s="77"/>
      <c r="G20" s="77"/>
      <c r="H20" s="11"/>
      <c r="I20" s="11"/>
      <c r="J20" s="175" t="s">
        <v>356</v>
      </c>
      <c r="K20" s="2"/>
      <c r="L20" s="2"/>
      <c r="M20" s="2"/>
      <c r="N20" s="2"/>
      <c r="O20" s="2"/>
      <c r="P20" s="2"/>
      <c r="Q20" s="115"/>
      <c r="S20" s="125" t="s">
        <v>354</v>
      </c>
    </row>
    <row r="21" spans="1:21" ht="17.399999999999999" customHeight="1" x14ac:dyDescent="0.3">
      <c r="A21" s="35">
        <f t="shared" si="0"/>
        <v>19</v>
      </c>
      <c r="B21" s="2"/>
      <c r="C21" s="2"/>
      <c r="D21" s="2"/>
      <c r="E21" s="1"/>
      <c r="F21" s="2"/>
      <c r="G21" s="2"/>
      <c r="H21" s="10"/>
      <c r="I21" s="10"/>
      <c r="J21" s="175" t="s">
        <v>355</v>
      </c>
      <c r="K21" s="2"/>
      <c r="L21" s="2"/>
      <c r="M21" s="2"/>
      <c r="N21" s="2"/>
      <c r="O21" s="2"/>
      <c r="P21" s="2"/>
      <c r="Q21" s="115"/>
      <c r="S21" s="125" t="s">
        <v>354</v>
      </c>
    </row>
    <row r="22" spans="1:21" ht="17.399999999999999" customHeight="1" x14ac:dyDescent="0.3">
      <c r="A22" s="84">
        <f t="shared" si="0"/>
        <v>20</v>
      </c>
      <c r="B22" s="77"/>
      <c r="C22" s="8"/>
      <c r="D22" s="8"/>
      <c r="E22" s="8"/>
      <c r="F22" s="8"/>
      <c r="G22" s="8"/>
      <c r="H22" s="12"/>
      <c r="I22" s="12"/>
      <c r="J22" s="176" t="s">
        <v>218</v>
      </c>
      <c r="K22" s="24"/>
      <c r="L22" s="24"/>
      <c r="M22" s="24"/>
      <c r="N22" s="24"/>
      <c r="O22" s="24"/>
      <c r="P22" s="24"/>
      <c r="Q22" s="173"/>
      <c r="S22" s="126" t="s">
        <v>354</v>
      </c>
    </row>
    <row r="23" spans="1:21" ht="14.4" customHeight="1" thickBot="1" x14ac:dyDescent="0.35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27" t="s">
        <v>357</v>
      </c>
    </row>
    <row r="24" spans="1:21" ht="17.399999999999999" customHeight="1" x14ac:dyDescent="0.3">
      <c r="A24" s="210" t="s">
        <v>194</v>
      </c>
      <c r="B24" s="211"/>
      <c r="C24" s="81" t="s">
        <v>8</v>
      </c>
      <c r="D24" s="81" t="s">
        <v>8</v>
      </c>
      <c r="E24" s="81" t="s">
        <v>8</v>
      </c>
      <c r="F24" s="81" t="s">
        <v>8</v>
      </c>
      <c r="G24" s="81" t="s">
        <v>8</v>
      </c>
      <c r="H24" s="81" t="s">
        <v>8</v>
      </c>
      <c r="I24" s="81" t="s">
        <v>8</v>
      </c>
      <c r="J24" s="81" t="s">
        <v>8</v>
      </c>
      <c r="K24" s="81" t="s">
        <v>8</v>
      </c>
      <c r="L24" s="81" t="s">
        <v>8</v>
      </c>
      <c r="M24" s="81" t="s">
        <v>8</v>
      </c>
      <c r="N24" s="81" t="s">
        <v>8</v>
      </c>
      <c r="O24" s="81" t="s">
        <v>8</v>
      </c>
      <c r="P24" s="81" t="s">
        <v>8</v>
      </c>
      <c r="Q24" s="81" t="s">
        <v>8</v>
      </c>
    </row>
    <row r="25" spans="1:21" ht="17.399999999999999" customHeight="1" x14ac:dyDescent="0.3">
      <c r="A25" s="85"/>
      <c r="B25" s="86"/>
      <c r="C25" s="7">
        <v>-3</v>
      </c>
      <c r="D25" s="7">
        <f t="shared" ref="D25:Q25" si="1">C25+1</f>
        <v>-2</v>
      </c>
      <c r="E25" s="7">
        <f t="shared" si="1"/>
        <v>-1</v>
      </c>
      <c r="F25" s="7">
        <f t="shared" si="1"/>
        <v>0</v>
      </c>
      <c r="G25" s="7">
        <f t="shared" si="1"/>
        <v>1</v>
      </c>
      <c r="H25" s="7">
        <f t="shared" si="1"/>
        <v>2</v>
      </c>
      <c r="I25" s="7">
        <f t="shared" si="1"/>
        <v>3</v>
      </c>
      <c r="J25" s="7">
        <f t="shared" si="1"/>
        <v>4</v>
      </c>
      <c r="K25" s="7">
        <f t="shared" si="1"/>
        <v>5</v>
      </c>
      <c r="L25" s="7">
        <f t="shared" si="1"/>
        <v>6</v>
      </c>
      <c r="M25" s="7">
        <f t="shared" si="1"/>
        <v>7</v>
      </c>
      <c r="N25" s="7">
        <f t="shared" si="1"/>
        <v>8</v>
      </c>
      <c r="O25" s="7">
        <f t="shared" si="1"/>
        <v>9</v>
      </c>
      <c r="P25" s="7">
        <f t="shared" si="1"/>
        <v>10</v>
      </c>
      <c r="Q25" s="7">
        <f t="shared" si="1"/>
        <v>11</v>
      </c>
      <c r="R25" s="1"/>
      <c r="S25" s="1"/>
      <c r="T25" s="1"/>
      <c r="U25" s="1"/>
    </row>
    <row r="26" spans="1:21" ht="14.4" customHeight="1" x14ac:dyDescent="0.3">
      <c r="A26" s="212">
        <v>19</v>
      </c>
      <c r="B26" s="213"/>
      <c r="C26" s="79">
        <f>$A26-C$25</f>
        <v>22</v>
      </c>
      <c r="D26" s="79">
        <f t="shared" ref="D26:Q26" si="2">$A26-D$25</f>
        <v>21</v>
      </c>
      <c r="E26" s="79">
        <f t="shared" si="2"/>
        <v>20</v>
      </c>
      <c r="F26" s="79">
        <f t="shared" si="2"/>
        <v>19</v>
      </c>
      <c r="G26" s="79">
        <f t="shared" si="2"/>
        <v>18</v>
      </c>
      <c r="H26" s="79">
        <f t="shared" si="2"/>
        <v>17</v>
      </c>
      <c r="I26" s="79">
        <f t="shared" si="2"/>
        <v>16</v>
      </c>
      <c r="J26" s="79">
        <f t="shared" si="2"/>
        <v>15</v>
      </c>
      <c r="K26" s="79">
        <f t="shared" si="2"/>
        <v>14</v>
      </c>
      <c r="L26" s="79">
        <f t="shared" si="2"/>
        <v>13</v>
      </c>
      <c r="M26" s="79">
        <f t="shared" si="2"/>
        <v>12</v>
      </c>
      <c r="N26" s="79">
        <f t="shared" si="2"/>
        <v>11</v>
      </c>
      <c r="O26" s="79">
        <f t="shared" si="2"/>
        <v>10</v>
      </c>
      <c r="P26" s="79">
        <f t="shared" si="2"/>
        <v>9</v>
      </c>
      <c r="Q26" s="79">
        <f t="shared" si="2"/>
        <v>8</v>
      </c>
    </row>
    <row r="27" spans="1:21" ht="14.4" customHeight="1" x14ac:dyDescent="0.3">
      <c r="A27" s="214">
        <v>18</v>
      </c>
      <c r="B27" s="207"/>
      <c r="C27" s="80">
        <f t="shared" ref="C27:Q34" si="3">$A27-C$25</f>
        <v>21</v>
      </c>
      <c r="D27" s="80">
        <f t="shared" si="3"/>
        <v>20</v>
      </c>
      <c r="E27" s="80">
        <f t="shared" si="3"/>
        <v>19</v>
      </c>
      <c r="F27" s="80">
        <f t="shared" si="3"/>
        <v>18</v>
      </c>
      <c r="G27" s="80">
        <f t="shared" si="3"/>
        <v>17</v>
      </c>
      <c r="H27" s="80">
        <f t="shared" si="3"/>
        <v>16</v>
      </c>
      <c r="I27" s="80">
        <f t="shared" si="3"/>
        <v>15</v>
      </c>
      <c r="J27" s="80">
        <f t="shared" si="3"/>
        <v>14</v>
      </c>
      <c r="K27" s="80">
        <f t="shared" si="3"/>
        <v>13</v>
      </c>
      <c r="L27" s="80">
        <f t="shared" si="3"/>
        <v>12</v>
      </c>
      <c r="M27" s="80">
        <f t="shared" si="3"/>
        <v>11</v>
      </c>
      <c r="N27" s="80">
        <f t="shared" si="3"/>
        <v>10</v>
      </c>
      <c r="O27" s="80">
        <f t="shared" si="3"/>
        <v>9</v>
      </c>
      <c r="P27" s="80">
        <f t="shared" si="3"/>
        <v>8</v>
      </c>
      <c r="Q27" s="80">
        <f t="shared" si="3"/>
        <v>7</v>
      </c>
    </row>
    <row r="28" spans="1:21" ht="14.4" customHeight="1" x14ac:dyDescent="0.3">
      <c r="A28" s="213">
        <v>17</v>
      </c>
      <c r="B28" s="213"/>
      <c r="C28" s="79">
        <f t="shared" si="3"/>
        <v>20</v>
      </c>
      <c r="D28" s="79">
        <f t="shared" si="3"/>
        <v>19</v>
      </c>
      <c r="E28" s="79">
        <f t="shared" si="3"/>
        <v>18</v>
      </c>
      <c r="F28" s="79">
        <f t="shared" si="3"/>
        <v>17</v>
      </c>
      <c r="G28" s="79">
        <f t="shared" si="3"/>
        <v>16</v>
      </c>
      <c r="H28" s="79">
        <f t="shared" si="3"/>
        <v>15</v>
      </c>
      <c r="I28" s="79">
        <f t="shared" si="3"/>
        <v>14</v>
      </c>
      <c r="J28" s="79">
        <f t="shared" si="3"/>
        <v>13</v>
      </c>
      <c r="K28" s="79">
        <f t="shared" si="3"/>
        <v>12</v>
      </c>
      <c r="L28" s="79">
        <f t="shared" si="3"/>
        <v>11</v>
      </c>
      <c r="M28" s="79">
        <f t="shared" si="3"/>
        <v>10</v>
      </c>
      <c r="N28" s="79">
        <f t="shared" si="3"/>
        <v>9</v>
      </c>
      <c r="O28" s="79">
        <f t="shared" si="3"/>
        <v>8</v>
      </c>
      <c r="P28" s="79">
        <f t="shared" si="3"/>
        <v>7</v>
      </c>
      <c r="Q28" s="79">
        <f t="shared" si="3"/>
        <v>6</v>
      </c>
    </row>
    <row r="29" spans="1:21" ht="14.4" customHeight="1" x14ac:dyDescent="0.3">
      <c r="A29" s="207">
        <v>16</v>
      </c>
      <c r="B29" s="207"/>
      <c r="C29" s="80">
        <f t="shared" si="3"/>
        <v>19</v>
      </c>
      <c r="D29" s="80">
        <f t="shared" si="3"/>
        <v>18</v>
      </c>
      <c r="E29" s="80">
        <f t="shared" si="3"/>
        <v>17</v>
      </c>
      <c r="F29" s="80">
        <f t="shared" si="3"/>
        <v>16</v>
      </c>
      <c r="G29" s="80">
        <f t="shared" si="3"/>
        <v>15</v>
      </c>
      <c r="H29" s="80">
        <f t="shared" si="3"/>
        <v>14</v>
      </c>
      <c r="I29" s="80">
        <f t="shared" si="3"/>
        <v>13</v>
      </c>
      <c r="J29" s="80">
        <f t="shared" si="3"/>
        <v>12</v>
      </c>
      <c r="K29" s="80">
        <f t="shared" si="3"/>
        <v>11</v>
      </c>
      <c r="L29" s="80">
        <f t="shared" si="3"/>
        <v>10</v>
      </c>
      <c r="M29" s="80">
        <f t="shared" si="3"/>
        <v>9</v>
      </c>
      <c r="N29" s="80">
        <f t="shared" si="3"/>
        <v>8</v>
      </c>
      <c r="O29" s="80">
        <f t="shared" si="3"/>
        <v>7</v>
      </c>
      <c r="P29" s="80">
        <f t="shared" si="3"/>
        <v>6</v>
      </c>
      <c r="Q29" s="80">
        <f t="shared" si="3"/>
        <v>5</v>
      </c>
    </row>
    <row r="30" spans="1:21" ht="14.4" customHeight="1" x14ac:dyDescent="0.3">
      <c r="A30" s="213">
        <v>15</v>
      </c>
      <c r="B30" s="213"/>
      <c r="C30" s="79">
        <f t="shared" si="3"/>
        <v>18</v>
      </c>
      <c r="D30" s="79">
        <f t="shared" si="3"/>
        <v>17</v>
      </c>
      <c r="E30" s="79">
        <f t="shared" si="3"/>
        <v>16</v>
      </c>
      <c r="F30" s="79">
        <f t="shared" si="3"/>
        <v>15</v>
      </c>
      <c r="G30" s="79">
        <f t="shared" si="3"/>
        <v>14</v>
      </c>
      <c r="H30" s="79">
        <f t="shared" si="3"/>
        <v>13</v>
      </c>
      <c r="I30" s="79">
        <f t="shared" si="3"/>
        <v>12</v>
      </c>
      <c r="J30" s="79">
        <f t="shared" si="3"/>
        <v>11</v>
      </c>
      <c r="K30" s="79">
        <f t="shared" si="3"/>
        <v>10</v>
      </c>
      <c r="L30" s="79">
        <f t="shared" si="3"/>
        <v>9</v>
      </c>
      <c r="M30" s="79">
        <f t="shared" si="3"/>
        <v>8</v>
      </c>
      <c r="N30" s="79">
        <f t="shared" si="3"/>
        <v>7</v>
      </c>
      <c r="O30" s="79">
        <f t="shared" si="3"/>
        <v>6</v>
      </c>
      <c r="P30" s="79">
        <f t="shared" si="3"/>
        <v>5</v>
      </c>
      <c r="Q30" s="79">
        <f t="shared" si="3"/>
        <v>4</v>
      </c>
    </row>
    <row r="31" spans="1:21" ht="14.4" customHeight="1" x14ac:dyDescent="0.3">
      <c r="A31" s="207">
        <v>14</v>
      </c>
      <c r="B31" s="207"/>
      <c r="C31" s="80">
        <f t="shared" si="3"/>
        <v>17</v>
      </c>
      <c r="D31" s="80">
        <f t="shared" si="3"/>
        <v>16</v>
      </c>
      <c r="E31" s="80">
        <f t="shared" si="3"/>
        <v>15</v>
      </c>
      <c r="F31" s="80">
        <f t="shared" si="3"/>
        <v>14</v>
      </c>
      <c r="G31" s="80">
        <f t="shared" si="3"/>
        <v>13</v>
      </c>
      <c r="H31" s="80">
        <f t="shared" si="3"/>
        <v>12</v>
      </c>
      <c r="I31" s="80">
        <f t="shared" si="3"/>
        <v>11</v>
      </c>
      <c r="J31" s="80">
        <f t="shared" si="3"/>
        <v>10</v>
      </c>
      <c r="K31" s="80">
        <f t="shared" si="3"/>
        <v>9</v>
      </c>
      <c r="L31" s="80">
        <f t="shared" si="3"/>
        <v>8</v>
      </c>
      <c r="M31" s="80">
        <f t="shared" si="3"/>
        <v>7</v>
      </c>
      <c r="N31" s="80">
        <f t="shared" si="3"/>
        <v>6</v>
      </c>
      <c r="O31" s="80">
        <f t="shared" si="3"/>
        <v>5</v>
      </c>
      <c r="P31" s="80">
        <f t="shared" si="3"/>
        <v>4</v>
      </c>
      <c r="Q31" s="80">
        <f t="shared" si="3"/>
        <v>3</v>
      </c>
    </row>
    <row r="32" spans="1:21" ht="14.4" customHeight="1" x14ac:dyDescent="0.3">
      <c r="A32" s="213">
        <v>13</v>
      </c>
      <c r="B32" s="213"/>
      <c r="C32" s="79">
        <f t="shared" si="3"/>
        <v>16</v>
      </c>
      <c r="D32" s="79">
        <f t="shared" si="3"/>
        <v>15</v>
      </c>
      <c r="E32" s="79">
        <f t="shared" si="3"/>
        <v>14</v>
      </c>
      <c r="F32" s="79">
        <f t="shared" si="3"/>
        <v>13</v>
      </c>
      <c r="G32" s="79">
        <f t="shared" si="3"/>
        <v>12</v>
      </c>
      <c r="H32" s="79">
        <f t="shared" si="3"/>
        <v>11</v>
      </c>
      <c r="I32" s="79">
        <f t="shared" si="3"/>
        <v>10</v>
      </c>
      <c r="J32" s="79">
        <f t="shared" si="3"/>
        <v>9</v>
      </c>
      <c r="K32" s="79">
        <f t="shared" si="3"/>
        <v>8</v>
      </c>
      <c r="L32" s="79">
        <f t="shared" si="3"/>
        <v>7</v>
      </c>
      <c r="M32" s="79">
        <f t="shared" si="3"/>
        <v>6</v>
      </c>
      <c r="N32" s="79">
        <f t="shared" si="3"/>
        <v>5</v>
      </c>
      <c r="O32" s="79">
        <f t="shared" si="3"/>
        <v>4</v>
      </c>
      <c r="P32" s="79">
        <f t="shared" si="3"/>
        <v>3</v>
      </c>
      <c r="Q32" s="79">
        <f t="shared" si="3"/>
        <v>2</v>
      </c>
    </row>
    <row r="33" spans="1:17" ht="14.4" customHeight="1" x14ac:dyDescent="0.3">
      <c r="A33" s="207">
        <v>12</v>
      </c>
      <c r="B33" s="207"/>
      <c r="C33" s="80">
        <f t="shared" si="3"/>
        <v>15</v>
      </c>
      <c r="D33" s="80">
        <f t="shared" si="3"/>
        <v>14</v>
      </c>
      <c r="E33" s="80">
        <f t="shared" si="3"/>
        <v>13</v>
      </c>
      <c r="F33" s="80">
        <f t="shared" si="3"/>
        <v>12</v>
      </c>
      <c r="G33" s="80">
        <f t="shared" si="3"/>
        <v>11</v>
      </c>
      <c r="H33" s="80">
        <f t="shared" si="3"/>
        <v>10</v>
      </c>
      <c r="I33" s="80">
        <f t="shared" si="3"/>
        <v>9</v>
      </c>
      <c r="J33" s="80">
        <f t="shared" si="3"/>
        <v>8</v>
      </c>
      <c r="K33" s="80">
        <f t="shared" si="3"/>
        <v>7</v>
      </c>
      <c r="L33" s="80">
        <f t="shared" si="3"/>
        <v>6</v>
      </c>
      <c r="M33" s="80">
        <f t="shared" si="3"/>
        <v>5</v>
      </c>
      <c r="N33" s="80">
        <f t="shared" si="3"/>
        <v>4</v>
      </c>
      <c r="O33" s="80">
        <f t="shared" si="3"/>
        <v>3</v>
      </c>
      <c r="P33" s="80">
        <f t="shared" si="3"/>
        <v>2</v>
      </c>
      <c r="Q33" s="80">
        <f t="shared" si="3"/>
        <v>1</v>
      </c>
    </row>
    <row r="34" spans="1:17" ht="14.4" customHeight="1" x14ac:dyDescent="0.3">
      <c r="A34" s="213">
        <v>11</v>
      </c>
      <c r="B34" s="213"/>
      <c r="C34" s="79">
        <f t="shared" si="3"/>
        <v>14</v>
      </c>
      <c r="D34" s="79">
        <f t="shared" si="3"/>
        <v>13</v>
      </c>
      <c r="E34" s="79">
        <f t="shared" si="3"/>
        <v>12</v>
      </c>
      <c r="F34" s="79">
        <f t="shared" si="3"/>
        <v>11</v>
      </c>
      <c r="G34" s="79">
        <f t="shared" si="3"/>
        <v>10</v>
      </c>
      <c r="H34" s="79">
        <f t="shared" si="3"/>
        <v>9</v>
      </c>
      <c r="I34" s="79">
        <f t="shared" si="3"/>
        <v>8</v>
      </c>
      <c r="J34" s="79">
        <f t="shared" si="3"/>
        <v>7</v>
      </c>
      <c r="K34" s="79">
        <f t="shared" si="3"/>
        <v>6</v>
      </c>
      <c r="L34" s="79">
        <f t="shared" si="3"/>
        <v>5</v>
      </c>
      <c r="M34" s="79">
        <f t="shared" si="3"/>
        <v>4</v>
      </c>
      <c r="N34" s="79">
        <f t="shared" si="3"/>
        <v>3</v>
      </c>
      <c r="O34" s="79">
        <f t="shared" si="3"/>
        <v>2</v>
      </c>
      <c r="P34" s="79">
        <f t="shared" si="3"/>
        <v>1</v>
      </c>
      <c r="Q34" s="79">
        <f t="shared" si="3"/>
        <v>0</v>
      </c>
    </row>
    <row r="35" spans="1:17" ht="14.4" customHeight="1" x14ac:dyDescent="0.3">
      <c r="A35" s="119"/>
      <c r="B35" s="120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1" t="s">
        <v>195</v>
      </c>
    </row>
    <row r="36" spans="1:17" ht="12.6" customHeight="1" thickBot="1" x14ac:dyDescent="0.35">
      <c r="A36" s="122"/>
      <c r="B36" s="123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1:17" ht="12.6" customHeight="1" x14ac:dyDescent="0.3">
      <c r="A37" s="38" t="s">
        <v>46</v>
      </c>
      <c r="B37" s="39" t="s">
        <v>48</v>
      </c>
      <c r="C37" s="38"/>
      <c r="D37" s="38"/>
      <c r="E37" s="38"/>
      <c r="F37" s="38"/>
      <c r="G37" s="38"/>
      <c r="H37" s="38"/>
      <c r="I37" s="38"/>
      <c r="J37" s="38"/>
      <c r="K37" s="40" t="s">
        <v>203</v>
      </c>
      <c r="L37" s="41"/>
      <c r="M37" s="42" t="s">
        <v>8</v>
      </c>
      <c r="N37" s="42" t="s">
        <v>46</v>
      </c>
      <c r="O37" s="42" t="s">
        <v>204</v>
      </c>
      <c r="P37" s="42" t="s">
        <v>205</v>
      </c>
      <c r="Q37" s="42" t="s">
        <v>206</v>
      </c>
    </row>
    <row r="38" spans="1:17" ht="12.6" customHeight="1" x14ac:dyDescent="0.3">
      <c r="A38" s="36">
        <v>0</v>
      </c>
      <c r="B38" s="37" t="s">
        <v>221</v>
      </c>
      <c r="K38" s="35" t="s">
        <v>196</v>
      </c>
      <c r="L38" s="2"/>
      <c r="M38" s="43">
        <v>9</v>
      </c>
      <c r="N38" s="43">
        <v>0</v>
      </c>
      <c r="O38" s="43" t="s">
        <v>207</v>
      </c>
      <c r="P38" s="43" t="s">
        <v>208</v>
      </c>
      <c r="Q38" s="43" t="s">
        <v>209</v>
      </c>
    </row>
    <row r="39" spans="1:17" ht="12.6" customHeight="1" x14ac:dyDescent="0.3">
      <c r="A39" s="36" t="s">
        <v>223</v>
      </c>
      <c r="B39" s="47" t="s">
        <v>222</v>
      </c>
      <c r="C39" s="48"/>
      <c r="D39" s="48"/>
      <c r="E39" s="48"/>
      <c r="F39" s="48"/>
      <c r="G39" s="48"/>
      <c r="H39" s="48"/>
      <c r="I39" s="48"/>
      <c r="J39" s="48"/>
      <c r="K39" s="44" t="s">
        <v>233</v>
      </c>
      <c r="L39" s="45"/>
      <c r="M39" s="46">
        <v>8</v>
      </c>
      <c r="N39" s="46">
        <v>1</v>
      </c>
      <c r="O39" s="46" t="s">
        <v>207</v>
      </c>
      <c r="P39" s="46" t="s">
        <v>208</v>
      </c>
      <c r="Q39" s="46" t="s">
        <v>209</v>
      </c>
    </row>
    <row r="40" spans="1:17" ht="12.6" customHeight="1" x14ac:dyDescent="0.3">
      <c r="A40" s="36" t="s">
        <v>224</v>
      </c>
      <c r="B40" s="49" t="s">
        <v>225</v>
      </c>
      <c r="K40" s="35" t="s">
        <v>197</v>
      </c>
      <c r="L40" s="2"/>
      <c r="M40" s="43">
        <v>7</v>
      </c>
      <c r="N40" s="43">
        <v>2</v>
      </c>
      <c r="O40" s="43"/>
      <c r="P40" s="43" t="s">
        <v>208</v>
      </c>
      <c r="Q40" s="43" t="s">
        <v>209</v>
      </c>
    </row>
    <row r="41" spans="1:17" ht="12.6" customHeight="1" x14ac:dyDescent="0.3">
      <c r="A41" s="36">
        <v>1</v>
      </c>
      <c r="B41" s="47" t="s">
        <v>226</v>
      </c>
      <c r="C41" s="47"/>
      <c r="D41" s="47"/>
      <c r="E41" s="47"/>
      <c r="F41" s="47"/>
      <c r="G41" s="47"/>
      <c r="H41" s="47"/>
      <c r="I41" s="47"/>
      <c r="J41" s="47"/>
      <c r="K41" s="44" t="s">
        <v>198</v>
      </c>
      <c r="L41" s="45"/>
      <c r="M41" s="46">
        <v>6</v>
      </c>
      <c r="N41" s="46">
        <v>2</v>
      </c>
      <c r="O41" s="46" t="s">
        <v>207</v>
      </c>
      <c r="P41" s="46" t="s">
        <v>208</v>
      </c>
      <c r="Q41" s="46" t="s">
        <v>209</v>
      </c>
    </row>
    <row r="42" spans="1:17" ht="12.6" customHeight="1" x14ac:dyDescent="0.3">
      <c r="A42" s="36">
        <v>2</v>
      </c>
      <c r="B42" s="49" t="s">
        <v>228</v>
      </c>
      <c r="K42" s="35" t="s">
        <v>199</v>
      </c>
      <c r="L42" s="2"/>
      <c r="M42" s="43">
        <v>5</v>
      </c>
      <c r="N42" s="43">
        <v>2</v>
      </c>
      <c r="O42" s="43" t="s">
        <v>209</v>
      </c>
      <c r="P42" s="43" t="s">
        <v>208</v>
      </c>
      <c r="Q42" s="43" t="s">
        <v>208</v>
      </c>
    </row>
    <row r="43" spans="1:17" ht="12.6" customHeight="1" x14ac:dyDescent="0.3">
      <c r="A43" s="36">
        <v>3</v>
      </c>
      <c r="B43" s="47" t="s">
        <v>227</v>
      </c>
      <c r="C43" s="47"/>
      <c r="D43" s="47"/>
      <c r="E43" s="47"/>
      <c r="F43" s="47"/>
      <c r="G43" s="47"/>
      <c r="H43" s="47"/>
      <c r="I43" s="47"/>
      <c r="J43" s="47"/>
      <c r="K43" s="44" t="s">
        <v>201</v>
      </c>
      <c r="L43" s="45"/>
      <c r="M43" s="46">
        <v>4</v>
      </c>
      <c r="N43" s="46">
        <v>3</v>
      </c>
      <c r="O43" s="46" t="s">
        <v>208</v>
      </c>
      <c r="P43" s="46" t="s">
        <v>208</v>
      </c>
      <c r="Q43" s="46" t="s">
        <v>47</v>
      </c>
    </row>
    <row r="44" spans="1:17" ht="12.6" customHeight="1" x14ac:dyDescent="0.3">
      <c r="A44" s="36"/>
      <c r="B44" s="50"/>
      <c r="C44" s="13"/>
      <c r="D44" s="13"/>
      <c r="E44" s="13"/>
      <c r="G44" s="13"/>
      <c r="H44" s="13"/>
      <c r="I44" s="13"/>
      <c r="J44" s="3"/>
      <c r="K44" s="35" t="s">
        <v>202</v>
      </c>
      <c r="L44" s="2"/>
      <c r="M44" s="43">
        <v>3</v>
      </c>
      <c r="N44" s="43">
        <v>3</v>
      </c>
      <c r="O44" s="43" t="s">
        <v>208</v>
      </c>
      <c r="P44" s="43" t="s">
        <v>208</v>
      </c>
      <c r="Q44" s="43" t="s">
        <v>47</v>
      </c>
    </row>
    <row r="45" spans="1:17" ht="12.6" customHeight="1" x14ac:dyDescent="0.3">
      <c r="A45" t="s">
        <v>230</v>
      </c>
      <c r="B45" s="50"/>
      <c r="C45" s="13"/>
      <c r="D45" s="13"/>
      <c r="E45" s="13"/>
      <c r="F45" s="51"/>
      <c r="G45" s="13"/>
      <c r="H45" s="13"/>
      <c r="I45" s="13"/>
      <c r="J45" s="3"/>
      <c r="K45" s="44" t="s">
        <v>234</v>
      </c>
      <c r="L45" s="45"/>
      <c r="M45" s="46">
        <v>2</v>
      </c>
      <c r="N45" s="46">
        <v>3</v>
      </c>
      <c r="O45" s="46" t="s">
        <v>208</v>
      </c>
      <c r="P45" s="46" t="s">
        <v>208</v>
      </c>
      <c r="Q45" s="46" t="s">
        <v>47</v>
      </c>
    </row>
    <row r="46" spans="1:17" ht="12.6" customHeight="1" x14ac:dyDescent="0.3">
      <c r="A46" t="s">
        <v>229</v>
      </c>
      <c r="B46" s="50"/>
      <c r="C46" s="13"/>
      <c r="D46" s="13"/>
      <c r="E46" s="13"/>
      <c r="F46" s="13"/>
      <c r="G46" s="13"/>
      <c r="H46" s="13"/>
      <c r="I46" s="13"/>
      <c r="J46" s="3"/>
      <c r="K46" s="35" t="s">
        <v>200</v>
      </c>
      <c r="L46" s="2"/>
      <c r="M46" s="43">
        <v>-1</v>
      </c>
      <c r="N46" s="43">
        <v>2</v>
      </c>
      <c r="O46" s="43"/>
      <c r="P46" s="43"/>
      <c r="Q46" s="43"/>
    </row>
    <row r="47" spans="1:17" ht="12.6" customHeight="1" x14ac:dyDescent="0.3">
      <c r="A47" t="s">
        <v>231</v>
      </c>
      <c r="B47" s="50"/>
      <c r="C47" s="13"/>
      <c r="D47" s="13"/>
      <c r="E47" s="13"/>
      <c r="F47" s="13"/>
      <c r="G47" s="13"/>
      <c r="H47" s="13"/>
      <c r="I47" s="13"/>
      <c r="J47" s="3"/>
      <c r="K47" s="44" t="s">
        <v>235</v>
      </c>
      <c r="L47" s="45"/>
      <c r="M47" s="46">
        <v>-2</v>
      </c>
      <c r="N47" s="46">
        <v>3</v>
      </c>
      <c r="O47" s="46" t="s">
        <v>236</v>
      </c>
      <c r="P47" s="46"/>
      <c r="Q47" s="46"/>
    </row>
    <row r="48" spans="1:17" ht="12.6" customHeight="1" x14ac:dyDescent="0.3">
      <c r="A48" t="s">
        <v>232</v>
      </c>
      <c r="B48" s="13"/>
      <c r="C48" s="13"/>
      <c r="D48" s="13"/>
      <c r="E48" s="13"/>
      <c r="F48" s="13"/>
      <c r="G48" s="13"/>
      <c r="H48" s="13"/>
      <c r="I48" s="13"/>
      <c r="J48" s="3"/>
      <c r="Q48" s="128" t="s">
        <v>360</v>
      </c>
    </row>
    <row r="49" spans="1:17" ht="17.399999999999999" customHeight="1" x14ac:dyDescent="0.3"/>
    <row r="50" spans="1:17" ht="15" thickBot="1" x14ac:dyDescent="0.35">
      <c r="A50" s="118"/>
      <c r="B50" s="181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</row>
  </sheetData>
  <mergeCells count="11">
    <mergeCell ref="A30:B30"/>
    <mergeCell ref="A31:B31"/>
    <mergeCell ref="A32:B32"/>
    <mergeCell ref="A33:B33"/>
    <mergeCell ref="A34:B34"/>
    <mergeCell ref="A29:B29"/>
    <mergeCell ref="J2:Q2"/>
    <mergeCell ref="A24:B24"/>
    <mergeCell ref="A26:B26"/>
    <mergeCell ref="A27:B27"/>
    <mergeCell ref="A28:B28"/>
  </mergeCells>
  <printOptions horizontalCentered="1" verticalCentered="1"/>
  <pageMargins left="0" right="0" top="0" bottom="0" header="0" footer="0"/>
  <pageSetup paperSize="9" fitToWidth="0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733B-4F29-4CC7-8875-78DA591CD6C7}">
  <dimension ref="A1:U49"/>
  <sheetViews>
    <sheetView topLeftCell="A18" zoomScale="120" zoomScaleNormal="120" workbookViewId="0">
      <selection activeCell="K37" sqref="K37:N47"/>
    </sheetView>
  </sheetViews>
  <sheetFormatPr defaultRowHeight="14.4" x14ac:dyDescent="0.3"/>
  <cols>
    <col min="1" max="1" width="5.88671875" customWidth="1"/>
    <col min="2" max="2" width="5.88671875" style="5" customWidth="1"/>
    <col min="3" max="17" width="5.88671875" customWidth="1"/>
    <col min="18" max="21" width="5.5546875" customWidth="1"/>
  </cols>
  <sheetData>
    <row r="1" spans="1:21" s="2" customFormat="1" ht="17.399999999999999" customHeight="1" x14ac:dyDescent="0.3">
      <c r="A1" s="2" t="s">
        <v>212</v>
      </c>
      <c r="B1" s="1"/>
      <c r="C1" s="14"/>
      <c r="E1" s="2" t="s">
        <v>211</v>
      </c>
      <c r="G1" s="14"/>
      <c r="I1" s="2" t="s">
        <v>214</v>
      </c>
      <c r="K1" s="14"/>
      <c r="M1" s="2" t="s">
        <v>213</v>
      </c>
      <c r="O1" s="15"/>
      <c r="P1" s="16"/>
      <c r="Q1" s="17"/>
    </row>
    <row r="2" spans="1:21" ht="17.399999999999999" customHeight="1" x14ac:dyDescent="0.3">
      <c r="A2" s="82" t="s">
        <v>45</v>
      </c>
      <c r="B2" s="76"/>
      <c r="C2" s="76"/>
      <c r="D2" s="76"/>
      <c r="E2" s="76"/>
      <c r="F2" s="76"/>
      <c r="G2" s="76"/>
      <c r="H2" s="34" t="s">
        <v>44</v>
      </c>
      <c r="I2" s="34" t="s">
        <v>46</v>
      </c>
      <c r="J2" s="208" t="s">
        <v>359</v>
      </c>
      <c r="K2" s="208"/>
      <c r="L2" s="208"/>
      <c r="M2" s="208"/>
      <c r="N2" s="208"/>
      <c r="O2" s="208"/>
      <c r="P2" s="209"/>
      <c r="Q2" s="208"/>
      <c r="R2" s="6"/>
      <c r="S2" s="6"/>
      <c r="T2" s="6"/>
      <c r="U2" s="6"/>
    </row>
    <row r="3" spans="1:21" ht="17.399999999999999" customHeight="1" x14ac:dyDescent="0.3">
      <c r="A3" s="59">
        <v>1</v>
      </c>
      <c r="B3" s="2"/>
      <c r="C3" s="2"/>
      <c r="D3" s="2"/>
      <c r="E3" s="1"/>
      <c r="F3" s="2"/>
      <c r="G3" s="2"/>
      <c r="H3" s="9"/>
      <c r="I3" s="10"/>
      <c r="J3" s="143" t="s">
        <v>9</v>
      </c>
      <c r="K3" s="107"/>
      <c r="L3" s="107"/>
      <c r="M3" s="107"/>
      <c r="N3" s="107"/>
      <c r="O3" s="107"/>
      <c r="P3" s="107"/>
      <c r="Q3" s="107"/>
    </row>
    <row r="4" spans="1:21" ht="17.399999999999999" customHeight="1" x14ac:dyDescent="0.3">
      <c r="A4" s="83">
        <f>A3+1</f>
        <v>2</v>
      </c>
      <c r="B4" s="77"/>
      <c r="C4" s="77"/>
      <c r="D4" s="77"/>
      <c r="E4" s="77"/>
      <c r="F4" s="77"/>
      <c r="G4" s="77"/>
      <c r="H4" s="11"/>
      <c r="I4" s="11"/>
      <c r="J4" s="165"/>
      <c r="K4" s="107"/>
      <c r="L4" s="107"/>
      <c r="M4" s="107"/>
      <c r="N4" s="107"/>
      <c r="O4" s="107"/>
      <c r="P4" s="107"/>
      <c r="Q4" s="107"/>
    </row>
    <row r="5" spans="1:21" ht="17.399999999999999" customHeight="1" x14ac:dyDescent="0.3">
      <c r="A5" s="59">
        <f>A4+1</f>
        <v>3</v>
      </c>
      <c r="B5" s="2"/>
      <c r="C5" s="2"/>
      <c r="D5" s="2"/>
      <c r="E5" s="1"/>
      <c r="F5" s="2"/>
      <c r="G5" s="2"/>
      <c r="H5" s="10"/>
      <c r="I5" s="10"/>
      <c r="J5" s="165"/>
      <c r="K5" s="107"/>
      <c r="L5" s="107"/>
      <c r="M5" s="107"/>
      <c r="N5" s="107"/>
      <c r="O5" s="107"/>
      <c r="P5" s="107"/>
      <c r="Q5" s="107"/>
    </row>
    <row r="6" spans="1:21" ht="17.399999999999999" customHeight="1" x14ac:dyDescent="0.3">
      <c r="A6" s="83">
        <f t="shared" ref="A6:A22" si="0">A5+1</f>
        <v>4</v>
      </c>
      <c r="B6" s="77"/>
      <c r="C6" s="77"/>
      <c r="D6" s="77"/>
      <c r="E6" s="77"/>
      <c r="F6" s="77"/>
      <c r="G6" s="77"/>
      <c r="H6" s="11"/>
      <c r="I6" s="11"/>
      <c r="J6" s="166" t="s">
        <v>335</v>
      </c>
      <c r="K6" s="14"/>
      <c r="L6" s="14"/>
      <c r="M6" s="14"/>
      <c r="N6" s="14"/>
      <c r="O6" s="14"/>
      <c r="P6" s="14"/>
      <c r="Q6" s="14"/>
    </row>
    <row r="7" spans="1:21" ht="17.399999999999999" customHeight="1" x14ac:dyDescent="0.3">
      <c r="A7" s="59">
        <f t="shared" si="0"/>
        <v>5</v>
      </c>
      <c r="B7" s="2"/>
      <c r="C7" s="2"/>
      <c r="D7" s="2"/>
      <c r="E7" s="1"/>
      <c r="F7" s="2"/>
      <c r="G7" s="2"/>
      <c r="H7" s="10"/>
      <c r="I7" s="10"/>
      <c r="J7" s="167" t="s">
        <v>353</v>
      </c>
      <c r="K7" s="114" t="s">
        <v>347</v>
      </c>
      <c r="L7" s="114" t="s">
        <v>348</v>
      </c>
      <c r="M7" s="114" t="s">
        <v>349</v>
      </c>
      <c r="N7" s="114" t="s">
        <v>350</v>
      </c>
      <c r="O7" s="114" t="s">
        <v>351</v>
      </c>
      <c r="P7" s="114"/>
      <c r="Q7" s="114"/>
    </row>
    <row r="8" spans="1:21" ht="17.399999999999999" customHeight="1" x14ac:dyDescent="0.3">
      <c r="A8" s="83">
        <f t="shared" si="0"/>
        <v>6</v>
      </c>
      <c r="B8" s="77"/>
      <c r="C8" s="77"/>
      <c r="D8" s="77"/>
      <c r="E8" s="77"/>
      <c r="F8" s="77"/>
      <c r="G8" s="77"/>
      <c r="H8" s="11"/>
      <c r="I8" s="11"/>
      <c r="J8" s="168" t="s">
        <v>8</v>
      </c>
      <c r="K8" s="14"/>
      <c r="L8" s="14"/>
      <c r="M8" s="14"/>
      <c r="N8" s="14"/>
      <c r="O8" s="14"/>
      <c r="P8" s="14"/>
      <c r="Q8" s="14"/>
    </row>
    <row r="9" spans="1:21" ht="17.399999999999999" customHeight="1" x14ac:dyDescent="0.3">
      <c r="A9" s="59">
        <f t="shared" si="0"/>
        <v>7</v>
      </c>
      <c r="B9" s="2"/>
      <c r="C9" s="2"/>
      <c r="D9" s="2"/>
      <c r="E9" s="1"/>
      <c r="F9" s="2"/>
      <c r="G9" s="2"/>
      <c r="H9" s="10"/>
      <c r="I9" s="10"/>
      <c r="J9" s="168" t="s">
        <v>336</v>
      </c>
      <c r="K9" s="14"/>
      <c r="L9" s="14"/>
      <c r="M9" s="14"/>
      <c r="N9" s="14"/>
      <c r="O9" s="14"/>
      <c r="P9" s="14"/>
      <c r="Q9" s="14"/>
    </row>
    <row r="10" spans="1:21" ht="17.399999999999999" customHeight="1" x14ac:dyDescent="0.3">
      <c r="A10" s="83">
        <f t="shared" si="0"/>
        <v>8</v>
      </c>
      <c r="B10" s="77"/>
      <c r="C10" s="77"/>
      <c r="D10" s="77"/>
      <c r="E10" s="77"/>
      <c r="F10" s="77"/>
      <c r="G10" s="77"/>
      <c r="H10" s="11"/>
      <c r="I10" s="11"/>
      <c r="J10" s="168" t="s">
        <v>337</v>
      </c>
      <c r="K10" s="14"/>
      <c r="L10" s="14"/>
      <c r="M10" s="14"/>
      <c r="N10" s="14"/>
      <c r="O10" s="14"/>
      <c r="P10" s="14"/>
      <c r="Q10" s="14"/>
    </row>
    <row r="11" spans="1:21" ht="17.399999999999999" customHeight="1" x14ac:dyDescent="0.3">
      <c r="A11" s="59">
        <f t="shared" si="0"/>
        <v>9</v>
      </c>
      <c r="B11" s="2"/>
      <c r="C11" s="2"/>
      <c r="D11" s="2"/>
      <c r="E11" s="1"/>
      <c r="F11" s="2"/>
      <c r="G11" s="2"/>
      <c r="H11" s="10"/>
      <c r="I11" s="10"/>
      <c r="J11" s="168" t="s">
        <v>338</v>
      </c>
      <c r="K11" s="14"/>
      <c r="L11" s="14"/>
      <c r="M11" s="14"/>
      <c r="N11" s="14"/>
      <c r="O11" s="14"/>
      <c r="P11" s="14"/>
      <c r="Q11" s="14"/>
    </row>
    <row r="12" spans="1:21" ht="17.399999999999999" customHeight="1" x14ac:dyDescent="0.3">
      <c r="A12" s="83">
        <f t="shared" si="0"/>
        <v>10</v>
      </c>
      <c r="B12" s="77"/>
      <c r="C12" s="77"/>
      <c r="D12" s="77"/>
      <c r="E12" s="77"/>
      <c r="F12" s="77"/>
      <c r="G12" s="77"/>
      <c r="H12" s="11"/>
      <c r="I12" s="11"/>
      <c r="J12" s="168" t="s">
        <v>340</v>
      </c>
      <c r="K12" s="14"/>
      <c r="L12" s="14"/>
      <c r="M12" s="14"/>
      <c r="N12" s="14"/>
      <c r="O12" s="14"/>
      <c r="P12" s="14"/>
      <c r="Q12" s="14"/>
    </row>
    <row r="13" spans="1:21" ht="17.399999999999999" customHeight="1" x14ac:dyDescent="0.3">
      <c r="A13" s="59">
        <f t="shared" si="0"/>
        <v>11</v>
      </c>
      <c r="B13" s="2"/>
      <c r="C13" s="2"/>
      <c r="D13" s="2"/>
      <c r="E13" s="1"/>
      <c r="F13" s="2"/>
      <c r="G13" s="2"/>
      <c r="H13" s="10"/>
      <c r="I13" s="10"/>
      <c r="J13" s="168" t="s">
        <v>339</v>
      </c>
      <c r="K13" s="14"/>
      <c r="L13" s="14"/>
      <c r="M13" s="14"/>
      <c r="N13" s="14"/>
      <c r="O13" s="14"/>
      <c r="P13" s="14"/>
      <c r="Q13" s="14"/>
    </row>
    <row r="14" spans="1:21" ht="17.399999999999999" customHeight="1" x14ac:dyDescent="0.3">
      <c r="A14" s="83">
        <f t="shared" si="0"/>
        <v>12</v>
      </c>
      <c r="B14" s="77"/>
      <c r="C14" s="77"/>
      <c r="D14" s="77"/>
      <c r="E14" s="77"/>
      <c r="F14" s="77"/>
      <c r="G14" s="77"/>
      <c r="H14" s="11"/>
      <c r="I14" s="11"/>
      <c r="J14" s="174" t="s">
        <v>358</v>
      </c>
      <c r="K14" s="171"/>
      <c r="L14" s="171"/>
      <c r="M14" s="171"/>
      <c r="N14" s="171"/>
      <c r="O14" s="171"/>
      <c r="P14" s="171"/>
      <c r="Q14" s="172"/>
    </row>
    <row r="15" spans="1:21" ht="17.399999999999999" customHeight="1" x14ac:dyDescent="0.3">
      <c r="A15" s="59">
        <f t="shared" si="0"/>
        <v>13</v>
      </c>
      <c r="B15" s="2"/>
      <c r="C15" s="2"/>
      <c r="D15" s="2"/>
      <c r="E15" s="1"/>
      <c r="F15" s="2"/>
      <c r="G15" s="2"/>
      <c r="H15" s="10"/>
      <c r="I15" s="10"/>
      <c r="J15" s="175" t="s">
        <v>352</v>
      </c>
      <c r="K15" s="2"/>
      <c r="L15" s="2"/>
      <c r="M15" s="2"/>
      <c r="N15" s="2"/>
      <c r="O15" s="2"/>
      <c r="P15" s="2"/>
      <c r="Q15" s="115"/>
      <c r="S15" s="124"/>
    </row>
    <row r="16" spans="1:21" ht="17.399999999999999" customHeight="1" x14ac:dyDescent="0.3">
      <c r="A16" s="83">
        <f t="shared" si="0"/>
        <v>14</v>
      </c>
      <c r="B16" s="77"/>
      <c r="C16" s="77"/>
      <c r="D16" s="77"/>
      <c r="E16" s="77"/>
      <c r="F16" s="77"/>
      <c r="G16" s="77"/>
      <c r="H16" s="11"/>
      <c r="I16" s="11"/>
      <c r="J16" s="175" t="s">
        <v>220</v>
      </c>
      <c r="K16" s="2"/>
      <c r="L16" s="2"/>
      <c r="M16" s="2"/>
      <c r="N16" s="2"/>
      <c r="O16" s="2"/>
      <c r="P16" s="2"/>
      <c r="Q16" s="115"/>
      <c r="S16" s="125"/>
    </row>
    <row r="17" spans="1:21" ht="17.399999999999999" customHeight="1" x14ac:dyDescent="0.3">
      <c r="A17" s="59">
        <f t="shared" si="0"/>
        <v>15</v>
      </c>
      <c r="B17" s="2"/>
      <c r="C17" s="2"/>
      <c r="D17" s="2"/>
      <c r="E17" s="1"/>
      <c r="F17" s="2"/>
      <c r="G17" s="2"/>
      <c r="H17" s="10"/>
      <c r="I17" s="10"/>
      <c r="J17" s="175" t="s">
        <v>334</v>
      </c>
      <c r="K17" s="2"/>
      <c r="L17" s="2"/>
      <c r="M17" s="2"/>
      <c r="N17" s="2"/>
      <c r="O17" s="2"/>
      <c r="P17" s="2"/>
      <c r="Q17" s="115"/>
      <c r="S17" s="125"/>
    </row>
    <row r="18" spans="1:21" ht="17.399999999999999" customHeight="1" x14ac:dyDescent="0.3">
      <c r="A18" s="83">
        <f t="shared" si="0"/>
        <v>16</v>
      </c>
      <c r="B18" s="77"/>
      <c r="C18" s="77"/>
      <c r="D18" s="77"/>
      <c r="E18" s="77"/>
      <c r="F18" s="77"/>
      <c r="G18" s="77"/>
      <c r="H18" s="11"/>
      <c r="I18" s="11"/>
      <c r="J18" s="175" t="s">
        <v>219</v>
      </c>
      <c r="K18" s="2"/>
      <c r="L18" s="2"/>
      <c r="M18" s="2"/>
      <c r="N18" s="2"/>
      <c r="O18" s="2"/>
      <c r="P18" s="2"/>
      <c r="Q18" s="115"/>
      <c r="S18" s="125"/>
    </row>
    <row r="19" spans="1:21" ht="17.399999999999999" customHeight="1" x14ac:dyDescent="0.3">
      <c r="A19" s="59">
        <f t="shared" si="0"/>
        <v>17</v>
      </c>
      <c r="B19" s="2"/>
      <c r="C19" s="2"/>
      <c r="D19" s="2"/>
      <c r="E19" s="1"/>
      <c r="F19" s="2"/>
      <c r="G19" s="2"/>
      <c r="H19" s="10"/>
      <c r="I19" s="10"/>
      <c r="J19" s="175" t="s">
        <v>217</v>
      </c>
      <c r="K19" s="2"/>
      <c r="L19" s="2"/>
      <c r="M19" s="2"/>
      <c r="N19" s="2"/>
      <c r="O19" s="2"/>
      <c r="P19" s="2"/>
      <c r="Q19" s="115"/>
      <c r="S19" s="125"/>
    </row>
    <row r="20" spans="1:21" ht="17.399999999999999" customHeight="1" x14ac:dyDescent="0.3">
      <c r="A20" s="84">
        <f t="shared" si="0"/>
        <v>18</v>
      </c>
      <c r="B20" s="78"/>
      <c r="C20" s="77"/>
      <c r="D20" s="77"/>
      <c r="E20" s="77"/>
      <c r="F20" s="77"/>
      <c r="G20" s="77"/>
      <c r="H20" s="11"/>
      <c r="I20" s="11"/>
      <c r="J20" s="175" t="s">
        <v>356</v>
      </c>
      <c r="K20" s="2"/>
      <c r="L20" s="2"/>
      <c r="M20" s="2"/>
      <c r="N20" s="2"/>
      <c r="O20" s="2"/>
      <c r="P20" s="2"/>
      <c r="Q20" s="115"/>
      <c r="S20" s="125" t="s">
        <v>354</v>
      </c>
    </row>
    <row r="21" spans="1:21" ht="17.399999999999999" customHeight="1" x14ac:dyDescent="0.3">
      <c r="A21" s="35">
        <f t="shared" si="0"/>
        <v>19</v>
      </c>
      <c r="B21" s="2"/>
      <c r="C21" s="2"/>
      <c r="D21" s="2"/>
      <c r="E21" s="1"/>
      <c r="F21" s="2"/>
      <c r="G21" s="2"/>
      <c r="H21" s="10"/>
      <c r="I21" s="10"/>
      <c r="J21" s="175" t="s">
        <v>355</v>
      </c>
      <c r="K21" s="2"/>
      <c r="L21" s="2"/>
      <c r="M21" s="2"/>
      <c r="N21" s="2"/>
      <c r="O21" s="2"/>
      <c r="P21" s="2"/>
      <c r="Q21" s="115"/>
      <c r="S21" s="125" t="s">
        <v>354</v>
      </c>
    </row>
    <row r="22" spans="1:21" ht="17.399999999999999" customHeight="1" x14ac:dyDescent="0.3">
      <c r="A22" s="84">
        <f t="shared" si="0"/>
        <v>20</v>
      </c>
      <c r="B22" s="77"/>
      <c r="C22" s="8"/>
      <c r="D22" s="8"/>
      <c r="E22" s="8"/>
      <c r="F22" s="8"/>
      <c r="G22" s="8"/>
      <c r="H22" s="12"/>
      <c r="I22" s="12"/>
      <c r="J22" s="176" t="s">
        <v>218</v>
      </c>
      <c r="K22" s="24"/>
      <c r="L22" s="24"/>
      <c r="M22" s="24"/>
      <c r="N22" s="24"/>
      <c r="O22" s="24"/>
      <c r="P22" s="24"/>
      <c r="Q22" s="173"/>
      <c r="S22" s="126" t="s">
        <v>354</v>
      </c>
    </row>
    <row r="23" spans="1:21" ht="14.4" customHeight="1" thickBot="1" x14ac:dyDescent="0.35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27" t="s">
        <v>357</v>
      </c>
    </row>
    <row r="24" spans="1:21" ht="17.399999999999999" customHeight="1" x14ac:dyDescent="0.3">
      <c r="A24" s="210" t="s">
        <v>194</v>
      </c>
      <c r="B24" s="211"/>
      <c r="C24" s="81" t="s">
        <v>8</v>
      </c>
      <c r="D24" s="81" t="s">
        <v>8</v>
      </c>
      <c r="E24" s="81" t="s">
        <v>8</v>
      </c>
      <c r="F24" s="81" t="s">
        <v>8</v>
      </c>
      <c r="G24" s="81" t="s">
        <v>8</v>
      </c>
      <c r="H24" s="81" t="s">
        <v>8</v>
      </c>
      <c r="I24" s="81" t="s">
        <v>8</v>
      </c>
      <c r="J24" s="81" t="s">
        <v>8</v>
      </c>
      <c r="K24" s="81" t="s">
        <v>8</v>
      </c>
      <c r="L24" s="81" t="s">
        <v>8</v>
      </c>
      <c r="M24" s="81" t="s">
        <v>8</v>
      </c>
      <c r="N24" s="81" t="s">
        <v>8</v>
      </c>
      <c r="O24" s="81" t="s">
        <v>8</v>
      </c>
      <c r="P24" s="81" t="s">
        <v>8</v>
      </c>
      <c r="Q24" s="81" t="s">
        <v>8</v>
      </c>
    </row>
    <row r="25" spans="1:21" ht="17.399999999999999" customHeight="1" x14ac:dyDescent="0.3">
      <c r="A25" s="85"/>
      <c r="B25" s="86"/>
      <c r="C25" s="7">
        <v>-3</v>
      </c>
      <c r="D25" s="7">
        <f t="shared" ref="D25:Q25" si="1">C25+1</f>
        <v>-2</v>
      </c>
      <c r="E25" s="7">
        <f t="shared" si="1"/>
        <v>-1</v>
      </c>
      <c r="F25" s="7">
        <f t="shared" si="1"/>
        <v>0</v>
      </c>
      <c r="G25" s="7">
        <f t="shared" si="1"/>
        <v>1</v>
      </c>
      <c r="H25" s="7">
        <f t="shared" si="1"/>
        <v>2</v>
      </c>
      <c r="I25" s="7">
        <f t="shared" si="1"/>
        <v>3</v>
      </c>
      <c r="J25" s="7">
        <f t="shared" si="1"/>
        <v>4</v>
      </c>
      <c r="K25" s="7">
        <f t="shared" si="1"/>
        <v>5</v>
      </c>
      <c r="L25" s="7">
        <f t="shared" si="1"/>
        <v>6</v>
      </c>
      <c r="M25" s="7">
        <f t="shared" si="1"/>
        <v>7</v>
      </c>
      <c r="N25" s="7">
        <f t="shared" si="1"/>
        <v>8</v>
      </c>
      <c r="O25" s="7">
        <f t="shared" si="1"/>
        <v>9</v>
      </c>
      <c r="P25" s="7">
        <f t="shared" si="1"/>
        <v>10</v>
      </c>
      <c r="Q25" s="7">
        <f t="shared" si="1"/>
        <v>11</v>
      </c>
      <c r="R25" s="1"/>
      <c r="S25" s="1"/>
      <c r="T25" s="1"/>
      <c r="U25" s="1"/>
    </row>
    <row r="26" spans="1:21" ht="14.4" customHeight="1" x14ac:dyDescent="0.3">
      <c r="A26" s="212">
        <v>19</v>
      </c>
      <c r="B26" s="213"/>
      <c r="C26" s="79">
        <f>$A26-C$25</f>
        <v>22</v>
      </c>
      <c r="D26" s="79">
        <f t="shared" ref="D26:Q26" si="2">$A26-D$25</f>
        <v>21</v>
      </c>
      <c r="E26" s="79">
        <f t="shared" si="2"/>
        <v>20</v>
      </c>
      <c r="F26" s="79">
        <f t="shared" si="2"/>
        <v>19</v>
      </c>
      <c r="G26" s="79">
        <f t="shared" si="2"/>
        <v>18</v>
      </c>
      <c r="H26" s="79">
        <f t="shared" si="2"/>
        <v>17</v>
      </c>
      <c r="I26" s="79">
        <f t="shared" si="2"/>
        <v>16</v>
      </c>
      <c r="J26" s="79">
        <f t="shared" si="2"/>
        <v>15</v>
      </c>
      <c r="K26" s="79">
        <f t="shared" si="2"/>
        <v>14</v>
      </c>
      <c r="L26" s="79">
        <f t="shared" si="2"/>
        <v>13</v>
      </c>
      <c r="M26" s="79">
        <f t="shared" si="2"/>
        <v>12</v>
      </c>
      <c r="N26" s="79">
        <f t="shared" si="2"/>
        <v>11</v>
      </c>
      <c r="O26" s="79">
        <f t="shared" si="2"/>
        <v>10</v>
      </c>
      <c r="P26" s="79">
        <f t="shared" si="2"/>
        <v>9</v>
      </c>
      <c r="Q26" s="79">
        <f t="shared" si="2"/>
        <v>8</v>
      </c>
    </row>
    <row r="27" spans="1:21" ht="14.4" customHeight="1" x14ac:dyDescent="0.3">
      <c r="A27" s="214">
        <v>18</v>
      </c>
      <c r="B27" s="207"/>
      <c r="C27" s="80">
        <f t="shared" ref="C27:Q34" si="3">$A27-C$25</f>
        <v>21</v>
      </c>
      <c r="D27" s="80">
        <f t="shared" si="3"/>
        <v>20</v>
      </c>
      <c r="E27" s="80">
        <f t="shared" si="3"/>
        <v>19</v>
      </c>
      <c r="F27" s="80">
        <f t="shared" si="3"/>
        <v>18</v>
      </c>
      <c r="G27" s="80">
        <f t="shared" si="3"/>
        <v>17</v>
      </c>
      <c r="H27" s="80">
        <f t="shared" si="3"/>
        <v>16</v>
      </c>
      <c r="I27" s="80">
        <f t="shared" si="3"/>
        <v>15</v>
      </c>
      <c r="J27" s="80">
        <f t="shared" si="3"/>
        <v>14</v>
      </c>
      <c r="K27" s="80">
        <f t="shared" si="3"/>
        <v>13</v>
      </c>
      <c r="L27" s="80">
        <f t="shared" si="3"/>
        <v>12</v>
      </c>
      <c r="M27" s="80">
        <f t="shared" si="3"/>
        <v>11</v>
      </c>
      <c r="N27" s="80">
        <f t="shared" si="3"/>
        <v>10</v>
      </c>
      <c r="O27" s="80">
        <f t="shared" si="3"/>
        <v>9</v>
      </c>
      <c r="P27" s="80">
        <f t="shared" si="3"/>
        <v>8</v>
      </c>
      <c r="Q27" s="80">
        <f t="shared" si="3"/>
        <v>7</v>
      </c>
    </row>
    <row r="28" spans="1:21" ht="14.4" customHeight="1" x14ac:dyDescent="0.3">
      <c r="A28" s="213">
        <v>17</v>
      </c>
      <c r="B28" s="213"/>
      <c r="C28" s="79">
        <f t="shared" si="3"/>
        <v>20</v>
      </c>
      <c r="D28" s="79">
        <f t="shared" si="3"/>
        <v>19</v>
      </c>
      <c r="E28" s="79">
        <f t="shared" si="3"/>
        <v>18</v>
      </c>
      <c r="F28" s="79">
        <f t="shared" si="3"/>
        <v>17</v>
      </c>
      <c r="G28" s="79">
        <f t="shared" si="3"/>
        <v>16</v>
      </c>
      <c r="H28" s="79">
        <f t="shared" si="3"/>
        <v>15</v>
      </c>
      <c r="I28" s="79">
        <f t="shared" si="3"/>
        <v>14</v>
      </c>
      <c r="J28" s="79">
        <f t="shared" si="3"/>
        <v>13</v>
      </c>
      <c r="K28" s="79">
        <f t="shared" si="3"/>
        <v>12</v>
      </c>
      <c r="L28" s="79">
        <f t="shared" si="3"/>
        <v>11</v>
      </c>
      <c r="M28" s="79">
        <f t="shared" si="3"/>
        <v>10</v>
      </c>
      <c r="N28" s="79">
        <f t="shared" si="3"/>
        <v>9</v>
      </c>
      <c r="O28" s="79">
        <f t="shared" si="3"/>
        <v>8</v>
      </c>
      <c r="P28" s="79">
        <f t="shared" si="3"/>
        <v>7</v>
      </c>
      <c r="Q28" s="79">
        <f t="shared" si="3"/>
        <v>6</v>
      </c>
    </row>
    <row r="29" spans="1:21" ht="14.4" customHeight="1" x14ac:dyDescent="0.3">
      <c r="A29" s="207">
        <v>16</v>
      </c>
      <c r="B29" s="207"/>
      <c r="C29" s="80">
        <f t="shared" si="3"/>
        <v>19</v>
      </c>
      <c r="D29" s="80">
        <f t="shared" si="3"/>
        <v>18</v>
      </c>
      <c r="E29" s="80">
        <f t="shared" si="3"/>
        <v>17</v>
      </c>
      <c r="F29" s="80">
        <f t="shared" si="3"/>
        <v>16</v>
      </c>
      <c r="G29" s="80">
        <f t="shared" si="3"/>
        <v>15</v>
      </c>
      <c r="H29" s="80">
        <f t="shared" si="3"/>
        <v>14</v>
      </c>
      <c r="I29" s="80">
        <f t="shared" si="3"/>
        <v>13</v>
      </c>
      <c r="J29" s="80">
        <f t="shared" si="3"/>
        <v>12</v>
      </c>
      <c r="K29" s="80">
        <f t="shared" si="3"/>
        <v>11</v>
      </c>
      <c r="L29" s="80">
        <f t="shared" si="3"/>
        <v>10</v>
      </c>
      <c r="M29" s="80">
        <f t="shared" si="3"/>
        <v>9</v>
      </c>
      <c r="N29" s="80">
        <f t="shared" si="3"/>
        <v>8</v>
      </c>
      <c r="O29" s="80">
        <f t="shared" si="3"/>
        <v>7</v>
      </c>
      <c r="P29" s="80">
        <f t="shared" si="3"/>
        <v>6</v>
      </c>
      <c r="Q29" s="80">
        <f t="shared" si="3"/>
        <v>5</v>
      </c>
    </row>
    <row r="30" spans="1:21" ht="14.4" customHeight="1" x14ac:dyDescent="0.3">
      <c r="A30" s="213">
        <v>15</v>
      </c>
      <c r="B30" s="213"/>
      <c r="C30" s="79">
        <f t="shared" si="3"/>
        <v>18</v>
      </c>
      <c r="D30" s="79">
        <f t="shared" si="3"/>
        <v>17</v>
      </c>
      <c r="E30" s="79">
        <f t="shared" si="3"/>
        <v>16</v>
      </c>
      <c r="F30" s="79">
        <f t="shared" si="3"/>
        <v>15</v>
      </c>
      <c r="G30" s="79">
        <f t="shared" si="3"/>
        <v>14</v>
      </c>
      <c r="H30" s="79">
        <f t="shared" si="3"/>
        <v>13</v>
      </c>
      <c r="I30" s="79">
        <f t="shared" si="3"/>
        <v>12</v>
      </c>
      <c r="J30" s="79">
        <f t="shared" si="3"/>
        <v>11</v>
      </c>
      <c r="K30" s="79">
        <f t="shared" si="3"/>
        <v>10</v>
      </c>
      <c r="L30" s="79">
        <f t="shared" si="3"/>
        <v>9</v>
      </c>
      <c r="M30" s="79">
        <f t="shared" si="3"/>
        <v>8</v>
      </c>
      <c r="N30" s="79">
        <f t="shared" si="3"/>
        <v>7</v>
      </c>
      <c r="O30" s="79">
        <f t="shared" si="3"/>
        <v>6</v>
      </c>
      <c r="P30" s="79">
        <f t="shared" si="3"/>
        <v>5</v>
      </c>
      <c r="Q30" s="79">
        <f t="shared" si="3"/>
        <v>4</v>
      </c>
    </row>
    <row r="31" spans="1:21" ht="14.4" customHeight="1" x14ac:dyDescent="0.3">
      <c r="A31" s="207">
        <v>14</v>
      </c>
      <c r="B31" s="207"/>
      <c r="C31" s="80">
        <f t="shared" si="3"/>
        <v>17</v>
      </c>
      <c r="D31" s="80">
        <f t="shared" si="3"/>
        <v>16</v>
      </c>
      <c r="E31" s="80">
        <f t="shared" si="3"/>
        <v>15</v>
      </c>
      <c r="F31" s="80">
        <f t="shared" si="3"/>
        <v>14</v>
      </c>
      <c r="G31" s="80">
        <f t="shared" si="3"/>
        <v>13</v>
      </c>
      <c r="H31" s="80">
        <f t="shared" si="3"/>
        <v>12</v>
      </c>
      <c r="I31" s="80">
        <f t="shared" si="3"/>
        <v>11</v>
      </c>
      <c r="J31" s="80">
        <f t="shared" si="3"/>
        <v>10</v>
      </c>
      <c r="K31" s="80">
        <f t="shared" si="3"/>
        <v>9</v>
      </c>
      <c r="L31" s="80">
        <f t="shared" si="3"/>
        <v>8</v>
      </c>
      <c r="M31" s="80">
        <f t="shared" si="3"/>
        <v>7</v>
      </c>
      <c r="N31" s="80">
        <f t="shared" si="3"/>
        <v>6</v>
      </c>
      <c r="O31" s="80">
        <f t="shared" si="3"/>
        <v>5</v>
      </c>
      <c r="P31" s="80">
        <f t="shared" si="3"/>
        <v>4</v>
      </c>
      <c r="Q31" s="80">
        <f t="shared" si="3"/>
        <v>3</v>
      </c>
    </row>
    <row r="32" spans="1:21" ht="14.4" customHeight="1" x14ac:dyDescent="0.3">
      <c r="A32" s="213">
        <v>13</v>
      </c>
      <c r="B32" s="213"/>
      <c r="C32" s="79">
        <f t="shared" si="3"/>
        <v>16</v>
      </c>
      <c r="D32" s="79">
        <f t="shared" si="3"/>
        <v>15</v>
      </c>
      <c r="E32" s="79">
        <f t="shared" si="3"/>
        <v>14</v>
      </c>
      <c r="F32" s="79">
        <f t="shared" si="3"/>
        <v>13</v>
      </c>
      <c r="G32" s="79">
        <f t="shared" si="3"/>
        <v>12</v>
      </c>
      <c r="H32" s="79">
        <f t="shared" si="3"/>
        <v>11</v>
      </c>
      <c r="I32" s="79">
        <f t="shared" si="3"/>
        <v>10</v>
      </c>
      <c r="J32" s="79">
        <f t="shared" si="3"/>
        <v>9</v>
      </c>
      <c r="K32" s="79">
        <f t="shared" si="3"/>
        <v>8</v>
      </c>
      <c r="L32" s="79">
        <f t="shared" si="3"/>
        <v>7</v>
      </c>
      <c r="M32" s="79">
        <f t="shared" si="3"/>
        <v>6</v>
      </c>
      <c r="N32" s="79">
        <f t="shared" si="3"/>
        <v>5</v>
      </c>
      <c r="O32" s="79">
        <f t="shared" si="3"/>
        <v>4</v>
      </c>
      <c r="P32" s="79">
        <f t="shared" si="3"/>
        <v>3</v>
      </c>
      <c r="Q32" s="79">
        <f t="shared" si="3"/>
        <v>2</v>
      </c>
    </row>
    <row r="33" spans="1:17" ht="14.4" customHeight="1" x14ac:dyDescent="0.3">
      <c r="A33" s="207">
        <v>12</v>
      </c>
      <c r="B33" s="207"/>
      <c r="C33" s="80">
        <f t="shared" si="3"/>
        <v>15</v>
      </c>
      <c r="D33" s="80">
        <f t="shared" si="3"/>
        <v>14</v>
      </c>
      <c r="E33" s="80">
        <f t="shared" si="3"/>
        <v>13</v>
      </c>
      <c r="F33" s="80">
        <f t="shared" si="3"/>
        <v>12</v>
      </c>
      <c r="G33" s="80">
        <f t="shared" si="3"/>
        <v>11</v>
      </c>
      <c r="H33" s="80">
        <f t="shared" si="3"/>
        <v>10</v>
      </c>
      <c r="I33" s="80">
        <f t="shared" si="3"/>
        <v>9</v>
      </c>
      <c r="J33" s="80">
        <f t="shared" si="3"/>
        <v>8</v>
      </c>
      <c r="K33" s="80">
        <f t="shared" si="3"/>
        <v>7</v>
      </c>
      <c r="L33" s="80">
        <f t="shared" si="3"/>
        <v>6</v>
      </c>
      <c r="M33" s="80">
        <f t="shared" si="3"/>
        <v>5</v>
      </c>
      <c r="N33" s="80">
        <f t="shared" si="3"/>
        <v>4</v>
      </c>
      <c r="O33" s="80">
        <f t="shared" si="3"/>
        <v>3</v>
      </c>
      <c r="P33" s="80">
        <f t="shared" si="3"/>
        <v>2</v>
      </c>
      <c r="Q33" s="80">
        <f t="shared" si="3"/>
        <v>1</v>
      </c>
    </row>
    <row r="34" spans="1:17" ht="14.4" customHeight="1" x14ac:dyDescent="0.3">
      <c r="A34" s="213">
        <v>11</v>
      </c>
      <c r="B34" s="213"/>
      <c r="C34" s="79">
        <f t="shared" si="3"/>
        <v>14</v>
      </c>
      <c r="D34" s="79">
        <f t="shared" si="3"/>
        <v>13</v>
      </c>
      <c r="E34" s="79">
        <f t="shared" si="3"/>
        <v>12</v>
      </c>
      <c r="F34" s="79">
        <f t="shared" si="3"/>
        <v>11</v>
      </c>
      <c r="G34" s="79">
        <f t="shared" si="3"/>
        <v>10</v>
      </c>
      <c r="H34" s="79">
        <f t="shared" si="3"/>
        <v>9</v>
      </c>
      <c r="I34" s="79">
        <f t="shared" si="3"/>
        <v>8</v>
      </c>
      <c r="J34" s="79">
        <f t="shared" si="3"/>
        <v>7</v>
      </c>
      <c r="K34" s="79">
        <f t="shared" si="3"/>
        <v>6</v>
      </c>
      <c r="L34" s="79">
        <f t="shared" si="3"/>
        <v>5</v>
      </c>
      <c r="M34" s="79">
        <f t="shared" si="3"/>
        <v>4</v>
      </c>
      <c r="N34" s="79">
        <f t="shared" si="3"/>
        <v>3</v>
      </c>
      <c r="O34" s="79">
        <f t="shared" si="3"/>
        <v>2</v>
      </c>
      <c r="P34" s="79">
        <f t="shared" si="3"/>
        <v>1</v>
      </c>
      <c r="Q34" s="79">
        <f t="shared" si="3"/>
        <v>0</v>
      </c>
    </row>
    <row r="35" spans="1:17" ht="14.4" customHeight="1" x14ac:dyDescent="0.3">
      <c r="A35" s="119"/>
      <c r="B35" s="120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1" t="s">
        <v>195</v>
      </c>
    </row>
    <row r="36" spans="1:17" ht="12.6" customHeight="1" thickBot="1" x14ac:dyDescent="0.35">
      <c r="A36" s="122"/>
      <c r="B36" s="123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1:17" ht="12.6" customHeight="1" x14ac:dyDescent="0.3">
      <c r="A37" s="38" t="s">
        <v>46</v>
      </c>
      <c r="B37" s="39" t="s">
        <v>48</v>
      </c>
      <c r="C37" s="38"/>
      <c r="D37" s="38"/>
      <c r="E37" s="38"/>
      <c r="F37" s="38"/>
      <c r="G37" s="38"/>
      <c r="H37" s="38"/>
      <c r="I37" s="38"/>
      <c r="J37" s="38"/>
      <c r="K37" s="40" t="s">
        <v>203</v>
      </c>
      <c r="L37" s="41"/>
      <c r="M37" s="42" t="s">
        <v>8</v>
      </c>
      <c r="N37" s="42" t="s">
        <v>46</v>
      </c>
      <c r="O37" s="42" t="s">
        <v>204</v>
      </c>
      <c r="P37" s="42" t="s">
        <v>205</v>
      </c>
      <c r="Q37" s="42" t="s">
        <v>206</v>
      </c>
    </row>
    <row r="38" spans="1:17" ht="12.6" customHeight="1" x14ac:dyDescent="0.3">
      <c r="A38" s="36">
        <v>0</v>
      </c>
      <c r="B38" s="37" t="s">
        <v>221</v>
      </c>
      <c r="K38" s="35" t="s">
        <v>196</v>
      </c>
      <c r="L38" s="2"/>
      <c r="M38" s="43">
        <v>9</v>
      </c>
      <c r="N38" s="43">
        <v>0</v>
      </c>
      <c r="O38" s="43" t="s">
        <v>207</v>
      </c>
      <c r="P38" s="43" t="s">
        <v>208</v>
      </c>
      <c r="Q38" s="43" t="s">
        <v>209</v>
      </c>
    </row>
    <row r="39" spans="1:17" ht="12.6" customHeight="1" x14ac:dyDescent="0.3">
      <c r="A39" s="36" t="s">
        <v>223</v>
      </c>
      <c r="B39" s="47" t="s">
        <v>222</v>
      </c>
      <c r="C39" s="48"/>
      <c r="D39" s="48"/>
      <c r="E39" s="48"/>
      <c r="F39" s="48"/>
      <c r="G39" s="48"/>
      <c r="H39" s="48"/>
      <c r="I39" s="48"/>
      <c r="J39" s="48"/>
      <c r="K39" s="44" t="s">
        <v>233</v>
      </c>
      <c r="L39" s="45"/>
      <c r="M39" s="46">
        <v>8</v>
      </c>
      <c r="N39" s="46">
        <v>1</v>
      </c>
      <c r="O39" s="46" t="s">
        <v>207</v>
      </c>
      <c r="P39" s="46" t="s">
        <v>208</v>
      </c>
      <c r="Q39" s="46" t="s">
        <v>209</v>
      </c>
    </row>
    <row r="40" spans="1:17" ht="12.6" customHeight="1" x14ac:dyDescent="0.3">
      <c r="A40" s="36" t="s">
        <v>224</v>
      </c>
      <c r="B40" s="49" t="s">
        <v>225</v>
      </c>
      <c r="K40" s="35" t="s">
        <v>197</v>
      </c>
      <c r="L40" s="2"/>
      <c r="M40" s="43">
        <v>7</v>
      </c>
      <c r="N40" s="43">
        <v>2</v>
      </c>
      <c r="O40" s="43"/>
      <c r="P40" s="43" t="s">
        <v>208</v>
      </c>
      <c r="Q40" s="43" t="s">
        <v>209</v>
      </c>
    </row>
    <row r="41" spans="1:17" ht="12.6" customHeight="1" x14ac:dyDescent="0.3">
      <c r="A41" s="36">
        <v>1</v>
      </c>
      <c r="B41" s="47" t="s">
        <v>226</v>
      </c>
      <c r="C41" s="47"/>
      <c r="D41" s="47"/>
      <c r="E41" s="47"/>
      <c r="F41" s="47"/>
      <c r="G41" s="47"/>
      <c r="H41" s="47"/>
      <c r="I41" s="47"/>
      <c r="J41" s="47"/>
      <c r="K41" s="44" t="s">
        <v>198</v>
      </c>
      <c r="L41" s="45"/>
      <c r="M41" s="46">
        <v>6</v>
      </c>
      <c r="N41" s="46">
        <v>2</v>
      </c>
      <c r="O41" s="46" t="s">
        <v>207</v>
      </c>
      <c r="P41" s="46" t="s">
        <v>208</v>
      </c>
      <c r="Q41" s="46" t="s">
        <v>209</v>
      </c>
    </row>
    <row r="42" spans="1:17" ht="12.6" customHeight="1" x14ac:dyDescent="0.3">
      <c r="A42" s="36">
        <v>2</v>
      </c>
      <c r="B42" s="49" t="s">
        <v>228</v>
      </c>
      <c r="K42" s="35" t="s">
        <v>199</v>
      </c>
      <c r="L42" s="2"/>
      <c r="M42" s="43">
        <v>5</v>
      </c>
      <c r="N42" s="43">
        <v>2</v>
      </c>
      <c r="O42" s="43" t="s">
        <v>209</v>
      </c>
      <c r="P42" s="43" t="s">
        <v>208</v>
      </c>
      <c r="Q42" s="43" t="s">
        <v>208</v>
      </c>
    </row>
    <row r="43" spans="1:17" ht="12.6" customHeight="1" x14ac:dyDescent="0.3">
      <c r="A43" s="36">
        <v>3</v>
      </c>
      <c r="B43" s="47" t="s">
        <v>227</v>
      </c>
      <c r="C43" s="47"/>
      <c r="D43" s="47"/>
      <c r="E43" s="47"/>
      <c r="F43" s="47"/>
      <c r="G43" s="47"/>
      <c r="H43" s="47"/>
      <c r="I43" s="47"/>
      <c r="J43" s="47"/>
      <c r="K43" s="44" t="s">
        <v>201</v>
      </c>
      <c r="L43" s="45"/>
      <c r="M43" s="46">
        <v>4</v>
      </c>
      <c r="N43" s="46">
        <v>3</v>
      </c>
      <c r="O43" s="46" t="s">
        <v>208</v>
      </c>
      <c r="P43" s="46" t="s">
        <v>208</v>
      </c>
      <c r="Q43" s="46" t="s">
        <v>47</v>
      </c>
    </row>
    <row r="44" spans="1:17" ht="12.6" customHeight="1" x14ac:dyDescent="0.3">
      <c r="A44" s="36"/>
      <c r="B44" s="50"/>
      <c r="C44" s="13"/>
      <c r="D44" s="13"/>
      <c r="E44" s="13"/>
      <c r="G44" s="13"/>
      <c r="H44" s="13"/>
      <c r="I44" s="13"/>
      <c r="J44" s="3"/>
      <c r="K44" s="35" t="s">
        <v>202</v>
      </c>
      <c r="L44" s="2"/>
      <c r="M44" s="43">
        <v>3</v>
      </c>
      <c r="N44" s="43">
        <v>3</v>
      </c>
      <c r="O44" s="43" t="s">
        <v>208</v>
      </c>
      <c r="P44" s="43" t="s">
        <v>208</v>
      </c>
      <c r="Q44" s="43" t="s">
        <v>47</v>
      </c>
    </row>
    <row r="45" spans="1:17" ht="12.6" customHeight="1" x14ac:dyDescent="0.3">
      <c r="A45" t="s">
        <v>230</v>
      </c>
      <c r="B45" s="50"/>
      <c r="C45" s="13"/>
      <c r="D45" s="13"/>
      <c r="E45" s="13"/>
      <c r="F45" s="51"/>
      <c r="G45" s="13"/>
      <c r="H45" s="13"/>
      <c r="I45" s="13"/>
      <c r="J45" s="3"/>
      <c r="K45" s="44" t="s">
        <v>234</v>
      </c>
      <c r="L45" s="45"/>
      <c r="M45" s="46">
        <v>2</v>
      </c>
      <c r="N45" s="46">
        <v>3</v>
      </c>
      <c r="O45" s="46" t="s">
        <v>208</v>
      </c>
      <c r="P45" s="46" t="s">
        <v>208</v>
      </c>
      <c r="Q45" s="46" t="s">
        <v>47</v>
      </c>
    </row>
    <row r="46" spans="1:17" ht="12.6" customHeight="1" x14ac:dyDescent="0.3">
      <c r="A46" t="s">
        <v>229</v>
      </c>
      <c r="B46" s="50"/>
      <c r="C46" s="13"/>
      <c r="D46" s="13"/>
      <c r="E46" s="13"/>
      <c r="F46" s="13"/>
      <c r="G46" s="13"/>
      <c r="H46" s="13"/>
      <c r="I46" s="13"/>
      <c r="J46" s="3"/>
      <c r="K46" s="35" t="s">
        <v>200</v>
      </c>
      <c r="L46" s="2"/>
      <c r="M46" s="43">
        <v>-1</v>
      </c>
      <c r="N46" s="43">
        <v>2</v>
      </c>
      <c r="O46" s="43"/>
      <c r="P46" s="43"/>
      <c r="Q46" s="43"/>
    </row>
    <row r="47" spans="1:17" ht="12.6" customHeight="1" x14ac:dyDescent="0.3">
      <c r="A47" t="s">
        <v>231</v>
      </c>
      <c r="B47" s="50"/>
      <c r="C47" s="13"/>
      <c r="D47" s="13"/>
      <c r="E47" s="13"/>
      <c r="F47" s="13"/>
      <c r="G47" s="13"/>
      <c r="H47" s="13"/>
      <c r="I47" s="13"/>
      <c r="J47" s="3"/>
      <c r="K47" s="44" t="s">
        <v>235</v>
      </c>
      <c r="L47" s="45"/>
      <c r="M47" s="46">
        <v>-2</v>
      </c>
      <c r="N47" s="46">
        <v>3</v>
      </c>
      <c r="O47" s="46" t="s">
        <v>236</v>
      </c>
      <c r="P47" s="46"/>
      <c r="Q47" s="46"/>
    </row>
    <row r="48" spans="1:17" ht="12.6" customHeight="1" x14ac:dyDescent="0.3">
      <c r="A48" t="s">
        <v>232</v>
      </c>
      <c r="B48" s="13"/>
      <c r="C48" s="13"/>
      <c r="D48" s="13"/>
      <c r="E48" s="13"/>
      <c r="F48" s="13"/>
      <c r="G48" s="13"/>
      <c r="H48" s="13"/>
      <c r="I48" s="13"/>
      <c r="J48" s="3"/>
      <c r="Q48" s="128" t="s">
        <v>360</v>
      </c>
    </row>
    <row r="49" ht="17.399999999999999" customHeight="1" x14ac:dyDescent="0.3"/>
  </sheetData>
  <mergeCells count="11">
    <mergeCell ref="J2:Q2"/>
    <mergeCell ref="A24:B24"/>
    <mergeCell ref="A26:B26"/>
    <mergeCell ref="A27:B27"/>
    <mergeCell ref="A34:B34"/>
    <mergeCell ref="A28:B28"/>
    <mergeCell ref="A29:B29"/>
    <mergeCell ref="A30:B30"/>
    <mergeCell ref="A31:B31"/>
    <mergeCell ref="A32:B32"/>
    <mergeCell ref="A33:B33"/>
  </mergeCells>
  <phoneticPr fontId="13" type="noConversion"/>
  <pageMargins left="0.19685039370078741" right="0.19685039370078741" top="0.35433070866141736" bottom="0.35433070866141736" header="0" footer="0"/>
  <pageSetup paperSize="9" fitToWidth="0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6F9D-3ED0-4BE0-8E31-DC32197F8094}">
  <dimension ref="A1:P40"/>
  <sheetViews>
    <sheetView zoomScale="120" zoomScaleNormal="120" workbookViewId="0">
      <selection activeCell="C42" sqref="C42"/>
    </sheetView>
  </sheetViews>
  <sheetFormatPr defaultRowHeight="14.4" x14ac:dyDescent="0.3"/>
  <cols>
    <col min="1" max="1" width="27.5546875" style="97" bestFit="1" customWidth="1"/>
    <col min="2" max="2" width="5.77734375" style="96" customWidth="1"/>
    <col min="3" max="3" width="9" style="96" customWidth="1"/>
    <col min="4" max="4" width="6.33203125" style="96" customWidth="1"/>
    <col min="5" max="5" width="52.21875" style="95" customWidth="1"/>
    <col min="6" max="16384" width="8.88671875" style="95"/>
  </cols>
  <sheetData>
    <row r="1" spans="1:16" ht="21" x14ac:dyDescent="0.3">
      <c r="A1" s="99" t="s">
        <v>45</v>
      </c>
      <c r="B1" s="98" t="s">
        <v>44</v>
      </c>
      <c r="C1" s="98" t="s">
        <v>238</v>
      </c>
      <c r="D1" s="98" t="s">
        <v>46</v>
      </c>
      <c r="E1" s="96" t="s">
        <v>27</v>
      </c>
      <c r="F1" s="218" t="s">
        <v>331</v>
      </c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 ht="28.8" x14ac:dyDescent="0.3">
      <c r="A2" s="97" t="s">
        <v>239</v>
      </c>
      <c r="B2" s="96">
        <v>6</v>
      </c>
      <c r="C2" s="96" t="s">
        <v>240</v>
      </c>
      <c r="D2" s="96">
        <v>1</v>
      </c>
      <c r="E2" s="95" t="s">
        <v>295</v>
      </c>
    </row>
    <row r="3" spans="1:16" ht="28.8" x14ac:dyDescent="0.3">
      <c r="A3" s="97" t="s">
        <v>241</v>
      </c>
      <c r="B3" s="96">
        <v>4</v>
      </c>
      <c r="C3" s="96" t="s">
        <v>240</v>
      </c>
      <c r="D3" s="96">
        <v>1</v>
      </c>
      <c r="E3" s="95" t="s">
        <v>318</v>
      </c>
    </row>
    <row r="4" spans="1:16" ht="28.8" x14ac:dyDescent="0.3">
      <c r="A4" s="97" t="s">
        <v>242</v>
      </c>
      <c r="B4" s="96">
        <v>10</v>
      </c>
      <c r="C4" s="96" t="s">
        <v>240</v>
      </c>
      <c r="D4" s="96">
        <v>1</v>
      </c>
      <c r="E4" s="95" t="s">
        <v>319</v>
      </c>
    </row>
    <row r="5" spans="1:16" ht="57.6" x14ac:dyDescent="0.3">
      <c r="A5" s="97" t="s">
        <v>243</v>
      </c>
      <c r="B5" s="96">
        <v>6</v>
      </c>
      <c r="C5" s="96" t="s">
        <v>244</v>
      </c>
      <c r="D5" s="96" t="s">
        <v>279</v>
      </c>
      <c r="E5" s="95" t="s">
        <v>320</v>
      </c>
    </row>
    <row r="6" spans="1:16" ht="28.8" x14ac:dyDescent="0.3">
      <c r="A6" s="97" t="s">
        <v>245</v>
      </c>
      <c r="B6" s="96">
        <v>4</v>
      </c>
      <c r="C6" s="96" t="s">
        <v>246</v>
      </c>
      <c r="D6" s="96">
        <v>1</v>
      </c>
      <c r="E6" s="95" t="s">
        <v>321</v>
      </c>
    </row>
    <row r="7" spans="1:16" ht="28.8" x14ac:dyDescent="0.3">
      <c r="A7" s="97" t="s">
        <v>247</v>
      </c>
      <c r="B7" s="96">
        <v>6</v>
      </c>
      <c r="C7" s="96" t="s">
        <v>248</v>
      </c>
      <c r="D7" s="96">
        <v>0</v>
      </c>
      <c r="E7" s="95" t="s">
        <v>296</v>
      </c>
    </row>
    <row r="8" spans="1:16" ht="28.8" x14ac:dyDescent="0.3">
      <c r="A8" s="97" t="s">
        <v>249</v>
      </c>
      <c r="B8" s="96">
        <v>6</v>
      </c>
      <c r="C8" s="96" t="s">
        <v>240</v>
      </c>
      <c r="D8" s="96">
        <v>1</v>
      </c>
      <c r="E8" s="95" t="s">
        <v>297</v>
      </c>
    </row>
    <row r="9" spans="1:16" ht="28.8" x14ac:dyDescent="0.3">
      <c r="A9" s="97" t="s">
        <v>250</v>
      </c>
      <c r="B9" s="96">
        <v>4</v>
      </c>
      <c r="C9" s="96" t="s">
        <v>244</v>
      </c>
      <c r="D9" s="96">
        <v>1</v>
      </c>
      <c r="E9" s="95" t="s">
        <v>298</v>
      </c>
    </row>
    <row r="10" spans="1:16" ht="28.8" x14ac:dyDescent="0.3">
      <c r="A10" s="97" t="s">
        <v>251</v>
      </c>
      <c r="B10" s="96">
        <v>2</v>
      </c>
      <c r="C10" s="96" t="s">
        <v>244</v>
      </c>
      <c r="D10" s="96">
        <v>1</v>
      </c>
      <c r="E10" s="95" t="s">
        <v>299</v>
      </c>
    </row>
    <row r="11" spans="1:16" x14ac:dyDescent="0.3">
      <c r="A11" s="97" t="s">
        <v>252</v>
      </c>
      <c r="B11" s="96">
        <v>10</v>
      </c>
      <c r="C11" s="96" t="s">
        <v>240</v>
      </c>
      <c r="D11" s="96">
        <v>0</v>
      </c>
      <c r="E11" s="95" t="s">
        <v>300</v>
      </c>
    </row>
    <row r="12" spans="1:16" ht="43.2" x14ac:dyDescent="0.3">
      <c r="A12" s="97" t="s">
        <v>253</v>
      </c>
      <c r="B12" s="96">
        <v>12</v>
      </c>
      <c r="C12" s="96" t="s">
        <v>254</v>
      </c>
      <c r="D12" s="96" t="s">
        <v>301</v>
      </c>
      <c r="E12" s="95" t="s">
        <v>322</v>
      </c>
    </row>
    <row r="13" spans="1:16" x14ac:dyDescent="0.3">
      <c r="A13" s="97" t="s">
        <v>255</v>
      </c>
      <c r="B13" s="96">
        <v>8</v>
      </c>
      <c r="C13" s="96" t="s">
        <v>248</v>
      </c>
      <c r="D13" s="96">
        <v>1</v>
      </c>
      <c r="E13" s="95" t="s">
        <v>302</v>
      </c>
    </row>
    <row r="14" spans="1:16" x14ac:dyDescent="0.3">
      <c r="A14" s="97" t="s">
        <v>256</v>
      </c>
      <c r="B14" s="96">
        <v>6</v>
      </c>
      <c r="C14" s="96" t="s">
        <v>246</v>
      </c>
      <c r="D14" s="96">
        <v>1</v>
      </c>
      <c r="E14" s="95" t="s">
        <v>303</v>
      </c>
    </row>
    <row r="15" spans="1:16" x14ac:dyDescent="0.3">
      <c r="A15" s="97" t="s">
        <v>257</v>
      </c>
      <c r="B15" s="96">
        <v>10</v>
      </c>
      <c r="C15" s="96" t="s">
        <v>304</v>
      </c>
      <c r="D15" s="96">
        <v>1</v>
      </c>
      <c r="E15" s="95" t="s">
        <v>305</v>
      </c>
    </row>
    <row r="16" spans="1:16" ht="28.8" x14ac:dyDescent="0.3">
      <c r="A16" s="97" t="s">
        <v>258</v>
      </c>
      <c r="B16" s="96">
        <v>10</v>
      </c>
      <c r="C16" s="96" t="s">
        <v>259</v>
      </c>
      <c r="D16" s="96" t="s">
        <v>301</v>
      </c>
      <c r="E16" s="95" t="s">
        <v>306</v>
      </c>
    </row>
    <row r="17" spans="1:16" x14ac:dyDescent="0.3">
      <c r="A17" s="97" t="s">
        <v>260</v>
      </c>
      <c r="B17" s="96">
        <v>6</v>
      </c>
      <c r="C17" s="96" t="s">
        <v>261</v>
      </c>
      <c r="D17" s="96" t="s">
        <v>301</v>
      </c>
      <c r="E17" s="95" t="s">
        <v>307</v>
      </c>
    </row>
    <row r="18" spans="1:16" ht="28.8" x14ac:dyDescent="0.3">
      <c r="A18" s="97" t="s">
        <v>262</v>
      </c>
      <c r="B18" s="96">
        <v>2</v>
      </c>
      <c r="C18" s="96" t="s">
        <v>263</v>
      </c>
      <c r="D18" s="96" t="s">
        <v>301</v>
      </c>
      <c r="E18" s="95" t="s">
        <v>308</v>
      </c>
    </row>
    <row r="19" spans="1:16" ht="43.2" x14ac:dyDescent="0.3">
      <c r="A19" s="97" t="s">
        <v>264</v>
      </c>
      <c r="B19" s="96">
        <v>2</v>
      </c>
      <c r="C19" s="96" t="s">
        <v>265</v>
      </c>
      <c r="D19" s="96" t="s">
        <v>301</v>
      </c>
      <c r="E19" s="95" t="s">
        <v>309</v>
      </c>
    </row>
    <row r="20" spans="1:16" ht="28.8" x14ac:dyDescent="0.3">
      <c r="A20" s="97" t="s">
        <v>281</v>
      </c>
      <c r="B20" s="96">
        <v>3</v>
      </c>
      <c r="C20" s="96" t="s">
        <v>265</v>
      </c>
      <c r="D20" s="96" t="s">
        <v>301</v>
      </c>
      <c r="E20" s="95" t="s">
        <v>310</v>
      </c>
    </row>
    <row r="21" spans="1:16" ht="28.8" x14ac:dyDescent="0.3">
      <c r="A21" s="97" t="s">
        <v>282</v>
      </c>
      <c r="B21" s="96">
        <v>2</v>
      </c>
      <c r="C21" s="96" t="s">
        <v>263</v>
      </c>
      <c r="D21" s="96" t="s">
        <v>301</v>
      </c>
      <c r="E21" s="95" t="s">
        <v>311</v>
      </c>
    </row>
    <row r="22" spans="1:16" ht="43.2" x14ac:dyDescent="0.3">
      <c r="A22" s="97" t="s">
        <v>266</v>
      </c>
      <c r="B22" s="96">
        <v>4</v>
      </c>
      <c r="C22" s="96" t="s">
        <v>265</v>
      </c>
      <c r="D22" s="96" t="s">
        <v>301</v>
      </c>
      <c r="E22" s="95" t="s">
        <v>323</v>
      </c>
    </row>
    <row r="23" spans="1:16" ht="43.2" x14ac:dyDescent="0.3">
      <c r="A23" s="97" t="s">
        <v>283</v>
      </c>
      <c r="B23" s="96">
        <v>2</v>
      </c>
      <c r="C23" s="96" t="s">
        <v>284</v>
      </c>
      <c r="D23" s="96" t="s">
        <v>301</v>
      </c>
      <c r="E23" s="95" t="s">
        <v>324</v>
      </c>
    </row>
    <row r="24" spans="1:16" ht="28.8" x14ac:dyDescent="0.3">
      <c r="A24" s="97" t="s">
        <v>267</v>
      </c>
      <c r="B24" s="96">
        <v>3</v>
      </c>
      <c r="C24" s="96" t="s">
        <v>268</v>
      </c>
      <c r="D24" s="96">
        <v>0</v>
      </c>
      <c r="E24" s="95" t="s">
        <v>325</v>
      </c>
    </row>
    <row r="25" spans="1:16" ht="28.8" x14ac:dyDescent="0.3">
      <c r="A25" s="97" t="s">
        <v>269</v>
      </c>
      <c r="B25" s="96">
        <v>2</v>
      </c>
      <c r="C25" s="96" t="s">
        <v>268</v>
      </c>
      <c r="D25" s="96">
        <v>0</v>
      </c>
      <c r="E25" s="95" t="s">
        <v>312</v>
      </c>
      <c r="F25" s="104" t="s">
        <v>332</v>
      </c>
      <c r="G25" s="105"/>
      <c r="H25" s="105"/>
      <c r="I25" s="105"/>
      <c r="J25" s="105"/>
      <c r="K25" s="105"/>
      <c r="L25" s="105"/>
      <c r="M25" s="105"/>
      <c r="N25" s="105"/>
      <c r="O25" s="105"/>
      <c r="P25" s="106" t="s">
        <v>333</v>
      </c>
    </row>
    <row r="26" spans="1:16" ht="18" x14ac:dyDescent="0.3">
      <c r="A26" s="100" t="s">
        <v>45</v>
      </c>
      <c r="B26" s="101" t="s">
        <v>44</v>
      </c>
      <c r="C26" s="101" t="s">
        <v>238</v>
      </c>
      <c r="D26" s="101" t="s">
        <v>46</v>
      </c>
      <c r="E26" s="103" t="s">
        <v>27</v>
      </c>
    </row>
    <row r="27" spans="1:16" ht="28.8" x14ac:dyDescent="0.3">
      <c r="A27" s="97" t="s">
        <v>270</v>
      </c>
      <c r="B27" s="96">
        <v>2</v>
      </c>
      <c r="C27" s="96" t="s">
        <v>271</v>
      </c>
      <c r="D27" s="96">
        <v>0</v>
      </c>
      <c r="E27" s="95" t="s">
        <v>313</v>
      </c>
    </row>
    <row r="28" spans="1:16" ht="57.6" x14ac:dyDescent="0.3">
      <c r="A28" s="97" t="s">
        <v>272</v>
      </c>
      <c r="B28" s="96">
        <v>2</v>
      </c>
      <c r="C28" s="96" t="s">
        <v>271</v>
      </c>
      <c r="D28" s="96">
        <v>0</v>
      </c>
      <c r="E28" s="95" t="s">
        <v>326</v>
      </c>
    </row>
    <row r="29" spans="1:16" ht="43.2" x14ac:dyDescent="0.3">
      <c r="A29" s="97" t="s">
        <v>273</v>
      </c>
      <c r="B29" s="96">
        <v>1</v>
      </c>
      <c r="C29" s="96" t="s">
        <v>265</v>
      </c>
      <c r="D29" s="96">
        <v>0</v>
      </c>
      <c r="E29" s="95" t="s">
        <v>327</v>
      </c>
    </row>
    <row r="30" spans="1:16" ht="43.2" x14ac:dyDescent="0.3">
      <c r="A30" s="97" t="s">
        <v>274</v>
      </c>
      <c r="B30" s="96">
        <v>1</v>
      </c>
      <c r="C30" s="96" t="s">
        <v>265</v>
      </c>
      <c r="D30" s="96">
        <v>0</v>
      </c>
      <c r="E30" s="95" t="s">
        <v>328</v>
      </c>
    </row>
    <row r="31" spans="1:16" ht="28.8" x14ac:dyDescent="0.3">
      <c r="A31" s="97" t="s">
        <v>275</v>
      </c>
      <c r="B31" s="96">
        <v>4</v>
      </c>
      <c r="C31" s="96" t="s">
        <v>268</v>
      </c>
      <c r="D31" s="96">
        <v>0</v>
      </c>
      <c r="E31" s="95" t="s">
        <v>314</v>
      </c>
    </row>
    <row r="32" spans="1:16" ht="28.8" x14ac:dyDescent="0.3">
      <c r="A32" s="97" t="s">
        <v>276</v>
      </c>
      <c r="B32" s="96">
        <v>2</v>
      </c>
      <c r="C32" s="96" t="s">
        <v>268</v>
      </c>
      <c r="D32" s="96">
        <v>0</v>
      </c>
      <c r="E32" s="95" t="s">
        <v>315</v>
      </c>
    </row>
    <row r="33" spans="1:5" ht="57.6" x14ac:dyDescent="0.3">
      <c r="A33" s="97" t="s">
        <v>277</v>
      </c>
      <c r="B33" s="96">
        <v>3</v>
      </c>
      <c r="C33" s="96" t="s">
        <v>268</v>
      </c>
      <c r="D33" s="96">
        <v>0</v>
      </c>
      <c r="E33" s="95" t="s">
        <v>329</v>
      </c>
    </row>
    <row r="34" spans="1:5" ht="43.2" x14ac:dyDescent="0.3">
      <c r="A34" s="97" t="s">
        <v>278</v>
      </c>
      <c r="B34" s="96">
        <v>2</v>
      </c>
      <c r="C34" s="96" t="s">
        <v>271</v>
      </c>
      <c r="D34" s="96">
        <v>0</v>
      </c>
      <c r="E34" s="95" t="s">
        <v>330</v>
      </c>
    </row>
    <row r="35" spans="1:5" ht="28.8" x14ac:dyDescent="0.3">
      <c r="A35" s="97" t="s">
        <v>280</v>
      </c>
      <c r="B35" s="96">
        <v>2</v>
      </c>
      <c r="C35" s="96" t="s">
        <v>265</v>
      </c>
      <c r="D35" s="96">
        <v>0</v>
      </c>
      <c r="E35" s="95" t="s">
        <v>316</v>
      </c>
    </row>
    <row r="36" spans="1:5" x14ac:dyDescent="0.3">
      <c r="A36" s="102"/>
      <c r="B36" s="195"/>
      <c r="C36" s="102"/>
      <c r="D36" s="102"/>
      <c r="E36" s="102"/>
    </row>
    <row r="37" spans="1:5" ht="28.8" x14ac:dyDescent="0.3">
      <c r="A37" s="97" t="s">
        <v>285</v>
      </c>
      <c r="B37" s="196">
        <v>3</v>
      </c>
      <c r="C37" s="196" t="s">
        <v>289</v>
      </c>
      <c r="D37" s="196">
        <v>0</v>
      </c>
      <c r="E37" s="97" t="s">
        <v>317</v>
      </c>
    </row>
    <row r="38" spans="1:5" ht="28.8" x14ac:dyDescent="0.3">
      <c r="A38" s="102" t="s">
        <v>286</v>
      </c>
      <c r="B38" s="195">
        <v>2</v>
      </c>
      <c r="C38" s="195" t="s">
        <v>268</v>
      </c>
      <c r="D38" s="195">
        <v>1</v>
      </c>
      <c r="E38" s="102" t="s">
        <v>292</v>
      </c>
    </row>
    <row r="39" spans="1:5" ht="28.8" x14ac:dyDescent="0.3">
      <c r="A39" s="97" t="s">
        <v>287</v>
      </c>
      <c r="B39" s="196">
        <v>4</v>
      </c>
      <c r="C39" s="196" t="s">
        <v>290</v>
      </c>
      <c r="D39" s="196">
        <v>0</v>
      </c>
      <c r="E39" s="97" t="s">
        <v>293</v>
      </c>
    </row>
    <row r="40" spans="1:5" ht="28.8" x14ac:dyDescent="0.3">
      <c r="A40" s="102" t="s">
        <v>288</v>
      </c>
      <c r="B40" s="195">
        <v>3</v>
      </c>
      <c r="C40" s="195" t="s">
        <v>291</v>
      </c>
      <c r="D40" s="195">
        <v>1</v>
      </c>
      <c r="E40" s="102" t="s">
        <v>294</v>
      </c>
    </row>
  </sheetData>
  <mergeCells count="1">
    <mergeCell ref="F1:P1"/>
  </mergeCells>
  <pageMargins left="0.19685039370078741" right="0.19685039370078741" top="0.3543307086614173" bottom="0.3543307086614173" header="0" footer="0"/>
  <pageSetup paperSize="9" orientation="portrait" horizontalDpi="360" verticalDpi="36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8450-D323-4BD0-AC14-7E0806B219F9}">
  <dimension ref="A1:H253"/>
  <sheetViews>
    <sheetView topLeftCell="A216" zoomScale="110" zoomScaleNormal="110" workbookViewId="0">
      <selection activeCell="A253" sqref="A253:E253"/>
    </sheetView>
  </sheetViews>
  <sheetFormatPr defaultRowHeight="13.8" x14ac:dyDescent="0.3"/>
  <cols>
    <col min="1" max="1" width="27.5546875" style="131" bestFit="1" customWidth="1"/>
    <col min="2" max="2" width="5.77734375" style="134" customWidth="1"/>
    <col min="3" max="3" width="9" style="132" customWidth="1"/>
    <col min="4" max="4" width="6.33203125" style="132" customWidth="1"/>
    <col min="5" max="5" width="52.21875" style="129" customWidth="1"/>
    <col min="6" max="16384" width="8.88671875" style="129"/>
  </cols>
  <sheetData>
    <row r="1" spans="1:5" s="95" customFormat="1" ht="14.4" x14ac:dyDescent="0.3">
      <c r="A1" s="197" t="s">
        <v>45</v>
      </c>
      <c r="B1" s="103" t="s">
        <v>674</v>
      </c>
      <c r="C1" s="103" t="s">
        <v>238</v>
      </c>
      <c r="D1" s="103" t="s">
        <v>46</v>
      </c>
      <c r="E1" s="197" t="s">
        <v>27</v>
      </c>
    </row>
    <row r="2" spans="1:5" x14ac:dyDescent="0.3">
      <c r="A2" s="130"/>
      <c r="B2" s="133"/>
      <c r="C2" s="133"/>
      <c r="D2" s="133"/>
      <c r="E2" s="130"/>
    </row>
    <row r="3" spans="1:5" s="198" customFormat="1" ht="15.6" x14ac:dyDescent="0.3">
      <c r="A3" s="221" t="s">
        <v>547</v>
      </c>
      <c r="B3" s="221"/>
      <c r="C3" s="221"/>
      <c r="D3" s="221"/>
      <c r="E3" s="221"/>
    </row>
    <row r="4" spans="1:5" x14ac:dyDescent="0.3">
      <c r="A4" s="131" t="s">
        <v>361</v>
      </c>
      <c r="B4" s="134" t="s">
        <v>347</v>
      </c>
      <c r="C4" s="132" t="s">
        <v>244</v>
      </c>
      <c r="D4" s="132">
        <v>1</v>
      </c>
      <c r="E4" s="129" t="s">
        <v>362</v>
      </c>
    </row>
    <row r="5" spans="1:5" x14ac:dyDescent="0.3">
      <c r="A5" s="135" t="s">
        <v>407</v>
      </c>
      <c r="B5" s="138" t="s">
        <v>349</v>
      </c>
      <c r="C5" s="136" t="s">
        <v>408</v>
      </c>
      <c r="D5" s="136">
        <v>7</v>
      </c>
      <c r="E5" s="137" t="s">
        <v>409</v>
      </c>
    </row>
    <row r="6" spans="1:5" x14ac:dyDescent="0.3">
      <c r="A6" s="131" t="s">
        <v>363</v>
      </c>
      <c r="B6" s="134" t="s">
        <v>347</v>
      </c>
      <c r="C6" s="132" t="s">
        <v>244</v>
      </c>
      <c r="D6" s="132">
        <v>1</v>
      </c>
      <c r="E6" s="129" t="s">
        <v>364</v>
      </c>
    </row>
    <row r="7" spans="1:5" x14ac:dyDescent="0.3">
      <c r="A7" s="135" t="s">
        <v>410</v>
      </c>
      <c r="B7" s="138" t="s">
        <v>349</v>
      </c>
      <c r="C7" s="136" t="s">
        <v>246</v>
      </c>
      <c r="D7" s="136">
        <v>1</v>
      </c>
      <c r="E7" s="137" t="s">
        <v>411</v>
      </c>
    </row>
    <row r="8" spans="1:5" x14ac:dyDescent="0.3">
      <c r="A8" s="131" t="s">
        <v>251</v>
      </c>
      <c r="B8" s="134" t="s">
        <v>347</v>
      </c>
      <c r="C8" s="132" t="s">
        <v>244</v>
      </c>
      <c r="D8" s="132">
        <v>1</v>
      </c>
      <c r="E8" s="129" t="s">
        <v>365</v>
      </c>
    </row>
    <row r="9" spans="1:5" x14ac:dyDescent="0.3">
      <c r="A9" s="135" t="s">
        <v>239</v>
      </c>
      <c r="B9" s="138" t="s">
        <v>347</v>
      </c>
      <c r="C9" s="136" t="s">
        <v>244</v>
      </c>
      <c r="D9" s="136">
        <v>2</v>
      </c>
      <c r="E9" s="137" t="s">
        <v>366</v>
      </c>
    </row>
    <row r="10" spans="1:5" x14ac:dyDescent="0.3">
      <c r="A10" s="131" t="s">
        <v>412</v>
      </c>
      <c r="B10" s="134" t="s">
        <v>349</v>
      </c>
      <c r="C10" s="132" t="s">
        <v>246</v>
      </c>
      <c r="D10" s="132">
        <v>1</v>
      </c>
      <c r="E10" s="129" t="s">
        <v>413</v>
      </c>
    </row>
    <row r="11" spans="1:5" x14ac:dyDescent="0.3">
      <c r="A11" s="135" t="s">
        <v>241</v>
      </c>
      <c r="B11" s="138" t="s">
        <v>347</v>
      </c>
      <c r="C11" s="136" t="s">
        <v>244</v>
      </c>
      <c r="D11" s="136">
        <v>2</v>
      </c>
      <c r="E11" s="137" t="s">
        <v>367</v>
      </c>
    </row>
    <row r="12" spans="1:5" x14ac:dyDescent="0.3">
      <c r="A12" s="131" t="s">
        <v>414</v>
      </c>
      <c r="B12" s="134" t="s">
        <v>349</v>
      </c>
      <c r="C12" s="132" t="s">
        <v>248</v>
      </c>
      <c r="D12" s="132">
        <v>1</v>
      </c>
      <c r="E12" s="129" t="s">
        <v>415</v>
      </c>
    </row>
    <row r="13" spans="1:5" x14ac:dyDescent="0.3">
      <c r="A13" s="135" t="s">
        <v>368</v>
      </c>
      <c r="B13" s="138" t="s">
        <v>347</v>
      </c>
      <c r="C13" s="136" t="s">
        <v>369</v>
      </c>
      <c r="D13" s="136">
        <v>3</v>
      </c>
      <c r="E13" s="137" t="s">
        <v>370</v>
      </c>
    </row>
    <row r="14" spans="1:5" x14ac:dyDescent="0.3">
      <c r="A14" s="131" t="s">
        <v>371</v>
      </c>
      <c r="B14" s="134" t="s">
        <v>347</v>
      </c>
      <c r="C14" s="132" t="s">
        <v>248</v>
      </c>
      <c r="D14" s="132">
        <v>2</v>
      </c>
      <c r="E14" s="129" t="s">
        <v>372</v>
      </c>
    </row>
    <row r="15" spans="1:5" x14ac:dyDescent="0.3">
      <c r="A15" s="135" t="s">
        <v>242</v>
      </c>
      <c r="B15" s="138" t="s">
        <v>347</v>
      </c>
      <c r="C15" s="136" t="s">
        <v>244</v>
      </c>
      <c r="D15" s="136">
        <v>1</v>
      </c>
      <c r="E15" s="137" t="s">
        <v>373</v>
      </c>
    </row>
    <row r="16" spans="1:5" x14ac:dyDescent="0.3">
      <c r="A16" s="131" t="s">
        <v>245</v>
      </c>
      <c r="B16" s="134" t="s">
        <v>349</v>
      </c>
      <c r="C16" s="132" t="s">
        <v>408</v>
      </c>
      <c r="D16" s="132">
        <v>1</v>
      </c>
      <c r="E16" s="129" t="s">
        <v>416</v>
      </c>
    </row>
    <row r="17" spans="1:5" ht="13.8" customHeight="1" x14ac:dyDescent="0.3">
      <c r="A17" s="135" t="s">
        <v>243</v>
      </c>
      <c r="B17" s="138" t="s">
        <v>349</v>
      </c>
      <c r="C17" s="136" t="s">
        <v>248</v>
      </c>
      <c r="D17" s="136">
        <v>1</v>
      </c>
      <c r="E17" s="137" t="s">
        <v>564</v>
      </c>
    </row>
    <row r="18" spans="1:5" x14ac:dyDescent="0.3">
      <c r="A18" s="131" t="s">
        <v>374</v>
      </c>
      <c r="B18" s="134" t="s">
        <v>347</v>
      </c>
      <c r="C18" s="132" t="s">
        <v>244</v>
      </c>
      <c r="D18" s="132" t="s">
        <v>304</v>
      </c>
      <c r="E18" s="129" t="s">
        <v>375</v>
      </c>
    </row>
    <row r="19" spans="1:5" x14ac:dyDescent="0.3">
      <c r="A19" s="135" t="s">
        <v>376</v>
      </c>
      <c r="B19" s="138" t="s">
        <v>347</v>
      </c>
      <c r="C19" s="136" t="s">
        <v>369</v>
      </c>
      <c r="D19" s="136" t="s">
        <v>304</v>
      </c>
      <c r="E19" s="137" t="s">
        <v>565</v>
      </c>
    </row>
    <row r="20" spans="1:5" x14ac:dyDescent="0.3">
      <c r="A20" s="131" t="s">
        <v>250</v>
      </c>
      <c r="B20" s="134" t="s">
        <v>347</v>
      </c>
      <c r="C20" s="132" t="s">
        <v>248</v>
      </c>
      <c r="D20" s="132">
        <v>1</v>
      </c>
      <c r="E20" s="129" t="s">
        <v>377</v>
      </c>
    </row>
    <row r="21" spans="1:5" ht="27.6" x14ac:dyDescent="0.3">
      <c r="A21" s="135" t="s">
        <v>249</v>
      </c>
      <c r="B21" s="138" t="s">
        <v>349</v>
      </c>
      <c r="C21" s="136" t="s">
        <v>244</v>
      </c>
      <c r="D21" s="136">
        <v>1</v>
      </c>
      <c r="E21" s="137" t="s">
        <v>566</v>
      </c>
    </row>
    <row r="22" spans="1:5" x14ac:dyDescent="0.3">
      <c r="A22" s="131" t="s">
        <v>380</v>
      </c>
      <c r="B22" s="134" t="s">
        <v>347</v>
      </c>
      <c r="C22" s="132" t="s">
        <v>244</v>
      </c>
      <c r="D22" s="132" t="s">
        <v>304</v>
      </c>
      <c r="E22" s="129" t="s">
        <v>381</v>
      </c>
    </row>
    <row r="23" spans="1:5" ht="27.6" x14ac:dyDescent="0.3">
      <c r="A23" s="135" t="s">
        <v>247</v>
      </c>
      <c r="B23" s="138" t="s">
        <v>548</v>
      </c>
      <c r="C23" s="136" t="s">
        <v>246</v>
      </c>
      <c r="D23" s="136" t="s">
        <v>304</v>
      </c>
      <c r="E23" s="137" t="s">
        <v>439</v>
      </c>
    </row>
    <row r="24" spans="1:5" x14ac:dyDescent="0.3">
      <c r="A24" s="131" t="s">
        <v>443</v>
      </c>
      <c r="B24" s="134" t="s">
        <v>548</v>
      </c>
      <c r="C24" s="132" t="s">
        <v>291</v>
      </c>
      <c r="D24" s="132" t="s">
        <v>304</v>
      </c>
      <c r="E24" s="129" t="s">
        <v>444</v>
      </c>
    </row>
    <row r="25" spans="1:5" x14ac:dyDescent="0.3">
      <c r="A25" s="135" t="s">
        <v>417</v>
      </c>
      <c r="B25" s="138" t="s">
        <v>349</v>
      </c>
      <c r="C25" s="136" t="s">
        <v>408</v>
      </c>
      <c r="D25" s="136">
        <v>1</v>
      </c>
      <c r="E25" s="137" t="s">
        <v>418</v>
      </c>
    </row>
    <row r="27" spans="1:5" s="198" customFormat="1" ht="15.6" x14ac:dyDescent="0.3">
      <c r="A27" s="221" t="s">
        <v>551</v>
      </c>
      <c r="B27" s="221"/>
      <c r="C27" s="221"/>
      <c r="D27" s="221"/>
      <c r="E27" s="221"/>
    </row>
    <row r="28" spans="1:5" ht="27.6" x14ac:dyDescent="0.3">
      <c r="A28" s="131" t="s">
        <v>396</v>
      </c>
      <c r="B28" s="134" t="s">
        <v>347</v>
      </c>
      <c r="C28" s="132" t="s">
        <v>397</v>
      </c>
      <c r="D28" s="132" t="s">
        <v>304</v>
      </c>
      <c r="E28" s="129" t="s">
        <v>398</v>
      </c>
    </row>
    <row r="29" spans="1:5" x14ac:dyDescent="0.3">
      <c r="A29" s="135" t="s">
        <v>399</v>
      </c>
      <c r="B29" s="138" t="s">
        <v>347</v>
      </c>
      <c r="C29" s="136" t="s">
        <v>291</v>
      </c>
      <c r="D29" s="136" t="s">
        <v>304</v>
      </c>
      <c r="E29" s="137" t="s">
        <v>400</v>
      </c>
    </row>
    <row r="30" spans="1:5" x14ac:dyDescent="0.3">
      <c r="A30" s="131" t="s">
        <v>401</v>
      </c>
      <c r="B30" s="134" t="s">
        <v>347</v>
      </c>
      <c r="C30" s="132" t="s">
        <v>290</v>
      </c>
      <c r="D30" s="132" t="s">
        <v>304</v>
      </c>
      <c r="E30" s="129" t="s">
        <v>402</v>
      </c>
    </row>
    <row r="31" spans="1:5" ht="27.6" x14ac:dyDescent="0.3">
      <c r="A31" s="135" t="s">
        <v>428</v>
      </c>
      <c r="B31" s="138" t="s">
        <v>349</v>
      </c>
      <c r="C31" s="136" t="s">
        <v>429</v>
      </c>
      <c r="D31" s="136" t="s">
        <v>304</v>
      </c>
      <c r="E31" s="137" t="s">
        <v>430</v>
      </c>
    </row>
    <row r="32" spans="1:5" ht="13.8" customHeight="1" x14ac:dyDescent="0.3">
      <c r="A32" s="131" t="s">
        <v>481</v>
      </c>
      <c r="B32" s="134" t="s">
        <v>550</v>
      </c>
      <c r="C32" s="132" t="s">
        <v>263</v>
      </c>
      <c r="D32" s="132" t="s">
        <v>304</v>
      </c>
      <c r="E32" s="129" t="s">
        <v>482</v>
      </c>
    </row>
    <row r="33" spans="1:5" x14ac:dyDescent="0.3">
      <c r="A33" s="135" t="s">
        <v>431</v>
      </c>
      <c r="B33" s="138" t="s">
        <v>349</v>
      </c>
      <c r="C33" s="136" t="s">
        <v>289</v>
      </c>
      <c r="D33" s="136" t="s">
        <v>304</v>
      </c>
      <c r="E33" s="137" t="s">
        <v>432</v>
      </c>
    </row>
    <row r="34" spans="1:5" x14ac:dyDescent="0.3">
      <c r="A34" s="131" t="s">
        <v>433</v>
      </c>
      <c r="B34" s="134" t="s">
        <v>349</v>
      </c>
      <c r="C34" s="132" t="s">
        <v>289</v>
      </c>
      <c r="D34" s="132">
        <v>2</v>
      </c>
      <c r="E34" s="129" t="s">
        <v>434</v>
      </c>
    </row>
    <row r="35" spans="1:5" x14ac:dyDescent="0.3">
      <c r="A35" s="135" t="s">
        <v>435</v>
      </c>
      <c r="B35" s="138" t="s">
        <v>349</v>
      </c>
      <c r="C35" s="136" t="s">
        <v>271</v>
      </c>
      <c r="D35" s="136" t="s">
        <v>304</v>
      </c>
      <c r="E35" s="137" t="s">
        <v>436</v>
      </c>
    </row>
    <row r="36" spans="1:5" x14ac:dyDescent="0.3">
      <c r="A36" s="131" t="s">
        <v>437</v>
      </c>
      <c r="B36" s="134" t="s">
        <v>349</v>
      </c>
      <c r="C36" s="132" t="s">
        <v>268</v>
      </c>
      <c r="D36" s="132" t="s">
        <v>304</v>
      </c>
      <c r="E36" s="129" t="s">
        <v>438</v>
      </c>
    </row>
    <row r="38" spans="1:5" s="198" customFormat="1" ht="15.6" x14ac:dyDescent="0.3">
      <c r="A38" s="221" t="s">
        <v>563</v>
      </c>
      <c r="B38" s="221"/>
      <c r="C38" s="221"/>
      <c r="D38" s="221"/>
      <c r="E38" s="221"/>
    </row>
    <row r="39" spans="1:5" x14ac:dyDescent="0.3">
      <c r="A39" s="131" t="s">
        <v>403</v>
      </c>
      <c r="B39" s="134" t="s">
        <v>347</v>
      </c>
      <c r="C39" s="132" t="s">
        <v>244</v>
      </c>
      <c r="D39" s="132" t="s">
        <v>304</v>
      </c>
      <c r="E39" s="129" t="s">
        <v>404</v>
      </c>
    </row>
    <row r="40" spans="1:5" x14ac:dyDescent="0.3">
      <c r="A40" s="135" t="s">
        <v>405</v>
      </c>
      <c r="B40" s="138" t="s">
        <v>347</v>
      </c>
      <c r="C40" s="136" t="s">
        <v>246</v>
      </c>
      <c r="D40" s="136" t="s">
        <v>304</v>
      </c>
      <c r="E40" s="137" t="s">
        <v>406</v>
      </c>
    </row>
    <row r="41" spans="1:5" x14ac:dyDescent="0.3">
      <c r="A41" s="131" t="s">
        <v>457</v>
      </c>
      <c r="B41" s="134" t="s">
        <v>548</v>
      </c>
      <c r="C41" s="132" t="s">
        <v>248</v>
      </c>
      <c r="D41" s="132" t="s">
        <v>304</v>
      </c>
      <c r="E41" s="129" t="s">
        <v>458</v>
      </c>
    </row>
    <row r="42" spans="1:5" x14ac:dyDescent="0.3">
      <c r="A42" s="135" t="s">
        <v>483</v>
      </c>
      <c r="B42" s="138" t="s">
        <v>550</v>
      </c>
      <c r="C42" s="136" t="s">
        <v>369</v>
      </c>
      <c r="D42" s="136" t="s">
        <v>304</v>
      </c>
      <c r="E42" s="137" t="s">
        <v>484</v>
      </c>
    </row>
    <row r="47" spans="1:5" x14ac:dyDescent="0.3">
      <c r="A47" s="131" t="s">
        <v>644</v>
      </c>
    </row>
    <row r="48" spans="1:5" x14ac:dyDescent="0.3">
      <c r="A48" s="131" t="s">
        <v>645</v>
      </c>
    </row>
    <row r="49" spans="1:5" x14ac:dyDescent="0.3">
      <c r="A49" s="131" t="s">
        <v>646</v>
      </c>
      <c r="E49" s="194"/>
    </row>
    <row r="50" spans="1:5" x14ac:dyDescent="0.3">
      <c r="A50" s="131" t="s">
        <v>647</v>
      </c>
      <c r="E50" s="194"/>
    </row>
    <row r="51" spans="1:5" x14ac:dyDescent="0.3">
      <c r="A51" s="131" t="s">
        <v>648</v>
      </c>
      <c r="E51" s="194" t="s">
        <v>675</v>
      </c>
    </row>
    <row r="52" spans="1:5" s="95" customFormat="1" ht="14.4" x14ac:dyDescent="0.3">
      <c r="A52" s="197" t="s">
        <v>45</v>
      </c>
      <c r="B52" s="103" t="s">
        <v>674</v>
      </c>
      <c r="C52" s="103" t="s">
        <v>238</v>
      </c>
      <c r="D52" s="103" t="s">
        <v>46</v>
      </c>
      <c r="E52" s="197" t="s">
        <v>27</v>
      </c>
    </row>
    <row r="53" spans="1:5" x14ac:dyDescent="0.3">
      <c r="A53" s="130"/>
      <c r="B53" s="133"/>
      <c r="C53" s="133"/>
      <c r="D53" s="133"/>
      <c r="E53" s="130"/>
    </row>
    <row r="54" spans="1:5" ht="15.6" x14ac:dyDescent="0.3">
      <c r="A54" s="221" t="s">
        <v>549</v>
      </c>
      <c r="B54" s="221"/>
      <c r="C54" s="221"/>
      <c r="D54" s="221"/>
      <c r="E54" s="221"/>
    </row>
    <row r="55" spans="1:5" x14ac:dyDescent="0.3">
      <c r="A55" s="131" t="s">
        <v>387</v>
      </c>
      <c r="B55" s="134" t="s">
        <v>347</v>
      </c>
      <c r="C55" s="132" t="s">
        <v>369</v>
      </c>
      <c r="D55" s="132">
        <v>1</v>
      </c>
      <c r="E55" s="129" t="s">
        <v>388</v>
      </c>
    </row>
    <row r="56" spans="1:5" x14ac:dyDescent="0.3">
      <c r="A56" s="182" t="s">
        <v>419</v>
      </c>
      <c r="B56" s="183" t="s">
        <v>349</v>
      </c>
      <c r="C56" s="184" t="s">
        <v>420</v>
      </c>
      <c r="D56" s="184">
        <v>1</v>
      </c>
      <c r="E56" s="185" t="s">
        <v>421</v>
      </c>
    </row>
    <row r="57" spans="1:5" x14ac:dyDescent="0.3">
      <c r="A57" s="131" t="s">
        <v>447</v>
      </c>
      <c r="B57" s="134" t="s">
        <v>548</v>
      </c>
      <c r="C57" s="132" t="s">
        <v>408</v>
      </c>
      <c r="D57" s="132">
        <v>2</v>
      </c>
      <c r="E57" s="129" t="s">
        <v>448</v>
      </c>
    </row>
    <row r="58" spans="1:5" x14ac:dyDescent="0.3">
      <c r="A58" s="182" t="s">
        <v>473</v>
      </c>
      <c r="B58" s="183" t="s">
        <v>550</v>
      </c>
      <c r="C58" s="184" t="s">
        <v>290</v>
      </c>
      <c r="D58" s="184">
        <v>3</v>
      </c>
      <c r="E58" s="185" t="s">
        <v>474</v>
      </c>
    </row>
    <row r="59" spans="1:5" x14ac:dyDescent="0.3">
      <c r="A59" s="131" t="s">
        <v>389</v>
      </c>
      <c r="B59" s="134" t="s">
        <v>347</v>
      </c>
      <c r="C59" s="132" t="s">
        <v>246</v>
      </c>
      <c r="D59" s="132">
        <v>2</v>
      </c>
      <c r="E59" s="129" t="s">
        <v>390</v>
      </c>
    </row>
    <row r="60" spans="1:5" x14ac:dyDescent="0.3">
      <c r="A60" s="182" t="s">
        <v>449</v>
      </c>
      <c r="B60" s="183" t="s">
        <v>548</v>
      </c>
      <c r="C60" s="184" t="s">
        <v>420</v>
      </c>
      <c r="D60" s="184">
        <v>2</v>
      </c>
      <c r="E60" s="185" t="s">
        <v>450</v>
      </c>
    </row>
    <row r="61" spans="1:5" x14ac:dyDescent="0.3">
      <c r="A61" s="131" t="s">
        <v>51</v>
      </c>
      <c r="B61" s="134" t="s">
        <v>349</v>
      </c>
      <c r="C61" s="132" t="s">
        <v>246</v>
      </c>
      <c r="D61" s="132">
        <v>2</v>
      </c>
      <c r="E61" s="129" t="s">
        <v>422</v>
      </c>
    </row>
    <row r="62" spans="1:5" x14ac:dyDescent="0.3">
      <c r="A62" s="182" t="s">
        <v>451</v>
      </c>
      <c r="B62" s="183" t="s">
        <v>548</v>
      </c>
      <c r="C62" s="184" t="s">
        <v>420</v>
      </c>
      <c r="D62" s="184">
        <v>2</v>
      </c>
      <c r="E62" s="185" t="s">
        <v>422</v>
      </c>
    </row>
    <row r="63" spans="1:5" x14ac:dyDescent="0.3">
      <c r="A63" s="131" t="s">
        <v>391</v>
      </c>
      <c r="B63" s="134" t="s">
        <v>347</v>
      </c>
      <c r="C63" s="132" t="s">
        <v>392</v>
      </c>
      <c r="D63" s="132">
        <v>2</v>
      </c>
      <c r="E63" s="129" t="s">
        <v>393</v>
      </c>
    </row>
    <row r="64" spans="1:5" x14ac:dyDescent="0.3">
      <c r="A64" s="182" t="s">
        <v>475</v>
      </c>
      <c r="B64" s="183" t="s">
        <v>550</v>
      </c>
      <c r="C64" s="184" t="s">
        <v>420</v>
      </c>
      <c r="D64" s="184">
        <v>3</v>
      </c>
      <c r="E64" s="185" t="s">
        <v>474</v>
      </c>
    </row>
    <row r="65" spans="1:5" x14ac:dyDescent="0.3">
      <c r="A65" s="131" t="s">
        <v>133</v>
      </c>
      <c r="B65" s="134" t="s">
        <v>347</v>
      </c>
      <c r="C65" s="132" t="s">
        <v>244</v>
      </c>
      <c r="D65" s="132">
        <v>1</v>
      </c>
      <c r="E65" s="129" t="s">
        <v>394</v>
      </c>
    </row>
    <row r="66" spans="1:5" x14ac:dyDescent="0.3">
      <c r="A66" s="182" t="s">
        <v>423</v>
      </c>
      <c r="B66" s="183" t="s">
        <v>349</v>
      </c>
      <c r="C66" s="184" t="s">
        <v>289</v>
      </c>
      <c r="D66" s="184">
        <v>1</v>
      </c>
      <c r="E66" s="185" t="s">
        <v>424</v>
      </c>
    </row>
    <row r="67" spans="1:5" x14ac:dyDescent="0.3">
      <c r="A67" s="131" t="s">
        <v>119</v>
      </c>
      <c r="B67" s="134" t="s">
        <v>548</v>
      </c>
      <c r="C67" s="132" t="s">
        <v>397</v>
      </c>
      <c r="D67" s="132">
        <v>2</v>
      </c>
      <c r="E67" s="129" t="s">
        <v>452</v>
      </c>
    </row>
    <row r="68" spans="1:5" x14ac:dyDescent="0.3">
      <c r="A68" s="182" t="s">
        <v>453</v>
      </c>
      <c r="B68" s="183" t="s">
        <v>548</v>
      </c>
      <c r="C68" s="184" t="s">
        <v>291</v>
      </c>
      <c r="D68" s="184">
        <v>2</v>
      </c>
      <c r="E68" s="185" t="s">
        <v>567</v>
      </c>
    </row>
    <row r="69" spans="1:5" x14ac:dyDescent="0.3">
      <c r="A69" s="131" t="s">
        <v>476</v>
      </c>
      <c r="B69" s="134" t="s">
        <v>550</v>
      </c>
      <c r="C69" s="132" t="s">
        <v>268</v>
      </c>
      <c r="D69" s="132">
        <v>3</v>
      </c>
      <c r="E69" s="129" t="s">
        <v>568</v>
      </c>
    </row>
    <row r="70" spans="1:5" x14ac:dyDescent="0.3">
      <c r="A70" s="182" t="s">
        <v>52</v>
      </c>
      <c r="B70" s="183" t="s">
        <v>347</v>
      </c>
      <c r="C70" s="184" t="s">
        <v>244</v>
      </c>
      <c r="D70" s="184" t="s">
        <v>304</v>
      </c>
      <c r="E70" s="185" t="s">
        <v>395</v>
      </c>
    </row>
    <row r="71" spans="1:5" x14ac:dyDescent="0.3">
      <c r="A71" s="131" t="s">
        <v>255</v>
      </c>
      <c r="B71" s="134" t="s">
        <v>349</v>
      </c>
      <c r="C71" s="132" t="s">
        <v>246</v>
      </c>
      <c r="D71" s="132">
        <v>1</v>
      </c>
      <c r="E71" s="129" t="s">
        <v>302</v>
      </c>
    </row>
    <row r="72" spans="1:5" x14ac:dyDescent="0.3">
      <c r="A72" s="182" t="s">
        <v>445</v>
      </c>
      <c r="B72" s="183" t="s">
        <v>548</v>
      </c>
      <c r="C72" s="184" t="s">
        <v>246</v>
      </c>
      <c r="D72" s="184">
        <v>1</v>
      </c>
      <c r="E72" s="185" t="s">
        <v>446</v>
      </c>
    </row>
    <row r="73" spans="1:5" x14ac:dyDescent="0.3">
      <c r="A73" s="131" t="s">
        <v>257</v>
      </c>
      <c r="B73" s="134" t="s">
        <v>347</v>
      </c>
      <c r="C73" s="132" t="s">
        <v>244</v>
      </c>
      <c r="D73" s="132">
        <v>1</v>
      </c>
      <c r="E73" s="129" t="s">
        <v>386</v>
      </c>
    </row>
    <row r="74" spans="1:5" x14ac:dyDescent="0.3">
      <c r="A74" s="182" t="s">
        <v>425</v>
      </c>
      <c r="B74" s="183" t="s">
        <v>349</v>
      </c>
      <c r="C74" s="184" t="s">
        <v>290</v>
      </c>
      <c r="D74" s="184">
        <v>1</v>
      </c>
      <c r="E74" s="185" t="s">
        <v>678</v>
      </c>
    </row>
    <row r="75" spans="1:5" x14ac:dyDescent="0.3">
      <c r="A75" s="131" t="s">
        <v>426</v>
      </c>
      <c r="B75" s="134" t="s">
        <v>349</v>
      </c>
      <c r="C75" s="132" t="s">
        <v>427</v>
      </c>
      <c r="D75" s="132">
        <v>2</v>
      </c>
      <c r="E75" s="129" t="s">
        <v>679</v>
      </c>
    </row>
    <row r="76" spans="1:5" x14ac:dyDescent="0.3">
      <c r="A76" s="182" t="s">
        <v>454</v>
      </c>
      <c r="B76" s="183" t="s">
        <v>548</v>
      </c>
      <c r="C76" s="184" t="s">
        <v>291</v>
      </c>
      <c r="D76" s="184">
        <v>2</v>
      </c>
      <c r="E76" s="185" t="s">
        <v>680</v>
      </c>
    </row>
    <row r="77" spans="1:5" x14ac:dyDescent="0.3">
      <c r="A77" s="131" t="s">
        <v>456</v>
      </c>
      <c r="B77" s="134" t="s">
        <v>548</v>
      </c>
      <c r="C77" s="132" t="s">
        <v>397</v>
      </c>
      <c r="D77" s="132">
        <v>2</v>
      </c>
      <c r="E77" s="129" t="s">
        <v>681</v>
      </c>
    </row>
    <row r="78" spans="1:5" x14ac:dyDescent="0.3">
      <c r="A78" s="182" t="s">
        <v>479</v>
      </c>
      <c r="B78" s="183" t="s">
        <v>550</v>
      </c>
      <c r="C78" s="184" t="s">
        <v>477</v>
      </c>
      <c r="D78" s="184">
        <v>3</v>
      </c>
      <c r="E78" s="185" t="s">
        <v>682</v>
      </c>
    </row>
    <row r="79" spans="1:5" x14ac:dyDescent="0.3">
      <c r="A79" s="131" t="s">
        <v>683</v>
      </c>
      <c r="B79" s="134" t="s">
        <v>550</v>
      </c>
      <c r="C79" s="132" t="s">
        <v>480</v>
      </c>
      <c r="D79" s="132">
        <v>3</v>
      </c>
      <c r="E79" s="129" t="s">
        <v>684</v>
      </c>
    </row>
    <row r="80" spans="1:5" x14ac:dyDescent="0.3">
      <c r="A80" s="182" t="s">
        <v>685</v>
      </c>
      <c r="B80" s="183" t="s">
        <v>550</v>
      </c>
      <c r="C80" s="184" t="s">
        <v>686</v>
      </c>
      <c r="D80" s="184">
        <v>4</v>
      </c>
      <c r="E80" s="185" t="s">
        <v>687</v>
      </c>
    </row>
    <row r="81" spans="1:5" x14ac:dyDescent="0.3">
      <c r="A81" s="131" t="s">
        <v>200</v>
      </c>
      <c r="B81" s="134" t="s">
        <v>349</v>
      </c>
      <c r="C81" s="132" t="s">
        <v>408</v>
      </c>
      <c r="D81" s="132">
        <v>2</v>
      </c>
      <c r="E81" s="129" t="s">
        <v>676</v>
      </c>
    </row>
    <row r="82" spans="1:5" x14ac:dyDescent="0.3">
      <c r="A82" s="182" t="s">
        <v>235</v>
      </c>
      <c r="B82" s="183" t="s">
        <v>548</v>
      </c>
      <c r="C82" s="184" t="s">
        <v>408</v>
      </c>
      <c r="D82" s="184">
        <v>3</v>
      </c>
      <c r="E82" s="185" t="s">
        <v>677</v>
      </c>
    </row>
    <row r="84" spans="1:5" ht="15.6" x14ac:dyDescent="0.3">
      <c r="A84" s="221" t="s">
        <v>561</v>
      </c>
      <c r="B84" s="221"/>
      <c r="C84" s="221"/>
      <c r="D84" s="221"/>
      <c r="E84" s="221"/>
    </row>
    <row r="85" spans="1:5" x14ac:dyDescent="0.3">
      <c r="A85" s="131" t="s">
        <v>513</v>
      </c>
      <c r="B85" s="134" t="s">
        <v>562</v>
      </c>
      <c r="C85" s="132" t="s">
        <v>514</v>
      </c>
      <c r="D85" s="132">
        <v>1</v>
      </c>
      <c r="E85" s="129" t="s">
        <v>515</v>
      </c>
    </row>
    <row r="86" spans="1:5" x14ac:dyDescent="0.3">
      <c r="A86" s="182" t="s">
        <v>516</v>
      </c>
      <c r="B86" s="183" t="s">
        <v>562</v>
      </c>
      <c r="C86" s="184" t="s">
        <v>517</v>
      </c>
      <c r="D86" s="184">
        <v>2</v>
      </c>
      <c r="E86" s="185" t="s">
        <v>518</v>
      </c>
    </row>
    <row r="87" spans="1:5" x14ac:dyDescent="0.3">
      <c r="A87" s="131" t="s">
        <v>519</v>
      </c>
      <c r="B87" s="134" t="s">
        <v>562</v>
      </c>
      <c r="C87" s="132" t="s">
        <v>514</v>
      </c>
      <c r="D87" s="132">
        <v>2</v>
      </c>
      <c r="E87" s="129" t="s">
        <v>520</v>
      </c>
    </row>
    <row r="88" spans="1:5" x14ac:dyDescent="0.3">
      <c r="A88" s="182" t="s">
        <v>521</v>
      </c>
      <c r="B88" s="183" t="s">
        <v>562</v>
      </c>
      <c r="C88" s="184" t="s">
        <v>517</v>
      </c>
      <c r="D88" s="184">
        <v>2</v>
      </c>
      <c r="E88" s="185" t="s">
        <v>520</v>
      </c>
    </row>
    <row r="89" spans="1:5" x14ac:dyDescent="0.3">
      <c r="A89" s="131" t="s">
        <v>522</v>
      </c>
      <c r="B89" s="134" t="s">
        <v>562</v>
      </c>
      <c r="C89" s="132" t="s">
        <v>523</v>
      </c>
      <c r="D89" s="132">
        <v>1</v>
      </c>
      <c r="E89" s="129" t="s">
        <v>524</v>
      </c>
    </row>
    <row r="90" spans="1:5" x14ac:dyDescent="0.3">
      <c r="A90" s="182" t="s">
        <v>525</v>
      </c>
      <c r="B90" s="183" t="s">
        <v>562</v>
      </c>
      <c r="C90" s="184" t="s">
        <v>526</v>
      </c>
      <c r="D90" s="184">
        <v>1</v>
      </c>
      <c r="E90" s="185" t="s">
        <v>527</v>
      </c>
    </row>
    <row r="91" spans="1:5" x14ac:dyDescent="0.3">
      <c r="A91" s="131" t="s">
        <v>528</v>
      </c>
      <c r="B91" s="134" t="s">
        <v>562</v>
      </c>
      <c r="C91" s="132" t="s">
        <v>489</v>
      </c>
      <c r="D91" s="132">
        <v>1</v>
      </c>
      <c r="E91" s="129" t="s">
        <v>529</v>
      </c>
    </row>
    <row r="92" spans="1:5" x14ac:dyDescent="0.3">
      <c r="A92" s="182" t="s">
        <v>530</v>
      </c>
      <c r="B92" s="183" t="s">
        <v>562</v>
      </c>
      <c r="C92" s="184" t="s">
        <v>517</v>
      </c>
      <c r="D92" s="184">
        <v>2</v>
      </c>
      <c r="E92" s="185" t="s">
        <v>455</v>
      </c>
    </row>
    <row r="93" spans="1:5" x14ac:dyDescent="0.3">
      <c r="A93" s="131" t="s">
        <v>531</v>
      </c>
      <c r="B93" s="134" t="s">
        <v>562</v>
      </c>
      <c r="C93" s="132" t="s">
        <v>532</v>
      </c>
      <c r="D93" s="132">
        <v>3</v>
      </c>
      <c r="E93" s="129" t="s">
        <v>478</v>
      </c>
    </row>
    <row r="94" spans="1:5" x14ac:dyDescent="0.3">
      <c r="A94" s="182" t="s">
        <v>533</v>
      </c>
      <c r="B94" s="183" t="s">
        <v>562</v>
      </c>
      <c r="C94" s="184" t="s">
        <v>514</v>
      </c>
      <c r="D94" s="184">
        <v>1</v>
      </c>
      <c r="E94" s="185" t="s">
        <v>534</v>
      </c>
    </row>
    <row r="95" spans="1:5" x14ac:dyDescent="0.3">
      <c r="A95" s="131" t="s">
        <v>535</v>
      </c>
      <c r="B95" s="134" t="s">
        <v>562</v>
      </c>
      <c r="C95" s="132" t="s">
        <v>536</v>
      </c>
      <c r="D95" s="132" t="s">
        <v>304</v>
      </c>
      <c r="E95" s="129" t="s">
        <v>537</v>
      </c>
    </row>
    <row r="96" spans="1:5" x14ac:dyDescent="0.3">
      <c r="A96" s="182" t="s">
        <v>538</v>
      </c>
      <c r="B96" s="183" t="s">
        <v>562</v>
      </c>
      <c r="C96" s="184" t="s">
        <v>526</v>
      </c>
      <c r="D96" s="184">
        <v>1</v>
      </c>
      <c r="E96" s="185" t="s">
        <v>539</v>
      </c>
    </row>
    <row r="97" spans="1:5" ht="27.6" x14ac:dyDescent="0.3">
      <c r="A97" s="131" t="s">
        <v>540</v>
      </c>
      <c r="B97" s="134" t="s">
        <v>562</v>
      </c>
      <c r="C97" s="132" t="s">
        <v>526</v>
      </c>
      <c r="D97" s="132">
        <v>1</v>
      </c>
      <c r="E97" s="129" t="s">
        <v>541</v>
      </c>
    </row>
    <row r="98" spans="1:5" x14ac:dyDescent="0.3">
      <c r="A98" s="182" t="s">
        <v>542</v>
      </c>
      <c r="B98" s="183" t="s">
        <v>562</v>
      </c>
      <c r="C98" s="184" t="s">
        <v>517</v>
      </c>
      <c r="D98" s="184">
        <v>1</v>
      </c>
      <c r="E98" s="185" t="s">
        <v>543</v>
      </c>
    </row>
    <row r="99" spans="1:5" x14ac:dyDescent="0.3">
      <c r="A99" s="131" t="s">
        <v>544</v>
      </c>
      <c r="B99" s="134" t="s">
        <v>562</v>
      </c>
      <c r="C99" s="132" t="s">
        <v>545</v>
      </c>
      <c r="D99" s="132">
        <v>1</v>
      </c>
      <c r="E99" s="129" t="s">
        <v>546</v>
      </c>
    </row>
    <row r="103" spans="1:5" x14ac:dyDescent="0.3">
      <c r="E103" s="194"/>
    </row>
    <row r="104" spans="1:5" x14ac:dyDescent="0.3">
      <c r="E104" s="194"/>
    </row>
    <row r="106" spans="1:5" x14ac:dyDescent="0.3">
      <c r="E106" s="194" t="s">
        <v>675</v>
      </c>
    </row>
    <row r="107" spans="1:5" s="95" customFormat="1" ht="14.4" x14ac:dyDescent="0.3">
      <c r="A107" s="197" t="s">
        <v>45</v>
      </c>
      <c r="B107" s="103" t="s">
        <v>674</v>
      </c>
      <c r="C107" s="103" t="s">
        <v>238</v>
      </c>
      <c r="D107" s="103" t="s">
        <v>46</v>
      </c>
      <c r="E107" s="197" t="s">
        <v>27</v>
      </c>
    </row>
    <row r="108" spans="1:5" x14ac:dyDescent="0.3">
      <c r="A108" s="130"/>
      <c r="B108" s="133"/>
      <c r="C108" s="133"/>
      <c r="D108" s="133"/>
      <c r="E108" s="130"/>
    </row>
    <row r="109" spans="1:5" ht="15.6" x14ac:dyDescent="0.3">
      <c r="A109" s="221" t="s">
        <v>552</v>
      </c>
      <c r="B109" s="221"/>
      <c r="C109" s="221"/>
      <c r="D109" s="221"/>
      <c r="E109" s="221"/>
    </row>
    <row r="110" spans="1:5" x14ac:dyDescent="0.3">
      <c r="A110" s="131" t="s">
        <v>382</v>
      </c>
      <c r="B110" s="134" t="s">
        <v>347</v>
      </c>
      <c r="C110" s="132" t="s">
        <v>246</v>
      </c>
      <c r="D110" s="132" t="s">
        <v>304</v>
      </c>
      <c r="E110" s="129" t="s">
        <v>383</v>
      </c>
    </row>
    <row r="111" spans="1:5" x14ac:dyDescent="0.3">
      <c r="A111" s="186" t="s">
        <v>441</v>
      </c>
      <c r="B111" s="187" t="s">
        <v>548</v>
      </c>
      <c r="C111" s="188" t="s">
        <v>289</v>
      </c>
      <c r="D111" s="188" t="s">
        <v>304</v>
      </c>
      <c r="E111" s="189" t="s">
        <v>442</v>
      </c>
    </row>
    <row r="112" spans="1:5" x14ac:dyDescent="0.3">
      <c r="A112" s="131" t="s">
        <v>253</v>
      </c>
      <c r="B112" s="134" t="s">
        <v>548</v>
      </c>
      <c r="C112" s="132" t="s">
        <v>289</v>
      </c>
      <c r="D112" s="132" t="s">
        <v>304</v>
      </c>
      <c r="E112" s="129" t="s">
        <v>440</v>
      </c>
    </row>
    <row r="113" spans="1:5" x14ac:dyDescent="0.3">
      <c r="A113" s="186" t="s">
        <v>384</v>
      </c>
      <c r="B113" s="187" t="s">
        <v>347</v>
      </c>
      <c r="C113" s="188" t="s">
        <v>244</v>
      </c>
      <c r="D113" s="188" t="s">
        <v>304</v>
      </c>
      <c r="E113" s="189" t="s">
        <v>385</v>
      </c>
    </row>
    <row r="114" spans="1:5" x14ac:dyDescent="0.3">
      <c r="A114" s="131" t="s">
        <v>378</v>
      </c>
      <c r="B114" s="134" t="s">
        <v>347</v>
      </c>
      <c r="C114" s="132" t="s">
        <v>244</v>
      </c>
      <c r="D114" s="132">
        <v>1</v>
      </c>
      <c r="E114" s="129" t="s">
        <v>379</v>
      </c>
    </row>
    <row r="115" spans="1:5" x14ac:dyDescent="0.3">
      <c r="A115" s="186" t="s">
        <v>570</v>
      </c>
      <c r="B115" s="187" t="s">
        <v>548</v>
      </c>
      <c r="C115" s="188" t="s">
        <v>291</v>
      </c>
      <c r="D115" s="188">
        <v>1</v>
      </c>
      <c r="E115" s="189" t="s">
        <v>571</v>
      </c>
    </row>
    <row r="116" spans="1:5" x14ac:dyDescent="0.3">
      <c r="A116" s="131" t="s">
        <v>572</v>
      </c>
      <c r="B116" s="134" t="s">
        <v>349</v>
      </c>
      <c r="C116" s="132" t="s">
        <v>246</v>
      </c>
      <c r="D116" s="132" t="s">
        <v>304</v>
      </c>
      <c r="E116" s="129" t="s">
        <v>573</v>
      </c>
    </row>
    <row r="117" spans="1:5" x14ac:dyDescent="0.3">
      <c r="A117" s="186" t="s">
        <v>574</v>
      </c>
      <c r="B117" s="187" t="s">
        <v>349</v>
      </c>
      <c r="C117" s="188" t="s">
        <v>369</v>
      </c>
      <c r="D117" s="188" t="s">
        <v>304</v>
      </c>
      <c r="E117" s="189" t="s">
        <v>575</v>
      </c>
    </row>
    <row r="118" spans="1:5" x14ac:dyDescent="0.3">
      <c r="A118" s="131" t="s">
        <v>576</v>
      </c>
      <c r="B118" s="134" t="s">
        <v>548</v>
      </c>
      <c r="C118" s="132" t="s">
        <v>290</v>
      </c>
      <c r="D118" s="132" t="s">
        <v>304</v>
      </c>
      <c r="E118" s="129" t="s">
        <v>577</v>
      </c>
    </row>
    <row r="119" spans="1:5" x14ac:dyDescent="0.3">
      <c r="A119" s="186" t="s">
        <v>578</v>
      </c>
      <c r="B119" s="187" t="s">
        <v>349</v>
      </c>
      <c r="C119" s="188" t="s">
        <v>248</v>
      </c>
      <c r="D119" s="188" t="s">
        <v>304</v>
      </c>
      <c r="E119" s="189" t="s">
        <v>579</v>
      </c>
    </row>
    <row r="120" spans="1:5" x14ac:dyDescent="0.3">
      <c r="A120" s="131" t="s">
        <v>580</v>
      </c>
      <c r="B120" s="134" t="s">
        <v>349</v>
      </c>
      <c r="C120" s="132" t="s">
        <v>289</v>
      </c>
      <c r="D120" s="132">
        <v>1</v>
      </c>
      <c r="E120" s="129" t="s">
        <v>581</v>
      </c>
    </row>
    <row r="121" spans="1:5" ht="27.6" x14ac:dyDescent="0.3">
      <c r="A121" s="186" t="s">
        <v>582</v>
      </c>
      <c r="B121" s="187" t="s">
        <v>349</v>
      </c>
      <c r="C121" s="188" t="s">
        <v>246</v>
      </c>
      <c r="D121" s="188">
        <v>1</v>
      </c>
      <c r="E121" s="189" t="s">
        <v>583</v>
      </c>
    </row>
    <row r="122" spans="1:5" ht="27.6" x14ac:dyDescent="0.3">
      <c r="A122" s="131" t="s">
        <v>612</v>
      </c>
      <c r="B122" s="134" t="s">
        <v>548</v>
      </c>
      <c r="C122" s="132" t="s">
        <v>290</v>
      </c>
      <c r="D122" s="132">
        <v>1</v>
      </c>
      <c r="E122" s="129" t="s">
        <v>613</v>
      </c>
    </row>
    <row r="123" spans="1:5" x14ac:dyDescent="0.3">
      <c r="A123" s="186" t="s">
        <v>614</v>
      </c>
      <c r="B123" s="187" t="s">
        <v>349</v>
      </c>
      <c r="C123" s="188" t="s">
        <v>248</v>
      </c>
      <c r="D123" s="188" t="s">
        <v>304</v>
      </c>
      <c r="E123" s="189" t="s">
        <v>615</v>
      </c>
    </row>
    <row r="124" spans="1:5" x14ac:dyDescent="0.3">
      <c r="A124" s="131" t="s">
        <v>616</v>
      </c>
      <c r="B124" s="134" t="s">
        <v>548</v>
      </c>
      <c r="C124" s="132" t="s">
        <v>291</v>
      </c>
      <c r="D124" s="132" t="s">
        <v>304</v>
      </c>
      <c r="E124" s="129" t="s">
        <v>617</v>
      </c>
    </row>
    <row r="125" spans="1:5" ht="13.8" customHeight="1" x14ac:dyDescent="0.3">
      <c r="A125" s="186" t="s">
        <v>275</v>
      </c>
      <c r="B125" s="187" t="s">
        <v>548</v>
      </c>
      <c r="C125" s="188" t="s">
        <v>271</v>
      </c>
      <c r="D125" s="188" t="s">
        <v>304</v>
      </c>
      <c r="E125" s="189" t="s">
        <v>609</v>
      </c>
    </row>
    <row r="126" spans="1:5" ht="27.6" x14ac:dyDescent="0.3">
      <c r="A126" s="131" t="s">
        <v>277</v>
      </c>
      <c r="B126" s="134" t="s">
        <v>548</v>
      </c>
      <c r="C126" s="132" t="s">
        <v>268</v>
      </c>
      <c r="D126" s="132" t="s">
        <v>304</v>
      </c>
      <c r="E126" s="129" t="s">
        <v>471</v>
      </c>
    </row>
    <row r="127" spans="1:5" ht="27.6" x14ac:dyDescent="0.3">
      <c r="A127" s="186" t="s">
        <v>276</v>
      </c>
      <c r="B127" s="187" t="s">
        <v>548</v>
      </c>
      <c r="C127" s="188" t="s">
        <v>271</v>
      </c>
      <c r="D127" s="188" t="s">
        <v>304</v>
      </c>
      <c r="E127" s="189" t="s">
        <v>472</v>
      </c>
    </row>
    <row r="128" spans="1:5" ht="27.6" x14ac:dyDescent="0.3">
      <c r="A128" s="131" t="s">
        <v>469</v>
      </c>
      <c r="B128" s="134" t="s">
        <v>548</v>
      </c>
      <c r="C128" s="132" t="s">
        <v>271</v>
      </c>
      <c r="D128" s="132" t="s">
        <v>304</v>
      </c>
      <c r="E128" s="129" t="s">
        <v>470</v>
      </c>
    </row>
    <row r="129" spans="1:5" ht="27.6" x14ac:dyDescent="0.3">
      <c r="A129" s="186" t="s">
        <v>584</v>
      </c>
      <c r="B129" s="187" t="s">
        <v>548</v>
      </c>
      <c r="C129" s="188" t="s">
        <v>268</v>
      </c>
      <c r="D129" s="188" t="s">
        <v>304</v>
      </c>
      <c r="E129" s="189" t="s">
        <v>610</v>
      </c>
    </row>
    <row r="130" spans="1:5" x14ac:dyDescent="0.3">
      <c r="A130" s="131" t="s">
        <v>590</v>
      </c>
      <c r="B130" s="134" t="s">
        <v>548</v>
      </c>
      <c r="C130" s="132" t="s">
        <v>271</v>
      </c>
      <c r="D130" s="132" t="s">
        <v>304</v>
      </c>
      <c r="E130" s="129" t="s">
        <v>591</v>
      </c>
    </row>
    <row r="131" spans="1:5" ht="13.8" customHeight="1" x14ac:dyDescent="0.3">
      <c r="A131" s="186" t="s">
        <v>588</v>
      </c>
      <c r="B131" s="187" t="s">
        <v>548</v>
      </c>
      <c r="C131" s="188" t="s">
        <v>271</v>
      </c>
      <c r="D131" s="188" t="s">
        <v>304</v>
      </c>
      <c r="E131" s="189" t="s">
        <v>589</v>
      </c>
    </row>
    <row r="132" spans="1:5" ht="27.6" x14ac:dyDescent="0.3">
      <c r="A132" s="131" t="s">
        <v>585</v>
      </c>
      <c r="B132" s="134" t="s">
        <v>550</v>
      </c>
      <c r="C132" s="132" t="s">
        <v>265</v>
      </c>
      <c r="D132" s="132" t="s">
        <v>304</v>
      </c>
      <c r="E132" s="129" t="s">
        <v>586</v>
      </c>
    </row>
    <row r="133" spans="1:5" ht="27.6" x14ac:dyDescent="0.3">
      <c r="A133" s="186" t="s">
        <v>512</v>
      </c>
      <c r="B133" s="187" t="s">
        <v>550</v>
      </c>
      <c r="C133" s="188" t="s">
        <v>265</v>
      </c>
      <c r="D133" s="188" t="s">
        <v>304</v>
      </c>
      <c r="E133" s="189" t="s">
        <v>587</v>
      </c>
    </row>
    <row r="134" spans="1:5" x14ac:dyDescent="0.3">
      <c r="A134" s="131" t="s">
        <v>507</v>
      </c>
      <c r="B134" s="134" t="s">
        <v>550</v>
      </c>
      <c r="C134" s="132" t="s">
        <v>265</v>
      </c>
      <c r="D134" s="132" t="s">
        <v>304</v>
      </c>
      <c r="E134" s="129" t="s">
        <v>611</v>
      </c>
    </row>
    <row r="135" spans="1:5" x14ac:dyDescent="0.3">
      <c r="A135" s="186" t="s">
        <v>594</v>
      </c>
      <c r="B135" s="187" t="s">
        <v>550</v>
      </c>
      <c r="C135" s="188" t="s">
        <v>261</v>
      </c>
      <c r="D135" s="188" t="s">
        <v>304</v>
      </c>
      <c r="E135" s="189" t="s">
        <v>595</v>
      </c>
    </row>
    <row r="136" spans="1:5" x14ac:dyDescent="0.3">
      <c r="A136" s="131" t="s">
        <v>592</v>
      </c>
      <c r="B136" s="134" t="s">
        <v>550</v>
      </c>
      <c r="C136" s="132" t="s">
        <v>261</v>
      </c>
      <c r="D136" s="132" t="s">
        <v>304</v>
      </c>
      <c r="E136" s="129" t="s">
        <v>593</v>
      </c>
    </row>
    <row r="137" spans="1:5" ht="13.8" customHeight="1" x14ac:dyDescent="0.3">
      <c r="A137" s="186" t="s">
        <v>596</v>
      </c>
      <c r="B137" s="187" t="s">
        <v>550</v>
      </c>
      <c r="C137" s="188" t="s">
        <v>284</v>
      </c>
      <c r="D137" s="188" t="s">
        <v>304</v>
      </c>
      <c r="E137" s="189" t="s">
        <v>597</v>
      </c>
    </row>
    <row r="138" spans="1:5" x14ac:dyDescent="0.3">
      <c r="A138" s="131" t="s">
        <v>553</v>
      </c>
      <c r="B138" s="134" t="s">
        <v>548</v>
      </c>
      <c r="C138" s="132" t="s">
        <v>268</v>
      </c>
      <c r="D138" s="132" t="s">
        <v>304</v>
      </c>
      <c r="E138" s="129" t="s">
        <v>554</v>
      </c>
    </row>
    <row r="139" spans="1:5" x14ac:dyDescent="0.3">
      <c r="A139" s="186" t="s">
        <v>598</v>
      </c>
      <c r="B139" s="187" t="s">
        <v>349</v>
      </c>
      <c r="C139" s="188" t="s">
        <v>408</v>
      </c>
      <c r="D139" s="188" t="s">
        <v>304</v>
      </c>
      <c r="E139" s="189" t="s">
        <v>599</v>
      </c>
    </row>
    <row r="140" spans="1:5" x14ac:dyDescent="0.3">
      <c r="A140" s="131" t="s">
        <v>555</v>
      </c>
      <c r="B140" s="134" t="s">
        <v>548</v>
      </c>
      <c r="C140" s="132" t="s">
        <v>271</v>
      </c>
      <c r="D140" s="132" t="s">
        <v>304</v>
      </c>
      <c r="E140" s="129" t="s">
        <v>556</v>
      </c>
    </row>
    <row r="141" spans="1:5" x14ac:dyDescent="0.3">
      <c r="A141" s="186" t="s">
        <v>600</v>
      </c>
      <c r="B141" s="187" t="s">
        <v>548</v>
      </c>
      <c r="C141" s="188" t="s">
        <v>271</v>
      </c>
      <c r="D141" s="188" t="s">
        <v>304</v>
      </c>
      <c r="E141" s="189" t="s">
        <v>601</v>
      </c>
    </row>
    <row r="142" spans="1:5" x14ac:dyDescent="0.3">
      <c r="A142" s="131" t="s">
        <v>557</v>
      </c>
      <c r="B142" s="134" t="s">
        <v>550</v>
      </c>
      <c r="C142" s="132" t="s">
        <v>259</v>
      </c>
      <c r="D142" s="132" t="s">
        <v>304</v>
      </c>
      <c r="E142" s="129" t="s">
        <v>558</v>
      </c>
    </row>
    <row r="143" spans="1:5" x14ac:dyDescent="0.3">
      <c r="A143" s="186" t="s">
        <v>605</v>
      </c>
      <c r="B143" s="187" t="s">
        <v>548</v>
      </c>
      <c r="C143" s="188" t="s">
        <v>408</v>
      </c>
      <c r="D143" s="188" t="s">
        <v>304</v>
      </c>
      <c r="E143" s="189" t="s">
        <v>606</v>
      </c>
    </row>
    <row r="144" spans="1:5" x14ac:dyDescent="0.3">
      <c r="A144" s="131" t="s">
        <v>603</v>
      </c>
      <c r="B144" s="134" t="s">
        <v>349</v>
      </c>
      <c r="C144" s="132" t="s">
        <v>427</v>
      </c>
      <c r="D144" s="132" t="s">
        <v>304</v>
      </c>
      <c r="E144" s="129" t="s">
        <v>604</v>
      </c>
    </row>
    <row r="145" spans="1:5" ht="27.6" x14ac:dyDescent="0.3">
      <c r="A145" s="186" t="s">
        <v>559</v>
      </c>
      <c r="B145" s="187" t="s">
        <v>550</v>
      </c>
      <c r="C145" s="188" t="s">
        <v>523</v>
      </c>
      <c r="D145" s="188" t="s">
        <v>304</v>
      </c>
      <c r="E145" s="189" t="s">
        <v>602</v>
      </c>
    </row>
    <row r="146" spans="1:5" x14ac:dyDescent="0.3">
      <c r="A146" s="131" t="s">
        <v>607</v>
      </c>
      <c r="B146" s="134" t="s">
        <v>349</v>
      </c>
      <c r="C146" s="132" t="s">
        <v>244</v>
      </c>
      <c r="D146" s="132" t="s">
        <v>304</v>
      </c>
      <c r="E146" s="129" t="s">
        <v>608</v>
      </c>
    </row>
    <row r="153" spans="1:5" x14ac:dyDescent="0.3">
      <c r="E153" s="194" t="s">
        <v>675</v>
      </c>
    </row>
    <row r="154" spans="1:5" s="95" customFormat="1" ht="14.4" x14ac:dyDescent="0.3">
      <c r="A154" s="197" t="s">
        <v>45</v>
      </c>
      <c r="B154" s="103" t="s">
        <v>674</v>
      </c>
      <c r="C154" s="103" t="s">
        <v>238</v>
      </c>
      <c r="D154" s="103" t="s">
        <v>46</v>
      </c>
      <c r="E154" s="197" t="s">
        <v>27</v>
      </c>
    </row>
    <row r="155" spans="1:5" x14ac:dyDescent="0.3">
      <c r="A155" s="130"/>
      <c r="B155" s="133"/>
      <c r="C155" s="133"/>
      <c r="D155" s="133"/>
      <c r="E155" s="130"/>
    </row>
    <row r="156" spans="1:5" ht="15.6" x14ac:dyDescent="0.3">
      <c r="A156" s="221" t="s">
        <v>560</v>
      </c>
      <c r="B156" s="221"/>
      <c r="C156" s="221"/>
      <c r="D156" s="221"/>
      <c r="E156" s="221"/>
    </row>
    <row r="157" spans="1:5" x14ac:dyDescent="0.3">
      <c r="A157" s="131" t="s">
        <v>459</v>
      </c>
      <c r="B157" s="134" t="s">
        <v>548</v>
      </c>
      <c r="C157" s="132" t="s">
        <v>261</v>
      </c>
      <c r="D157" s="132" t="s">
        <v>304</v>
      </c>
      <c r="E157" s="129" t="s">
        <v>460</v>
      </c>
    </row>
    <row r="158" spans="1:5" x14ac:dyDescent="0.3">
      <c r="A158" s="190" t="s">
        <v>485</v>
      </c>
      <c r="B158" s="191" t="s">
        <v>550</v>
      </c>
      <c r="C158" s="192" t="s">
        <v>486</v>
      </c>
      <c r="D158" s="192" t="s">
        <v>304</v>
      </c>
      <c r="E158" s="193" t="s">
        <v>487</v>
      </c>
    </row>
    <row r="159" spans="1:5" x14ac:dyDescent="0.3">
      <c r="A159" s="131" t="s">
        <v>461</v>
      </c>
      <c r="B159" s="134" t="s">
        <v>548</v>
      </c>
      <c r="C159" s="132" t="s">
        <v>259</v>
      </c>
      <c r="D159" s="132" t="s">
        <v>304</v>
      </c>
      <c r="E159" s="129" t="s">
        <v>462</v>
      </c>
    </row>
    <row r="160" spans="1:5" ht="27.6" x14ac:dyDescent="0.3">
      <c r="A160" s="190" t="s">
        <v>262</v>
      </c>
      <c r="B160" s="191" t="s">
        <v>550</v>
      </c>
      <c r="C160" s="192" t="s">
        <v>284</v>
      </c>
      <c r="D160" s="192" t="s">
        <v>304</v>
      </c>
      <c r="E160" s="193" t="s">
        <v>488</v>
      </c>
    </row>
    <row r="161" spans="1:5" ht="27.6" x14ac:dyDescent="0.3">
      <c r="A161" s="131" t="s">
        <v>264</v>
      </c>
      <c r="B161" s="134" t="s">
        <v>550</v>
      </c>
      <c r="C161" s="132" t="s">
        <v>489</v>
      </c>
      <c r="D161" s="132" t="s">
        <v>304</v>
      </c>
      <c r="E161" s="129" t="s">
        <v>490</v>
      </c>
    </row>
    <row r="162" spans="1:5" ht="27.6" x14ac:dyDescent="0.3">
      <c r="A162" s="190" t="s">
        <v>491</v>
      </c>
      <c r="B162" s="191" t="s">
        <v>550</v>
      </c>
      <c r="C162" s="192" t="s">
        <v>284</v>
      </c>
      <c r="D162" s="192" t="s">
        <v>304</v>
      </c>
      <c r="E162" s="193" t="s">
        <v>492</v>
      </c>
    </row>
    <row r="163" spans="1:5" x14ac:dyDescent="0.3">
      <c r="A163" s="131" t="s">
        <v>282</v>
      </c>
      <c r="B163" s="134" t="s">
        <v>550</v>
      </c>
      <c r="C163" s="132" t="s">
        <v>489</v>
      </c>
      <c r="D163" s="132" t="s">
        <v>304</v>
      </c>
      <c r="E163" s="129" t="s">
        <v>493</v>
      </c>
    </row>
    <row r="164" spans="1:5" ht="27.6" x14ac:dyDescent="0.3">
      <c r="A164" s="190" t="s">
        <v>266</v>
      </c>
      <c r="B164" s="191" t="s">
        <v>550</v>
      </c>
      <c r="C164" s="192" t="s">
        <v>284</v>
      </c>
      <c r="D164" s="192" t="s">
        <v>304</v>
      </c>
      <c r="E164" s="193" t="s">
        <v>494</v>
      </c>
    </row>
    <row r="165" spans="1:5" ht="27.6" x14ac:dyDescent="0.3">
      <c r="A165" s="131" t="s">
        <v>495</v>
      </c>
      <c r="B165" s="134" t="s">
        <v>550</v>
      </c>
      <c r="C165" s="132" t="s">
        <v>496</v>
      </c>
      <c r="D165" s="132" t="s">
        <v>304</v>
      </c>
      <c r="E165" s="129" t="s">
        <v>497</v>
      </c>
    </row>
    <row r="166" spans="1:5" x14ac:dyDescent="0.3">
      <c r="A166" s="190" t="s">
        <v>498</v>
      </c>
      <c r="B166" s="191" t="s">
        <v>550</v>
      </c>
      <c r="C166" s="192" t="s">
        <v>499</v>
      </c>
      <c r="D166" s="192" t="s">
        <v>304</v>
      </c>
      <c r="E166" s="193" t="s">
        <v>500</v>
      </c>
    </row>
    <row r="167" spans="1:5" ht="13.8" customHeight="1" x14ac:dyDescent="0.3">
      <c r="A167" s="131" t="s">
        <v>618</v>
      </c>
      <c r="B167" s="134" t="s">
        <v>548</v>
      </c>
      <c r="C167" s="132" t="s">
        <v>265</v>
      </c>
      <c r="D167" s="132" t="s">
        <v>304</v>
      </c>
      <c r="E167" s="129" t="s">
        <v>619</v>
      </c>
    </row>
    <row r="168" spans="1:5" ht="27.6" x14ac:dyDescent="0.3">
      <c r="A168" s="190" t="s">
        <v>620</v>
      </c>
      <c r="B168" s="191" t="s">
        <v>550</v>
      </c>
      <c r="C168" s="192" t="s">
        <v>496</v>
      </c>
      <c r="D168" s="192" t="s">
        <v>304</v>
      </c>
      <c r="E168" s="193" t="s">
        <v>621</v>
      </c>
    </row>
    <row r="169" spans="1:5" x14ac:dyDescent="0.3">
      <c r="A169" s="131" t="s">
        <v>622</v>
      </c>
      <c r="B169" s="134" t="s">
        <v>550</v>
      </c>
      <c r="C169" s="132" t="s">
        <v>284</v>
      </c>
      <c r="D169" s="132" t="s">
        <v>304</v>
      </c>
      <c r="E169" s="129" t="s">
        <v>623</v>
      </c>
    </row>
    <row r="170" spans="1:5" x14ac:dyDescent="0.3">
      <c r="A170" s="190" t="s">
        <v>624</v>
      </c>
      <c r="B170" s="191" t="s">
        <v>550</v>
      </c>
      <c r="C170" s="192" t="s">
        <v>261</v>
      </c>
      <c r="D170" s="192" t="s">
        <v>304</v>
      </c>
      <c r="E170" s="193" t="s">
        <v>625</v>
      </c>
    </row>
    <row r="171" spans="1:5" x14ac:dyDescent="0.3">
      <c r="A171" s="131" t="s">
        <v>626</v>
      </c>
      <c r="B171" s="134" t="s">
        <v>550</v>
      </c>
      <c r="C171" s="132" t="s">
        <v>261</v>
      </c>
      <c r="D171" s="132" t="s">
        <v>304</v>
      </c>
      <c r="E171" s="129" t="s">
        <v>627</v>
      </c>
    </row>
    <row r="172" spans="1:5" x14ac:dyDescent="0.3">
      <c r="A172" s="190" t="s">
        <v>628</v>
      </c>
      <c r="B172" s="191" t="s">
        <v>548</v>
      </c>
      <c r="C172" s="192" t="s">
        <v>263</v>
      </c>
      <c r="D172" s="192" t="s">
        <v>304</v>
      </c>
      <c r="E172" s="193" t="s">
        <v>629</v>
      </c>
    </row>
    <row r="173" spans="1:5" x14ac:dyDescent="0.3">
      <c r="A173" s="131" t="s">
        <v>630</v>
      </c>
      <c r="B173" s="134" t="s">
        <v>548</v>
      </c>
      <c r="C173" s="132" t="s">
        <v>268</v>
      </c>
      <c r="D173" s="132" t="s">
        <v>304</v>
      </c>
      <c r="E173" s="129" t="s">
        <v>631</v>
      </c>
    </row>
    <row r="174" spans="1:5" x14ac:dyDescent="0.3">
      <c r="A174" s="190" t="s">
        <v>267</v>
      </c>
      <c r="B174" s="191" t="s">
        <v>548</v>
      </c>
      <c r="C174" s="192" t="s">
        <v>271</v>
      </c>
      <c r="D174" s="192" t="s">
        <v>304</v>
      </c>
      <c r="E174" s="193" t="s">
        <v>463</v>
      </c>
    </row>
    <row r="175" spans="1:5" ht="27.6" x14ac:dyDescent="0.3">
      <c r="A175" s="131" t="s">
        <v>269</v>
      </c>
      <c r="B175" s="134" t="s">
        <v>548</v>
      </c>
      <c r="C175" s="132" t="s">
        <v>271</v>
      </c>
      <c r="D175" s="132" t="s">
        <v>304</v>
      </c>
      <c r="E175" s="129" t="s">
        <v>464</v>
      </c>
    </row>
    <row r="176" spans="1:5" x14ac:dyDescent="0.3">
      <c r="A176" s="190" t="s">
        <v>465</v>
      </c>
      <c r="B176" s="191" t="s">
        <v>548</v>
      </c>
      <c r="C176" s="192" t="s">
        <v>271</v>
      </c>
      <c r="D176" s="192" t="s">
        <v>304</v>
      </c>
      <c r="E176" s="193" t="s">
        <v>466</v>
      </c>
    </row>
    <row r="177" spans="1:8" x14ac:dyDescent="0.3">
      <c r="A177" s="131" t="s">
        <v>467</v>
      </c>
      <c r="B177" s="134" t="s">
        <v>548</v>
      </c>
      <c r="C177" s="132" t="s">
        <v>271</v>
      </c>
      <c r="D177" s="132" t="s">
        <v>304</v>
      </c>
      <c r="E177" s="129" t="s">
        <v>468</v>
      </c>
    </row>
    <row r="178" spans="1:8" x14ac:dyDescent="0.3">
      <c r="A178" s="190" t="s">
        <v>632</v>
      </c>
      <c r="B178" s="191" t="s">
        <v>548</v>
      </c>
      <c r="C178" s="192" t="s">
        <v>271</v>
      </c>
      <c r="D178" s="192" t="s">
        <v>304</v>
      </c>
      <c r="E178" s="193" t="s">
        <v>633</v>
      </c>
    </row>
    <row r="179" spans="1:8" x14ac:dyDescent="0.3">
      <c r="A179" s="131" t="s">
        <v>634</v>
      </c>
      <c r="B179" s="134" t="s">
        <v>550</v>
      </c>
      <c r="C179" s="132" t="s">
        <v>265</v>
      </c>
      <c r="D179" s="132" t="s">
        <v>304</v>
      </c>
      <c r="E179" s="129" t="s">
        <v>635</v>
      </c>
    </row>
    <row r="180" spans="1:8" ht="27.6" x14ac:dyDescent="0.3">
      <c r="A180" s="190" t="s">
        <v>270</v>
      </c>
      <c r="B180" s="191" t="s">
        <v>550</v>
      </c>
      <c r="C180" s="192" t="s">
        <v>265</v>
      </c>
      <c r="D180" s="192" t="s">
        <v>304</v>
      </c>
      <c r="E180" s="193" t="s">
        <v>501</v>
      </c>
    </row>
    <row r="181" spans="1:8" ht="27.6" x14ac:dyDescent="0.3">
      <c r="A181" s="131" t="s">
        <v>272</v>
      </c>
      <c r="B181" s="134" t="s">
        <v>550</v>
      </c>
      <c r="C181" s="132" t="s">
        <v>265</v>
      </c>
      <c r="D181" s="132" t="s">
        <v>304</v>
      </c>
      <c r="E181" s="129" t="s">
        <v>502</v>
      </c>
    </row>
    <row r="182" spans="1:8" x14ac:dyDescent="0.3">
      <c r="A182" s="190" t="s">
        <v>503</v>
      </c>
      <c r="B182" s="191" t="s">
        <v>550</v>
      </c>
      <c r="C182" s="192" t="s">
        <v>265</v>
      </c>
      <c r="D182" s="192" t="s">
        <v>304</v>
      </c>
      <c r="E182" s="193" t="s">
        <v>504</v>
      </c>
    </row>
    <row r="183" spans="1:8" x14ac:dyDescent="0.3">
      <c r="A183" s="131" t="s">
        <v>505</v>
      </c>
      <c r="B183" s="134" t="s">
        <v>550</v>
      </c>
      <c r="C183" s="132" t="s">
        <v>265</v>
      </c>
      <c r="D183" s="132" t="s">
        <v>304</v>
      </c>
      <c r="E183" s="129" t="s">
        <v>506</v>
      </c>
    </row>
    <row r="184" spans="1:8" ht="27.6" x14ac:dyDescent="0.3">
      <c r="A184" s="190" t="s">
        <v>508</v>
      </c>
      <c r="B184" s="191" t="s">
        <v>550</v>
      </c>
      <c r="C184" s="192" t="s">
        <v>284</v>
      </c>
      <c r="D184" s="192" t="s">
        <v>304</v>
      </c>
      <c r="E184" s="193" t="s">
        <v>509</v>
      </c>
    </row>
    <row r="185" spans="1:8" ht="27.6" x14ac:dyDescent="0.3">
      <c r="A185" s="131" t="s">
        <v>273</v>
      </c>
      <c r="B185" s="134" t="s">
        <v>550</v>
      </c>
      <c r="C185" s="132" t="s">
        <v>284</v>
      </c>
      <c r="D185" s="132" t="s">
        <v>304</v>
      </c>
      <c r="E185" s="129" t="s">
        <v>510</v>
      </c>
    </row>
    <row r="186" spans="1:8" ht="27.6" x14ac:dyDescent="0.3">
      <c r="A186" s="190" t="s">
        <v>274</v>
      </c>
      <c r="B186" s="191" t="s">
        <v>550</v>
      </c>
      <c r="C186" s="192" t="s">
        <v>284</v>
      </c>
      <c r="D186" s="192" t="s">
        <v>304</v>
      </c>
      <c r="E186" s="193" t="s">
        <v>511</v>
      </c>
    </row>
    <row r="187" spans="1:8" x14ac:dyDescent="0.3">
      <c r="A187" s="131" t="s">
        <v>636</v>
      </c>
      <c r="B187" s="134" t="s">
        <v>550</v>
      </c>
      <c r="C187" s="132" t="s">
        <v>284</v>
      </c>
      <c r="D187" s="132" t="s">
        <v>304</v>
      </c>
      <c r="E187" s="129" t="s">
        <v>637</v>
      </c>
    </row>
    <row r="188" spans="1:8" ht="27.6" x14ac:dyDescent="0.3">
      <c r="A188" s="190" t="s">
        <v>638</v>
      </c>
      <c r="B188" s="191" t="s">
        <v>550</v>
      </c>
      <c r="C188" s="192" t="s">
        <v>284</v>
      </c>
      <c r="D188" s="192" t="s">
        <v>304</v>
      </c>
      <c r="E188" s="193" t="s">
        <v>639</v>
      </c>
    </row>
    <row r="189" spans="1:8" ht="13.8" customHeight="1" x14ac:dyDescent="0.3">
      <c r="A189" s="131" t="s">
        <v>640</v>
      </c>
      <c r="B189" s="134" t="s">
        <v>550</v>
      </c>
      <c r="C189" s="132" t="s">
        <v>271</v>
      </c>
      <c r="D189" s="132" t="s">
        <v>304</v>
      </c>
      <c r="E189" s="129" t="s">
        <v>641</v>
      </c>
    </row>
    <row r="190" spans="1:8" x14ac:dyDescent="0.3">
      <c r="A190" s="190" t="s">
        <v>642</v>
      </c>
      <c r="B190" s="191" t="s">
        <v>548</v>
      </c>
      <c r="C190" s="192" t="s">
        <v>289</v>
      </c>
      <c r="D190" s="192" t="s">
        <v>304</v>
      </c>
      <c r="E190" s="193" t="s">
        <v>643</v>
      </c>
    </row>
    <row r="192" spans="1:8" ht="14.4" x14ac:dyDescent="0.3">
      <c r="H192"/>
    </row>
    <row r="197" spans="1:5" ht="18" x14ac:dyDescent="0.3">
      <c r="A197" s="219" t="s">
        <v>331</v>
      </c>
      <c r="B197" s="219"/>
      <c r="C197" s="219"/>
      <c r="D197" s="219"/>
      <c r="E197" s="219"/>
    </row>
    <row r="199" spans="1:5" x14ac:dyDescent="0.3">
      <c r="A199" s="139"/>
      <c r="B199" s="140"/>
      <c r="C199" s="141"/>
      <c r="D199" s="141"/>
      <c r="E199" s="142"/>
    </row>
    <row r="201" spans="1:5" x14ac:dyDescent="0.3">
      <c r="A201" s="139"/>
      <c r="B201" s="140"/>
      <c r="C201" s="141"/>
      <c r="D201" s="141"/>
      <c r="E201" s="142"/>
    </row>
    <row r="203" spans="1:5" x14ac:dyDescent="0.3">
      <c r="A203" s="139"/>
      <c r="B203" s="140"/>
      <c r="C203" s="141"/>
      <c r="D203" s="141"/>
      <c r="E203" s="142"/>
    </row>
    <row r="205" spans="1:5" x14ac:dyDescent="0.3">
      <c r="A205" s="139"/>
      <c r="B205" s="140"/>
      <c r="C205" s="141"/>
      <c r="D205" s="141"/>
      <c r="E205" s="142"/>
    </row>
    <row r="207" spans="1:5" x14ac:dyDescent="0.3">
      <c r="A207" s="139"/>
      <c r="B207" s="140"/>
      <c r="C207" s="141"/>
      <c r="D207" s="141"/>
      <c r="E207" s="142"/>
    </row>
    <row r="209" spans="1:8" x14ac:dyDescent="0.3">
      <c r="A209" s="139"/>
      <c r="B209" s="140"/>
      <c r="C209" s="141"/>
      <c r="D209" s="141"/>
      <c r="E209" s="142"/>
    </row>
    <row r="210" spans="1:8" ht="14.4" x14ac:dyDescent="0.3">
      <c r="H210"/>
    </row>
    <row r="211" spans="1:8" x14ac:dyDescent="0.3">
      <c r="A211" s="139"/>
      <c r="B211" s="140"/>
      <c r="C211" s="141"/>
      <c r="D211" s="141"/>
      <c r="E211" s="142"/>
    </row>
    <row r="213" spans="1:8" x14ac:dyDescent="0.3">
      <c r="A213" s="139"/>
      <c r="B213" s="140"/>
      <c r="C213" s="141"/>
      <c r="D213" s="141"/>
      <c r="E213" s="142"/>
    </row>
    <row r="215" spans="1:8" x14ac:dyDescent="0.3">
      <c r="A215" s="139"/>
      <c r="B215" s="140"/>
      <c r="C215" s="141"/>
      <c r="D215" s="141"/>
      <c r="E215" s="142"/>
    </row>
    <row r="217" spans="1:8" x14ac:dyDescent="0.3">
      <c r="A217" s="139"/>
      <c r="B217" s="140"/>
      <c r="C217" s="141"/>
      <c r="D217" s="141"/>
      <c r="E217" s="142"/>
    </row>
    <row r="253" spans="1:5" x14ac:dyDescent="0.3">
      <c r="A253" s="220" t="s">
        <v>569</v>
      </c>
      <c r="B253" s="220"/>
      <c r="C253" s="220"/>
      <c r="D253" s="220"/>
      <c r="E253" s="220"/>
    </row>
  </sheetData>
  <mergeCells count="9">
    <mergeCell ref="A197:E197"/>
    <mergeCell ref="A253:E253"/>
    <mergeCell ref="A3:E3"/>
    <mergeCell ref="A109:E109"/>
    <mergeCell ref="A156:E156"/>
    <mergeCell ref="A54:E54"/>
    <mergeCell ref="A84:E84"/>
    <mergeCell ref="A38:E38"/>
    <mergeCell ref="A27:E27"/>
  </mergeCells>
  <printOptions horizontalCentered="1" verticalCentered="1"/>
  <pageMargins left="0" right="0" top="0" bottom="0" header="0" footer="0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Halfling</vt:lpstr>
      <vt:lpstr>Retro A</vt:lpstr>
      <vt:lpstr>Elf</vt:lpstr>
      <vt:lpstr>Retro E</vt:lpstr>
      <vt:lpstr>Dwarf</vt:lpstr>
      <vt:lpstr>Retro N</vt:lpstr>
      <vt:lpstr>Thief</vt:lpstr>
      <vt:lpstr>Retro L</vt:lpstr>
      <vt:lpstr>Mage</vt:lpstr>
      <vt:lpstr>Retro M</vt:lpstr>
      <vt:lpstr>Fighter</vt:lpstr>
      <vt:lpstr>Retro F</vt:lpstr>
      <vt:lpstr>Cleric</vt:lpstr>
      <vt:lpstr>Retro C</vt:lpstr>
      <vt:lpstr>Retro Master</vt:lpstr>
      <vt:lpstr>Arcade</vt:lpstr>
      <vt:lpstr>Empori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Bartolini</dc:creator>
  <cp:lastModifiedBy>Claudio Bartolini</cp:lastModifiedBy>
  <cp:lastPrinted>2026-01-09T02:00:11Z</cp:lastPrinted>
  <dcterms:created xsi:type="dcterms:W3CDTF">2025-12-03T19:05:58Z</dcterms:created>
  <dcterms:modified xsi:type="dcterms:W3CDTF">2026-01-22T23:28:59Z</dcterms:modified>
</cp:coreProperties>
</file>