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8DA5D0C1-85F3-4705-A724-058C0A8A6BA2}" xr6:coauthVersionLast="47" xr6:coauthVersionMax="47" xr10:uidLastSave="{00000000-0000-0000-0000-000000000000}"/>
  <bookViews>
    <workbookView xWindow="11376" yWindow="0" windowWidth="22992" windowHeight="16656" activeTab="6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" i="8" l="1"/>
  <c r="P11" i="7"/>
  <c r="P11" i="6"/>
  <c r="P11" i="5"/>
  <c r="P11" i="4"/>
  <c r="P11" i="3"/>
  <c r="E30" i="8"/>
  <c r="E30" i="7"/>
  <c r="E30" i="6"/>
  <c r="E30" i="5"/>
  <c r="E30" i="4"/>
  <c r="E30" i="3"/>
  <c r="E22" i="8"/>
  <c r="E23" i="8"/>
  <c r="E24" i="8"/>
  <c r="E25" i="8"/>
  <c r="E26" i="8"/>
  <c r="E27" i="8"/>
  <c r="E28" i="8"/>
  <c r="E29" i="8"/>
  <c r="E21" i="8"/>
  <c r="E22" i="7"/>
  <c r="E23" i="7"/>
  <c r="E24" i="7"/>
  <c r="E25" i="7"/>
  <c r="E26" i="7"/>
  <c r="E27" i="7"/>
  <c r="E28" i="7"/>
  <c r="E29" i="7"/>
  <c r="E21" i="7"/>
  <c r="E22" i="6"/>
  <c r="E23" i="6"/>
  <c r="E24" i="6"/>
  <c r="E25" i="6"/>
  <c r="E26" i="6"/>
  <c r="E27" i="6"/>
  <c r="E28" i="6"/>
  <c r="E29" i="6"/>
  <c r="E21" i="6"/>
  <c r="E22" i="5"/>
  <c r="E23" i="5"/>
  <c r="E24" i="5"/>
  <c r="E25" i="5"/>
  <c r="E26" i="5"/>
  <c r="E27" i="5"/>
  <c r="E28" i="5"/>
  <c r="E29" i="5"/>
  <c r="E21" i="5"/>
  <c r="E22" i="4"/>
  <c r="E23" i="4"/>
  <c r="E24" i="4"/>
  <c r="E25" i="4"/>
  <c r="E26" i="4"/>
  <c r="E27" i="4"/>
  <c r="E28" i="4"/>
  <c r="E29" i="4"/>
  <c r="E21" i="4"/>
  <c r="E22" i="3"/>
  <c r="E23" i="3"/>
  <c r="E24" i="3"/>
  <c r="E25" i="3"/>
  <c r="E26" i="3"/>
  <c r="E27" i="3"/>
  <c r="E28" i="3"/>
  <c r="E29" i="3"/>
  <c r="E21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K15" i="1"/>
  <c r="J15" i="1" s="1"/>
  <c r="K16" i="1"/>
  <c r="J16" i="1" s="1"/>
  <c r="K17" i="1"/>
  <c r="J17" i="1" s="1"/>
  <c r="K18" i="1"/>
  <c r="J18" i="1" s="1"/>
  <c r="K14" i="1"/>
  <c r="J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<sst xmlns="http://schemas.openxmlformats.org/spreadsheetml/2006/main" count="875" uniqueCount="266">
  <si>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</si>
  <si>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</si>
  <si>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</si>
  <si>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</si>
  <si>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</si>
  <si>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</si>
  <si>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</si>
  <si>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</si>
  <si>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</si>
  <si>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</si>
  <si>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</si>
  <si>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</si>
  <si>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</si>
  <si>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</si>
  <si>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</si>
  <si>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</si>
  <si>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</si>
  <si>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</si>
  <si>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</si>
  <si>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</si>
  <si>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</si>
  <si>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</si>
  <si>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</si>
  <si>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</si>
  <si>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</si>
  <si>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</si>
  <si>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</si>
  <si>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</si>
  <si>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</si>
  <si>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</si>
  <si>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</si>
  <si>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</si>
  <si>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</si>
  <si>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</si>
  <si>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</si>
  <si>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</si>
  <si>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</si>
  <si>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</si>
  <si>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</si>
  <si>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</si>
  <si>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</si>
  <si>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</si>
  <si>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</si>
  <si>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</si>
  <si>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</si>
  <si>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</si>
  <si>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</si>
  <si>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</si>
  <si>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</si>
  <si>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</si>
  <si>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</si>
  <si>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</si>
  <si>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</si>
  <si>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</si>
  <si>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</si>
  <si>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</si>
  <si>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</si>
  <si>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</si>
  <si>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</si>
  <si>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</si>
  <si>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</si>
  <si>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</si>
  <si>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</si>
  <si>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</si>
  <si>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</si>
  <si>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</si>
  <si>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</si>
  <si>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</si>
  <si>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</si>
  <si>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</si>
  <si>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</si>
  <si>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</si>
  <si>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</si>
  <si>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</si>
  <si>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</si>
  <si>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</si>
  <si>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</si>
  <si>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</si>
  <si>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</si>
  <si>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</si>
  <si>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</si>
  <si>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</si>
  <si>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</si>
  <si>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</si>
  <si>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</si>
  <si>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</si>
  <si>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</si>
  <si>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</si>
  <si>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</si>
  <si>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</si>
  <si>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</si>
  <si>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</si>
  <si>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</si>
  <si>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</si>
  <si>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</si>
  <si>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</si>
  <si>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</si>
  <si>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</si>
  <si>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</si>
  <si>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</si>
  <si>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</si>
  <si>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</si>
  <si>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</si>
  <si>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</si>
  <si>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</si>
  <si>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</si>
  <si>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</si>
  <si>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</si>
  <si>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</si>
  <si>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</si>
  <si>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</si>
  <si>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</si>
  <si>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</si>
  <si>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</si>
  <si>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</si>
  <si>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</si>
  <si>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</si>
  <si>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</si>
  <si>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</si>
  <si>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</si>
  <si>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</si>
  <si>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</si>
  <si>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</si>
  <si>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</si>
  <si>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</si>
  <si>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</si>
  <si>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</si>
  <si>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</si>
  <si>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</si>
  <si>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</si>
  <si>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</si>
  <si>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</si>
  <si>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</si>
  <si>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</si>
  <si>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</si>
  <si>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</si>
  <si>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</si>
  <si>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</si>
  <si>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</si>
  <si>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</si>
  <si>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</si>
  <si>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</si>
  <si>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</si>
  <si>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</si>
  <si>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</si>
  <si>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</si>
  <si>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</si>
  <si>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</si>
  <si>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</si>
  <si>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</si>
  <si>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</si>
  <si>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</si>
  <si>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</si>
  <si>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</si>
  <si>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</si>
  <si>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</si>
  <si>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</si>
  <si>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</si>
  <si>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</si>
  <si>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</si>
  <si>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</si>
  <si>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</si>
  <si>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</si>
  <si>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</si>
  <si>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</si>
  <si>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</si>
  <si>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</si>
  <si>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</si>
  <si>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</si>
  <si>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</si>
  <si>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</si>
  <si>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</si>
  <si>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</si>
  <si>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</si>
  <si>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</si>
  <si>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</si>
  <si>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</si>
  <si>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</si>
  <si>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</si>
  <si>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</si>
  <si>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</si>
  <si>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</si>
  <si>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</si>
  <si>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</si>
  <si>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</si>
  <si>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</si>
  <si>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</si>
  <si>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</si>
  <si>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</si>
  <si>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</si>
  <si>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</si>
  <si>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</si>
  <si>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</si>
  <si>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</si>
  <si>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</si>
  <si>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</si>
  <si>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</si>
  <si>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</si>
  <si>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</si>
  <si>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</si>
  <si>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</si>
  <si>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</si>
  <si>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</si>
  <si>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</si>
  <si>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</si>
  <si>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</si>
  <si>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</si>
  <si>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</si>
  <si>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</si>
  <si>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</si>
  <si>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</si>
  <si>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</si>
  <si>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</si>
  <si>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</si>
  <si>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</si>
  <si>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</si>
  <si>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</si>
  <si>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</si>
  <si>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</si>
  <si>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</si>
  <si>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</si>
  <si>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</si>
  <si>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</si>
  <si>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</si>
  <si>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Copertura vs area: Parz. +2 TS, Quasi tot. +4 TS</t>
  </si>
  <si>
    <t>by Maru</t>
  </si>
  <si>
    <t>melee lenta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</si>
  <si>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</si>
  <si>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</si>
  <si>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</si>
  <si>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</si>
  <si>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</si>
  <si>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</si>
  <si>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</si>
  <si>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</si>
  <si>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</si>
  <si>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</si>
  <si>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</si>
  <si>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Copertura: Parziale -2 TxC | Totale -4 TxC</t>
  </si>
  <si>
    <t>Prone: +2 TxC nemici, metà mov per alzarsi</t>
  </si>
  <si>
    <t>Tiro oltre 1* alleato: -2 TxC, 1 Colpito Alleato</t>
  </si>
  <si>
    <t>Distanza:   corta +1, lunga -1</t>
  </si>
  <si>
    <t>Freccie</t>
  </si>
  <si>
    <t>Quadrelli</t>
  </si>
  <si>
    <t>Pietre</t>
  </si>
  <si>
    <t>Dardi</t>
  </si>
  <si>
    <t>Giavellotti</t>
  </si>
  <si>
    <t>Olio</t>
  </si>
  <si>
    <t>Torce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</si>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</sst>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8"/>
      <color theme="6"/>
      <name val="Aptos Narrow"/>
      <family val="2"/>
      <scheme val="minor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0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8" fillId="0" borderId="0" xfId="0" applyFont="1"/>
    <xf numFmtId="0" fontId="19" fillId="5" borderId="0" xfId="0" applyFont="1" applyFill="1" applyAlignment="1">
      <alignment vertical="center"/>
    </xf>
    <xf numFmtId="0" fontId="20" fillId="5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1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12" fillId="6" borderId="0" xfId="0" applyFont="1" applyFill="1" applyAlignment="1">
      <alignment horizontal="left" vertical="center"/>
    </xf>
    <xf numFmtId="0" fontId="0" fillId="0" borderId="3" xfId="0" applyBorder="1" applyAlignment="1">
      <alignment vertical="center"/>
    </xf>
    <xf numFmtId="0" fontId="0" fillId="6" borderId="0" xfId="0" applyFill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5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1" fillId="9" borderId="4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7" fillId="0" borderId="0" xfId="0" applyFont="1" applyAlignment="1">
      <alignment horizontal="right"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10" xfId="0" applyBorder="1" applyAlignment="1">
      <alignment vertical="center"/>
    </xf>
    <xf numFmtId="0" fontId="29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29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0" fontId="29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0" fillId="4" borderId="13" xfId="0" applyFill="1" applyBorder="1" applyAlignment="1">
      <alignment horizontal="left" vertical="center"/>
    </xf>
    <xf numFmtId="0" fontId="1" fillId="4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vertical="center"/>
    </xf>
    <xf numFmtId="0" fontId="16" fillId="4" borderId="12" xfId="0" applyFont="1" applyFill="1" applyBorder="1" applyAlignment="1">
      <alignment horizontal="center" vertical="center"/>
    </xf>
    <xf numFmtId="0" fontId="0" fillId="4" borderId="13" xfId="0" applyFill="1" applyBorder="1" applyAlignment="1">
      <alignment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2" xfId="0" quotePrefix="1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1" fillId="4" borderId="15" xfId="0" applyFont="1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9" xfId="0" applyFont="1" applyBorder="1" applyAlignment="1">
      <alignment horizontal="left"/>
    </xf>
    <xf numFmtId="0" fontId="0" fillId="0" borderId="20" xfId="0" applyBorder="1" applyAlignment="1">
      <alignment vertical="center"/>
    </xf>
    <xf numFmtId="0" fontId="14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17" xfId="0" applyBorder="1" applyAlignment="1">
      <alignment vertical="center"/>
    </xf>
    <xf numFmtId="0" fontId="1" fillId="0" borderId="19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0" fillId="4" borderId="17" xfId="0" applyFont="1" applyFill="1" applyBorder="1" applyAlignment="1">
      <alignment vertical="center"/>
    </xf>
    <xf numFmtId="0" fontId="29" fillId="4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29" fillId="0" borderId="17" xfId="0" applyFont="1" applyBorder="1" applyAlignment="1">
      <alignment vertical="center"/>
    </xf>
    <xf numFmtId="0" fontId="0" fillId="3" borderId="0" xfId="0" applyFill="1" applyAlignment="1">
      <alignment horizontal="center" vertical="center"/>
    </xf>
    <xf numFmtId="0" fontId="29" fillId="0" borderId="15" xfId="0" applyFont="1" applyBorder="1" applyAlignment="1">
      <alignment horizontal="left" vertical="center"/>
    </xf>
    <xf numFmtId="0" fontId="32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0" fontId="5" fillId="0" borderId="18" xfId="0" applyFont="1" applyBorder="1" applyAlignment="1">
      <alignment horizontal="center" vertical="center"/>
    </xf>
    <xf numFmtId="0" fontId="29" fillId="0" borderId="15" xfId="0" applyFont="1" applyBorder="1" applyAlignment="1">
      <alignment vertical="center"/>
    </xf>
    <xf numFmtId="0" fontId="31" fillId="0" borderId="0" xfId="0" applyFont="1" applyAlignment="1">
      <alignment horizontal="right" vertical="center"/>
    </xf>
    <xf numFmtId="0" fontId="28" fillId="0" borderId="18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9" fillId="0" borderId="18" xfId="0" applyFont="1" applyBorder="1" applyAlignment="1">
      <alignment vertical="center"/>
    </xf>
    <xf numFmtId="0" fontId="30" fillId="0" borderId="20" xfId="0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left" vertical="center"/>
    </xf>
    <xf numFmtId="164" fontId="29" fillId="0" borderId="18" xfId="1" applyNumberFormat="1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34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0" fillId="0" borderId="17" xfId="0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17" xfId="0" applyFont="1" applyBorder="1" applyAlignment="1">
      <alignment vertical="center"/>
    </xf>
    <xf numFmtId="0" fontId="17" fillId="0" borderId="0" xfId="0" applyFont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0" fillId="0" borderId="23" xfId="0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vertical="center"/>
    </xf>
    <xf numFmtId="0" fontId="0" fillId="7" borderId="17" xfId="0" applyFill="1" applyBorder="1" applyAlignment="1">
      <alignment vertical="center"/>
    </xf>
    <xf numFmtId="0" fontId="1" fillId="0" borderId="17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17" xfId="0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8" fillId="0" borderId="18" xfId="0" applyFont="1" applyBorder="1" applyAlignment="1">
      <alignment horizontal="left" vertical="center"/>
    </xf>
    <xf numFmtId="0" fontId="30" fillId="0" borderId="20" xfId="0" applyFont="1" applyBorder="1" applyAlignment="1">
      <alignment horizontal="left" vertical="center"/>
    </xf>
    <xf numFmtId="0" fontId="29" fillId="0" borderId="18" xfId="0" applyFont="1" applyBorder="1" applyAlignment="1">
      <alignment horizontal="left" vertical="center"/>
    </xf>
    <xf numFmtId="0" fontId="31" fillId="0" borderId="18" xfId="0" applyFont="1" applyBorder="1" applyAlignment="1">
      <alignment horizontal="center" vertical="center"/>
    </xf>
    <xf numFmtId="0" fontId="33" fillId="0" borderId="0" xfId="0" applyFont="1"/>
    <xf numFmtId="0" fontId="33" fillId="0" borderId="0" xfId="0" applyFont="1" applyAlignment="1">
      <alignment vertical="center"/>
    </xf>
    <xf numFmtId="0" fontId="13" fillId="0" borderId="2" xfId="0" applyFont="1" applyBorder="1" applyAlignment="1">
      <alignment horizontal="left" vertical="center"/>
    </xf>
    <xf numFmtId="0" fontId="13" fillId="6" borderId="0" xfId="0" applyFont="1" applyFill="1" applyAlignment="1">
      <alignment vertical="center"/>
    </xf>
    <xf numFmtId="0" fontId="35" fillId="0" borderId="15" xfId="0" applyFont="1" applyBorder="1" applyAlignment="1">
      <alignment horizontal="left" vertical="center"/>
    </xf>
    <xf numFmtId="0" fontId="35" fillId="0" borderId="17" xfId="0" applyFont="1" applyBorder="1" applyAlignment="1">
      <alignment vertical="center"/>
    </xf>
    <xf numFmtId="0" fontId="35" fillId="0" borderId="15" xfId="0" applyFont="1" applyBorder="1" applyAlignment="1">
      <alignment vertical="center"/>
    </xf>
    <xf numFmtId="0" fontId="11" fillId="0" borderId="15" xfId="0" applyFont="1" applyBorder="1" applyAlignment="1">
      <alignment vertical="center"/>
    </xf>
    <xf numFmtId="0" fontId="11" fillId="6" borderId="0" xfId="0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11" fillId="0" borderId="0" xfId="0" applyFont="1"/>
    <xf numFmtId="0" fontId="0" fillId="0" borderId="0" xfId="0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1" fillId="0" borderId="21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11" fillId="0" borderId="17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29" fillId="0" borderId="0" xfId="0" applyFont="1" applyAlignment="1">
      <alignment horizontal="left" vertical="center"/>
    </xf>
    <xf numFmtId="0" fontId="29" fillId="0" borderId="18" xfId="0" applyFont="1" applyBorder="1" applyAlignment="1">
      <alignment horizontal="left" vertical="center"/>
    </xf>
    <xf numFmtId="0" fontId="20" fillId="5" borderId="0" xfId="0" applyFont="1" applyFill="1" applyAlignment="1">
      <alignment horizontal="center" vertical="center"/>
    </xf>
    <xf numFmtId="0" fontId="36" fillId="9" borderId="4" xfId="0" applyFont="1" applyFill="1" applyBorder="1" applyAlignment="1">
      <alignment horizontal="center" vertical="center"/>
    </xf>
    <xf numFmtId="0" fontId="20" fillId="9" borderId="4" xfId="0" applyFont="1" applyFill="1" applyBorder="1" applyAlignment="1">
      <alignment horizontal="center" vertical="center"/>
    </xf>
    <xf numFmtId="0" fontId="37" fillId="10" borderId="0" xfId="0" applyFont="1" applyFill="1" applyAlignment="1">
      <alignment horizontal="center" vertical="center"/>
    </xf>
    <xf numFmtId="0" fontId="23" fillId="10" borderId="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3" fillId="10" borderId="7" xfId="0" applyFont="1" applyFill="1" applyBorder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1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left"/>
    </xf>
    <xf numFmtId="0" fontId="0" fillId="0" borderId="0" xfId="0" applyBorder="1"/>
    <xf numFmtId="0" fontId="20" fillId="13" borderId="0" xfId="0" applyFont="1" applyFill="1" applyBorder="1"/>
    <xf numFmtId="0" fontId="20" fillId="13" borderId="0" xfId="0" applyFont="1" applyFill="1" applyBorder="1" applyAlignment="1">
      <alignment horizontal="left"/>
    </xf>
    <xf numFmtId="0" fontId="20" fillId="12" borderId="0" xfId="0" applyFont="1" applyFill="1" applyBorder="1" applyAlignment="1">
      <alignment horizontal="left" vertical="center"/>
    </xf>
    <xf numFmtId="0" fontId="20" fillId="12" borderId="0" xfId="0" applyFont="1" applyFill="1" applyBorder="1" applyAlignment="1">
      <alignment vertical="center"/>
    </xf>
    <xf numFmtId="0" fontId="20" fillId="12" borderId="0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25" fillId="0" borderId="0" xfId="0" applyFont="1" applyBorder="1" applyAlignment="1">
      <alignment horizontal="center" vertical="center"/>
    </xf>
    <xf numFmtId="0" fontId="11" fillId="8" borderId="0" xfId="0" applyFont="1" applyFill="1" applyBorder="1" applyAlignment="1">
      <alignment horizontal="left" vertical="center"/>
    </xf>
    <xf numFmtId="0" fontId="0" fillId="8" borderId="0" xfId="0" applyFill="1" applyBorder="1" applyAlignment="1">
      <alignment vertical="center"/>
    </xf>
    <xf numFmtId="0" fontId="25" fillId="8" borderId="0" xfId="0" applyFont="1" applyFill="1" applyBorder="1" applyAlignment="1">
      <alignment horizontal="center" vertical="center"/>
    </xf>
    <xf numFmtId="0" fontId="11" fillId="11" borderId="0" xfId="0" applyFont="1" applyFill="1" applyBorder="1" applyAlignment="1">
      <alignment horizontal="left"/>
    </xf>
    <xf numFmtId="0" fontId="0" fillId="11" borderId="0" xfId="0" applyFill="1" applyBorder="1"/>
    <xf numFmtId="0" fontId="11" fillId="0" borderId="0" xfId="0" applyFont="1" applyBorder="1"/>
    <xf numFmtId="0" fontId="38" fillId="0" borderId="0" xfId="0" applyFont="1" applyBorder="1" applyAlignment="1">
      <alignment horizontal="left" vertical="center"/>
    </xf>
    <xf numFmtId="0" fontId="22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22" fillId="0" borderId="0" xfId="0" quotePrefix="1" applyFont="1" applyBorder="1" applyAlignment="1">
      <alignment horizontal="left" vertical="center"/>
    </xf>
    <xf numFmtId="0" fontId="26" fillId="0" borderId="0" xfId="0" applyFont="1" applyBorder="1" applyAlignment="1">
      <alignment horizontal="right" vertical="center"/>
    </xf>
    <xf numFmtId="0" fontId="18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18" xfId="0" applyBorder="1" applyAlignment="1">
      <alignment horizontal="right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0" fontId="39" fillId="0" borderId="0" xfId="0" quotePrefix="1" applyFont="1" applyAlignment="1">
      <alignment horizontal="center" vertical="center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zoomScale="120" zoomScaleNormal="120" workbookViewId="0">
      <selection activeCell="R19" sqref="R1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195</v>
      </c>
      <c r="C1" s="56"/>
      <c r="D1" s="57"/>
      <c r="E1" s="58"/>
      <c r="F1" s="59"/>
      <c r="G1" s="60" t="s">
        <v>165</v>
      </c>
      <c r="H1" s="56"/>
      <c r="I1" s="59"/>
      <c r="J1" s="61"/>
      <c r="K1" s="62" t="s">
        <v>34</v>
      </c>
      <c r="L1" s="57"/>
      <c r="M1" s="57"/>
      <c r="N1" s="63" t="s">
        <v>95</v>
      </c>
      <c r="O1" s="56"/>
      <c r="P1" s="64"/>
    </row>
    <row r="2" spans="1:16" ht="20.399999999999999" customHeight="1" x14ac:dyDescent="0.3">
      <c r="A2" s="65" t="s">
        <v>94</v>
      </c>
      <c r="B2" s="46" t="s">
        <v>196</v>
      </c>
      <c r="C2" s="46"/>
      <c r="D2" s="66"/>
      <c r="E2" s="47" t="s">
        <v>33</v>
      </c>
      <c r="F2" s="48"/>
      <c r="G2" s="48" t="s">
        <v>196</v>
      </c>
      <c r="H2" s="48"/>
      <c r="I2" s="49" t="s">
        <v>128</v>
      </c>
      <c r="J2" s="66"/>
      <c r="K2" s="67" t="s">
        <v>1</v>
      </c>
      <c r="L2" s="68"/>
      <c r="M2" s="68"/>
      <c r="N2" s="46" t="s">
        <v>50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126" t="s">
        <v>8</v>
      </c>
      <c r="B4" s="199">
        <v>3</v>
      </c>
      <c r="C4" s="1"/>
      <c r="E4" s="127" t="s">
        <v>46</v>
      </c>
      <c r="F4" s="198">
        <v>20</v>
      </c>
      <c r="G4" s="197" t="s">
        <v>63</v>
      </c>
      <c r="H4" s="1"/>
      <c r="I4" s="1"/>
      <c r="J4" s="128"/>
      <c r="L4" s="129" t="s">
        <v>93</v>
      </c>
      <c r="M4" s="198">
        <v>2</v>
      </c>
      <c r="N4" s="1"/>
      <c r="O4" s="127" t="s">
        <v>9</v>
      </c>
      <c r="P4" s="130">
        <v>25</v>
      </c>
    </row>
    <row r="5" spans="1:16" ht="19.8" customHeight="1" x14ac:dyDescent="0.3">
      <c r="A5" s="74" t="s">
        <v>29</v>
      </c>
      <c r="B5" s="43"/>
      <c r="J5" s="2" t="s">
        <v>92</v>
      </c>
      <c r="M5" s="43" t="s">
        <v>10</v>
      </c>
      <c r="N5" s="42"/>
      <c r="O5" s="42"/>
      <c r="P5" s="75"/>
    </row>
    <row r="6" spans="1:16" ht="32.4" customHeight="1" x14ac:dyDescent="0.3">
      <c r="A6" s="76">
        <v>14</v>
      </c>
      <c r="B6" s="73" t="s">
        <v>2</v>
      </c>
      <c r="C6" s="153" t="s">
        <v>169</v>
      </c>
      <c r="D6" s="153"/>
      <c r="E6" s="153"/>
      <c r="F6" s="153"/>
      <c r="G6" s="153"/>
      <c r="H6" s="153"/>
      <c r="I6" s="153"/>
      <c r="J6" s="72">
        <v>1</v>
      </c>
      <c r="K6" s="72"/>
      <c r="M6" s="154" t="s">
        <v>51</v>
      </c>
      <c r="N6" s="154"/>
      <c r="O6" s="154"/>
      <c r="P6" s="77">
        <v>6</v>
      </c>
    </row>
    <row r="7" spans="1:16" ht="32.4" customHeight="1" x14ac:dyDescent="0.3">
      <c r="A7" s="76">
        <v>14</v>
      </c>
      <c r="B7" s="73" t="s">
        <v>3</v>
      </c>
      <c r="C7" s="153" t="s">
        <v>116</v>
      </c>
      <c r="D7" s="153"/>
      <c r="E7" s="153"/>
      <c r="F7" s="153"/>
      <c r="G7" s="153"/>
      <c r="H7" s="153"/>
      <c r="I7" s="153"/>
      <c r="J7" s="72">
        <v>1</v>
      </c>
      <c r="K7" s="72"/>
      <c r="M7" s="154" t="s">
        <v>11</v>
      </c>
      <c r="N7" s="154"/>
      <c r="O7" s="154"/>
      <c r="P7" s="77">
        <v>7</v>
      </c>
    </row>
    <row r="8" spans="1:16" ht="32.4" customHeight="1" x14ac:dyDescent="0.3">
      <c r="A8" s="76">
        <v>9</v>
      </c>
      <c r="B8" s="73" t="s">
        <v>4</v>
      </c>
      <c r="C8" s="153" t="s">
        <v>87</v>
      </c>
      <c r="D8" s="153"/>
      <c r="E8" s="153"/>
      <c r="F8" s="153"/>
      <c r="G8" s="153"/>
      <c r="H8" s="153"/>
      <c r="I8" s="153"/>
      <c r="J8" s="72">
        <v>0</v>
      </c>
      <c r="K8" s="72"/>
      <c r="M8" s="154" t="s">
        <v>14</v>
      </c>
      <c r="N8" s="154"/>
      <c r="O8" s="154"/>
      <c r="P8" s="77">
        <v>8</v>
      </c>
    </row>
    <row r="9" spans="1:16" ht="32.4" customHeight="1" x14ac:dyDescent="0.3">
      <c r="A9" s="76">
        <v>13</v>
      </c>
      <c r="B9" s="73" t="s">
        <v>5</v>
      </c>
      <c r="C9" s="153" t="s">
        <v>131</v>
      </c>
      <c r="D9" s="153"/>
      <c r="E9" s="153"/>
      <c r="F9" s="153"/>
      <c r="G9" s="153"/>
      <c r="H9" s="153"/>
      <c r="I9" s="153"/>
      <c r="J9" s="72">
        <v>1</v>
      </c>
      <c r="K9" s="72"/>
      <c r="M9" s="154" t="s">
        <v>12</v>
      </c>
      <c r="N9" s="154"/>
      <c r="O9" s="154"/>
      <c r="P9" s="77">
        <v>10</v>
      </c>
    </row>
    <row r="10" spans="1:16" ht="32.4" customHeight="1" x14ac:dyDescent="0.3">
      <c r="A10" s="76">
        <v>12</v>
      </c>
      <c r="B10" s="73" t="s">
        <v>6</v>
      </c>
      <c r="C10" s="153" t="s">
        <v>87</v>
      </c>
      <c r="D10" s="153"/>
      <c r="E10" s="153"/>
      <c r="F10" s="153"/>
      <c r="G10" s="153"/>
      <c r="H10" s="153"/>
      <c r="I10" s="153"/>
      <c r="J10" s="72">
        <v>0</v>
      </c>
      <c r="K10" s="72"/>
      <c r="M10" s="154" t="s">
        <v>13</v>
      </c>
      <c r="N10" s="154"/>
      <c r="O10" s="154"/>
      <c r="P10" s="77">
        <v>10</v>
      </c>
    </row>
    <row r="11" spans="1:16" ht="32.4" customHeight="1" x14ac:dyDescent="0.3">
      <c r="A11" s="76">
        <v>11</v>
      </c>
      <c r="B11" s="73" t="s">
        <v>7</v>
      </c>
      <c r="C11" s="153" t="s">
        <v>90</v>
      </c>
      <c r="D11" s="153"/>
      <c r="E11" s="153"/>
      <c r="F11" s="153"/>
      <c r="G11" s="153"/>
      <c r="H11" s="153"/>
      <c r="I11" s="153"/>
      <c r="J11" s="72">
        <v>0</v>
      </c>
      <c r="K11" s="72"/>
      <c r="P11" s="196" t="str">
        <f>'Cleric A'!P11</f>
        <v>TS: tiro ≥ valore = successo</v>
      </c>
    </row>
    <row r="12" spans="1:16" ht="8.4" customHeight="1" x14ac:dyDescent="0.3">
      <c r="A12" s="79"/>
      <c r="P12" s="78"/>
    </row>
    <row r="13" spans="1:16" s="3" customFormat="1" ht="15.6" customHeight="1" x14ac:dyDescent="0.3">
      <c r="A13" s="80" t="s">
        <v>16</v>
      </c>
      <c r="B13" s="40"/>
      <c r="C13" s="37"/>
      <c r="E13" s="40" t="s">
        <v>17</v>
      </c>
      <c r="F13" s="40"/>
      <c r="G13" s="40"/>
      <c r="H13" s="37"/>
      <c r="I13" s="6" t="s">
        <v>66</v>
      </c>
      <c r="J13" s="6" t="s">
        <v>67</v>
      </c>
      <c r="K13" s="6" t="s">
        <v>68</v>
      </c>
      <c r="N13" s="40" t="s">
        <v>56</v>
      </c>
      <c r="O13" s="41"/>
      <c r="P13" s="81"/>
    </row>
    <row r="14" spans="1:16" s="3" customFormat="1" ht="15.6" customHeight="1" x14ac:dyDescent="0.3">
      <c r="A14" s="155" t="s">
        <v>172</v>
      </c>
      <c r="B14" s="156"/>
      <c r="E14" s="37" t="s">
        <v>21</v>
      </c>
      <c r="F14" s="37"/>
      <c r="H14" s="7" t="s">
        <v>71</v>
      </c>
      <c r="I14" s="82">
        <v>20</v>
      </c>
      <c r="J14" s="1">
        <f>K14*1.5</f>
        <v>6</v>
      </c>
      <c r="K14" s="1">
        <f>I14/5</f>
        <v>4</v>
      </c>
      <c r="N14" s="3" t="s">
        <v>190</v>
      </c>
      <c r="P14" s="71"/>
    </row>
    <row r="15" spans="1:16" s="3" customFormat="1" ht="15.6" customHeight="1" x14ac:dyDescent="0.3">
      <c r="A15" s="157"/>
      <c r="B15" s="158"/>
      <c r="E15" s="83" t="s">
        <v>37</v>
      </c>
      <c r="F15" s="83"/>
      <c r="G15" s="84"/>
      <c r="H15" s="85" t="s">
        <v>72</v>
      </c>
      <c r="I15" s="86">
        <f>I14*3</f>
        <v>60</v>
      </c>
      <c r="J15" s="86">
        <f>K15*1.5</f>
        <v>18</v>
      </c>
      <c r="K15" s="86">
        <f t="shared" ref="K15:K18" si="0">I15/5</f>
        <v>12</v>
      </c>
      <c r="N15" s="3" t="s">
        <v>136</v>
      </c>
      <c r="P15" s="71"/>
    </row>
    <row r="16" spans="1:16" s="3" customFormat="1" ht="15.6" customHeight="1" x14ac:dyDescent="0.3">
      <c r="A16" s="157"/>
      <c r="B16" s="158"/>
      <c r="E16" s="37" t="s">
        <v>18</v>
      </c>
      <c r="F16" s="37"/>
      <c r="H16" s="7" t="s">
        <v>71</v>
      </c>
      <c r="I16" s="82">
        <f>I14*3</f>
        <v>60</v>
      </c>
      <c r="J16" s="1">
        <f>K16*1.5</f>
        <v>18</v>
      </c>
      <c r="K16" s="1">
        <f t="shared" si="0"/>
        <v>12</v>
      </c>
      <c r="N16" s="3" t="s">
        <v>198</v>
      </c>
      <c r="P16" s="71"/>
    </row>
    <row r="17" spans="1:16" s="3" customFormat="1" ht="15.6" customHeight="1" x14ac:dyDescent="0.3">
      <c r="A17" s="87" t="s">
        <v>207</v>
      </c>
      <c r="B17" s="88"/>
      <c r="E17" s="83" t="s">
        <v>35</v>
      </c>
      <c r="F17" s="83"/>
      <c r="G17" s="84"/>
      <c r="H17" s="85" t="s">
        <v>71</v>
      </c>
      <c r="I17" s="86">
        <f>I14/2</f>
        <v>10</v>
      </c>
      <c r="J17" s="86">
        <f>K17*1.5</f>
        <v>3</v>
      </c>
      <c r="K17" s="86">
        <f t="shared" si="0"/>
        <v>2</v>
      </c>
      <c r="N17" s="3" t="s">
        <v>60</v>
      </c>
      <c r="P17" s="71"/>
    </row>
    <row r="18" spans="1:16" s="3" customFormat="1" ht="15.6" customHeight="1" x14ac:dyDescent="0.3">
      <c r="A18" s="87" t="s">
        <v>96</v>
      </c>
      <c r="B18" s="89"/>
      <c r="E18" s="37" t="s">
        <v>36</v>
      </c>
      <c r="F18" s="37"/>
      <c r="H18" s="7" t="s">
        <v>71</v>
      </c>
      <c r="I18" s="82">
        <f>I14/2</f>
        <v>10</v>
      </c>
      <c r="J18" s="1">
        <f>K18*1.5</f>
        <v>3</v>
      </c>
      <c r="K18" s="1">
        <f t="shared" si="0"/>
        <v>2</v>
      </c>
      <c r="N18" s="3" t="s">
        <v>59</v>
      </c>
      <c r="P18" s="71"/>
    </row>
    <row r="19" spans="1:16" s="3" customFormat="1" ht="15.6" customHeight="1" x14ac:dyDescent="0.3">
      <c r="A19" s="90"/>
      <c r="B19" s="38"/>
      <c r="E19" s="83" t="s">
        <v>22</v>
      </c>
      <c r="F19" s="83"/>
      <c r="G19" s="84"/>
      <c r="H19" s="85" t="s">
        <v>73</v>
      </c>
      <c r="I19" s="91" t="s">
        <v>147</v>
      </c>
      <c r="J19" s="91" t="s">
        <v>69</v>
      </c>
      <c r="K19" s="91"/>
      <c r="N19" s="3" t="s">
        <v>197</v>
      </c>
      <c r="P19" s="71"/>
    </row>
    <row r="20" spans="1:16" s="3" customFormat="1" ht="15.6" customHeight="1" x14ac:dyDescent="0.3">
      <c r="A20" s="92" t="s">
        <v>242</v>
      </c>
      <c r="B20" s="53"/>
      <c r="N20" s="147" t="s">
        <v>179</v>
      </c>
      <c r="O20" s="147"/>
      <c r="P20" s="148"/>
    </row>
    <row r="21" spans="1:16" s="3" customFormat="1" ht="15.6" customHeight="1" x14ac:dyDescent="0.3">
      <c r="A21" s="90" t="s">
        <v>243</v>
      </c>
      <c r="B21" s="39"/>
      <c r="E21" s="93" t="str">
        <f>'Cleric A'!E21</f>
        <v>Carica, Ritirata difensiva, Difesa totale</v>
      </c>
      <c r="O21" s="94"/>
      <c r="P21" s="95"/>
    </row>
    <row r="22" spans="1:16" ht="15.6" customHeight="1" x14ac:dyDescent="0.3">
      <c r="A22" s="96" t="s">
        <v>244</v>
      </c>
      <c r="B22" s="54"/>
      <c r="E22" s="93" t="str">
        <f>'Cleric A'!E22</f>
        <v>Spinta, Disarmo, Parare (F), Colpo potente (F)</v>
      </c>
      <c r="N22" s="97"/>
      <c r="O22" s="97" t="s">
        <v>46</v>
      </c>
      <c r="P22" s="98">
        <v>8</v>
      </c>
    </row>
    <row r="23" spans="1:16" ht="15.6" customHeight="1" x14ac:dyDescent="0.3">
      <c r="A23" s="90" t="s">
        <v>245</v>
      </c>
      <c r="B23" s="39"/>
      <c r="E23" s="93" t="str">
        <f>'Cleric A'!E23</f>
        <v>Afferrrare, Liberarsi da presa, Azione Pronta</v>
      </c>
      <c r="M23" s="37"/>
      <c r="N23" s="99"/>
      <c r="O23" s="39"/>
      <c r="P23" s="100"/>
    </row>
    <row r="24" spans="1:16" ht="15.6" customHeight="1" x14ac:dyDescent="0.3">
      <c r="A24" s="96" t="s">
        <v>246</v>
      </c>
      <c r="B24" s="54"/>
      <c r="E24" s="93" t="str">
        <f>'Cleric A'!E24</f>
        <v xml:space="preserve">Attraversare alleati ©, Passare posizione © , </v>
      </c>
      <c r="M24" s="37"/>
      <c r="N24" s="52"/>
      <c r="O24" s="52" t="s">
        <v>236</v>
      </c>
      <c r="P24" s="101" t="s">
        <v>237</v>
      </c>
    </row>
    <row r="25" spans="1:16" ht="15.6" customHeight="1" x14ac:dyDescent="0.3">
      <c r="A25" s="90" t="s">
        <v>247</v>
      </c>
      <c r="B25" s="39"/>
      <c r="C25" s="102"/>
      <c r="E25" s="93" t="str">
        <f>'Cleric A'!E25</f>
        <v>Azione pronta, Preparare per carica</v>
      </c>
      <c r="N25" s="103" t="s">
        <v>42</v>
      </c>
      <c r="O25" s="39"/>
      <c r="P25" s="104"/>
    </row>
    <row r="26" spans="1:16" ht="15.6" customHeight="1" x14ac:dyDescent="0.3">
      <c r="A26" s="96" t="s">
        <v>79</v>
      </c>
      <c r="B26" s="54"/>
      <c r="C26" s="102"/>
      <c r="E26" s="93" t="str">
        <f>'Cleric A'!E26</f>
        <v>Prone: +2 TxC nemici, metà mov per alzarsi</v>
      </c>
      <c r="N26" s="103" t="s">
        <v>39</v>
      </c>
      <c r="O26" s="39"/>
      <c r="P26" s="104">
        <v>500</v>
      </c>
    </row>
    <row r="27" spans="1:16" ht="15.6" customHeight="1" x14ac:dyDescent="0.3">
      <c r="A27" s="105" t="s">
        <v>248</v>
      </c>
      <c r="B27" s="33"/>
      <c r="E27" s="93" t="str">
        <f>'Cleric A'!E27</f>
        <v>Copertura: Parziale -2 TxC | Totale -4 TxC</v>
      </c>
      <c r="N27" s="106" t="s">
        <v>43</v>
      </c>
      <c r="O27" s="39"/>
      <c r="P27" s="104"/>
    </row>
    <row r="28" spans="1:16" ht="15.6" customHeight="1" x14ac:dyDescent="0.3">
      <c r="A28" s="79"/>
      <c r="E28" s="93" t="str">
        <f>'Cleric A'!E28</f>
        <v>Tiro oltre 1* alleato: -2 TxC, 1 Colpito Alleato</v>
      </c>
      <c r="N28" s="106" t="s">
        <v>40</v>
      </c>
      <c r="O28" s="39"/>
      <c r="P28" s="104"/>
    </row>
    <row r="29" spans="1:16" ht="15.6" customHeight="1" x14ac:dyDescent="0.3">
      <c r="A29" s="105"/>
      <c r="B29" s="33"/>
      <c r="E29" s="93" t="str">
        <f>'Cleric A'!E29</f>
        <v>Distanza:   corta +1, lunga -1</v>
      </c>
      <c r="N29" s="107"/>
      <c r="O29" s="97" t="s">
        <v>46</v>
      </c>
      <c r="P29" s="98">
        <v>5</v>
      </c>
    </row>
    <row r="30" spans="1:16" x14ac:dyDescent="0.3">
      <c r="A30" s="79"/>
      <c r="E30" s="93" t="str">
        <f>'Cleric A'!E30</f>
        <v>Copertura vs area: Parz. +2 TS, Quasi tot. +4 TS</v>
      </c>
      <c r="P30" s="78"/>
    </row>
    <row r="31" spans="1:16" ht="15.6" customHeight="1" x14ac:dyDescent="0.3">
      <c r="A31" s="105"/>
      <c r="B31" s="33"/>
      <c r="E31" s="93"/>
      <c r="P31" s="78"/>
    </row>
    <row r="32" spans="1:16" ht="15.6" customHeight="1" x14ac:dyDescent="0.3">
      <c r="A32" s="108"/>
      <c r="B32" s="109"/>
      <c r="C32" s="102"/>
      <c r="E32" s="93"/>
      <c r="G32" s="82"/>
      <c r="I32" s="82"/>
      <c r="N32" s="40" t="s">
        <v>29</v>
      </c>
      <c r="O32" s="42"/>
      <c r="P32" s="75"/>
    </row>
    <row r="33" spans="1:27" ht="15.6" customHeight="1" x14ac:dyDescent="0.3">
      <c r="A33" s="110" t="s">
        <v>204</v>
      </c>
      <c r="B33" s="5"/>
      <c r="C33" s="102"/>
      <c r="N33" s="2" t="s">
        <v>54</v>
      </c>
      <c r="P33" s="78"/>
    </row>
    <row r="34" spans="1:27" ht="15.6" customHeight="1" x14ac:dyDescent="0.3">
      <c r="A34" s="110" t="s">
        <v>202</v>
      </c>
      <c r="B34" s="5"/>
      <c r="C34" s="102"/>
      <c r="N34" s="2" t="s">
        <v>205</v>
      </c>
      <c r="P34" s="78"/>
    </row>
    <row r="35" spans="1:27" x14ac:dyDescent="0.3">
      <c r="A35" s="110" t="s">
        <v>203</v>
      </c>
      <c r="B35" s="5"/>
      <c r="C35" s="102"/>
      <c r="N35" s="2" t="s">
        <v>55</v>
      </c>
      <c r="P35" s="78"/>
    </row>
    <row r="36" spans="1:27" x14ac:dyDescent="0.3">
      <c r="A36" s="79"/>
      <c r="L36" s="111" t="s">
        <v>206</v>
      </c>
      <c r="P36" s="78"/>
    </row>
    <row r="37" spans="1:27" ht="15.6" x14ac:dyDescent="0.3">
      <c r="A37" s="112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49" t="s">
        <v>26</v>
      </c>
      <c r="N37" s="149"/>
      <c r="O37" s="40" t="s">
        <v>27</v>
      </c>
      <c r="P37" s="75"/>
    </row>
    <row r="38" spans="1:27" ht="18" x14ac:dyDescent="0.3">
      <c r="A38" s="110" t="s">
        <v>199</v>
      </c>
      <c r="B38" s="1" t="s">
        <v>23</v>
      </c>
      <c r="C38" s="113">
        <v>7</v>
      </c>
      <c r="D38" s="114">
        <f>C38+1</f>
        <v>8</v>
      </c>
      <c r="E38" s="113">
        <f t="shared" ref="E38:L38" si="2">D38+1</f>
        <v>9</v>
      </c>
      <c r="F38" s="114">
        <f t="shared" si="2"/>
        <v>10</v>
      </c>
      <c r="G38" s="113">
        <f t="shared" si="2"/>
        <v>11</v>
      </c>
      <c r="H38" s="114">
        <f t="shared" si="2"/>
        <v>12</v>
      </c>
      <c r="I38" s="113">
        <f t="shared" si="2"/>
        <v>13</v>
      </c>
      <c r="J38" s="114">
        <f t="shared" si="2"/>
        <v>14</v>
      </c>
      <c r="K38" s="113">
        <f t="shared" si="2"/>
        <v>15</v>
      </c>
      <c r="L38" s="114">
        <f t="shared" si="2"/>
        <v>16</v>
      </c>
      <c r="M38" s="150" t="s">
        <v>200</v>
      </c>
      <c r="N38" s="150"/>
      <c r="P38" s="78"/>
    </row>
    <row r="39" spans="1:27" ht="18" x14ac:dyDescent="0.3">
      <c r="A39" s="110" t="s">
        <v>24</v>
      </c>
      <c r="B39" s="1" t="s">
        <v>23</v>
      </c>
      <c r="C39" s="113">
        <v>7</v>
      </c>
      <c r="D39" s="114">
        <f t="shared" ref="D39:L40" si="3">C39+1</f>
        <v>8</v>
      </c>
      <c r="E39" s="113">
        <f t="shared" si="3"/>
        <v>9</v>
      </c>
      <c r="F39" s="114">
        <f t="shared" si="3"/>
        <v>10</v>
      </c>
      <c r="G39" s="113">
        <f t="shared" si="3"/>
        <v>11</v>
      </c>
      <c r="H39" s="114">
        <f t="shared" si="3"/>
        <v>12</v>
      </c>
      <c r="I39" s="113">
        <f t="shared" si="3"/>
        <v>13</v>
      </c>
      <c r="J39" s="114">
        <f t="shared" si="3"/>
        <v>14</v>
      </c>
      <c r="K39" s="113">
        <f t="shared" si="3"/>
        <v>15</v>
      </c>
      <c r="L39" s="114">
        <f t="shared" si="3"/>
        <v>16</v>
      </c>
      <c r="M39" s="151" t="s">
        <v>176</v>
      </c>
      <c r="N39" s="151"/>
      <c r="O39" s="3" t="s">
        <v>118</v>
      </c>
      <c r="P39" s="78"/>
      <c r="AA39"/>
    </row>
    <row r="40" spans="1:27" ht="18.600000000000001" thickBot="1" x14ac:dyDescent="0.35">
      <c r="A40" s="115" t="s">
        <v>53</v>
      </c>
      <c r="B40" s="116" t="s">
        <v>80</v>
      </c>
      <c r="C40" s="117">
        <v>6</v>
      </c>
      <c r="D40" s="118">
        <f t="shared" si="3"/>
        <v>7</v>
      </c>
      <c r="E40" s="117">
        <f t="shared" si="3"/>
        <v>8</v>
      </c>
      <c r="F40" s="118">
        <f t="shared" si="3"/>
        <v>9</v>
      </c>
      <c r="G40" s="117">
        <f t="shared" si="3"/>
        <v>10</v>
      </c>
      <c r="H40" s="118">
        <f t="shared" si="3"/>
        <v>11</v>
      </c>
      <c r="I40" s="117">
        <f t="shared" si="3"/>
        <v>12</v>
      </c>
      <c r="J40" s="118">
        <f t="shared" si="3"/>
        <v>13</v>
      </c>
      <c r="K40" s="117">
        <f t="shared" si="3"/>
        <v>14</v>
      </c>
      <c r="L40" s="118">
        <f t="shared" si="3"/>
        <v>15</v>
      </c>
      <c r="M40" s="152" t="s">
        <v>84</v>
      </c>
      <c r="N40" s="152"/>
      <c r="O40" s="119" t="s">
        <v>201</v>
      </c>
      <c r="P40" s="120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zoomScale="120" zoomScaleNormal="120" workbookViewId="0">
      <selection activeCell="K4" sqref="K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181</v>
      </c>
      <c r="C1" s="56"/>
      <c r="D1" s="57"/>
      <c r="E1" s="58"/>
      <c r="F1" s="59"/>
      <c r="G1" s="60" t="s">
        <v>191</v>
      </c>
      <c r="H1" s="56"/>
      <c r="I1" s="59"/>
      <c r="J1" s="61"/>
      <c r="K1" s="62" t="s">
        <v>34</v>
      </c>
      <c r="L1" s="57"/>
      <c r="M1" s="57"/>
      <c r="N1" s="63" t="s">
        <v>183</v>
      </c>
      <c r="O1" s="56"/>
      <c r="P1" s="64"/>
    </row>
    <row r="2" spans="1:16" ht="20.399999999999999" customHeight="1" x14ac:dyDescent="0.3">
      <c r="A2" s="65" t="s">
        <v>94</v>
      </c>
      <c r="B2" s="46" t="s">
        <v>182</v>
      </c>
      <c r="C2" s="46"/>
      <c r="D2" s="66"/>
      <c r="E2" s="47" t="s">
        <v>33</v>
      </c>
      <c r="F2" s="48"/>
      <c r="G2" s="48" t="s">
        <v>182</v>
      </c>
      <c r="H2" s="48"/>
      <c r="I2" s="49" t="s">
        <v>128</v>
      </c>
      <c r="J2" s="66"/>
      <c r="K2" s="67" t="s">
        <v>1</v>
      </c>
      <c r="L2" s="68"/>
      <c r="M2" s="68"/>
      <c r="N2" s="46" t="s">
        <v>50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126" t="s">
        <v>8</v>
      </c>
      <c r="B4" s="199">
        <v>4</v>
      </c>
      <c r="C4" s="1"/>
      <c r="E4" s="127" t="s">
        <v>46</v>
      </c>
      <c r="F4" s="198">
        <v>24</v>
      </c>
      <c r="G4" s="197" t="s">
        <v>110</v>
      </c>
      <c r="H4" s="1"/>
      <c r="I4" s="1"/>
      <c r="J4" s="128"/>
      <c r="L4" s="129" t="s">
        <v>93</v>
      </c>
      <c r="M4" s="198">
        <v>0</v>
      </c>
      <c r="N4" s="1"/>
      <c r="O4" s="127" t="s">
        <v>9</v>
      </c>
      <c r="P4" s="130">
        <v>30</v>
      </c>
    </row>
    <row r="5" spans="1:16" ht="19.8" customHeight="1" x14ac:dyDescent="0.3">
      <c r="A5" s="74" t="s">
        <v>29</v>
      </c>
      <c r="B5" s="43"/>
      <c r="J5" s="2" t="s">
        <v>92</v>
      </c>
      <c r="M5" s="43" t="s">
        <v>10</v>
      </c>
      <c r="N5" s="42"/>
      <c r="O5" s="42"/>
      <c r="P5" s="75"/>
    </row>
    <row r="6" spans="1:16" ht="32.4" customHeight="1" x14ac:dyDescent="0.3">
      <c r="A6" s="76">
        <v>16</v>
      </c>
      <c r="B6" s="73" t="s">
        <v>2</v>
      </c>
      <c r="C6" s="153" t="s">
        <v>115</v>
      </c>
      <c r="D6" s="153"/>
      <c r="E6" s="153"/>
      <c r="F6" s="153"/>
      <c r="G6" s="153"/>
      <c r="H6" s="153"/>
      <c r="I6" s="153"/>
      <c r="J6" s="72">
        <v>2</v>
      </c>
      <c r="K6" s="72"/>
      <c r="M6" s="154" t="s">
        <v>51</v>
      </c>
      <c r="N6" s="154"/>
      <c r="O6" s="154"/>
      <c r="P6" s="77">
        <v>10</v>
      </c>
    </row>
    <row r="7" spans="1:16" ht="32.4" customHeight="1" x14ac:dyDescent="0.3">
      <c r="A7" s="76">
        <v>12</v>
      </c>
      <c r="B7" s="73" t="s">
        <v>3</v>
      </c>
      <c r="C7" s="153" t="s">
        <v>87</v>
      </c>
      <c r="D7" s="153"/>
      <c r="E7" s="153"/>
      <c r="F7" s="153"/>
      <c r="G7" s="153"/>
      <c r="H7" s="153"/>
      <c r="I7" s="153"/>
      <c r="J7" s="72">
        <v>0</v>
      </c>
      <c r="K7" s="72"/>
      <c r="M7" s="154" t="s">
        <v>11</v>
      </c>
      <c r="N7" s="154"/>
      <c r="O7" s="154"/>
      <c r="P7" s="77">
        <v>11</v>
      </c>
    </row>
    <row r="8" spans="1:16" ht="32.4" customHeight="1" x14ac:dyDescent="0.3">
      <c r="A8" s="76">
        <v>13</v>
      </c>
      <c r="B8" s="73" t="s">
        <v>4</v>
      </c>
      <c r="C8" s="153" t="s">
        <v>130</v>
      </c>
      <c r="D8" s="153"/>
      <c r="E8" s="153"/>
      <c r="F8" s="153"/>
      <c r="G8" s="153"/>
      <c r="H8" s="153"/>
      <c r="I8" s="153"/>
      <c r="J8" s="72">
        <v>1</v>
      </c>
      <c r="K8" s="72"/>
      <c r="M8" s="154" t="s">
        <v>14</v>
      </c>
      <c r="N8" s="154"/>
      <c r="O8" s="154"/>
      <c r="P8" s="77">
        <v>11</v>
      </c>
    </row>
    <row r="9" spans="1:16" ht="32.4" customHeight="1" x14ac:dyDescent="0.3">
      <c r="A9" s="76">
        <v>17</v>
      </c>
      <c r="B9" s="73" t="s">
        <v>5</v>
      </c>
      <c r="C9" s="153" t="s">
        <v>131</v>
      </c>
      <c r="D9" s="153"/>
      <c r="E9" s="153"/>
      <c r="F9" s="153"/>
      <c r="G9" s="153"/>
      <c r="H9" s="153"/>
      <c r="I9" s="153"/>
      <c r="J9" s="72">
        <v>2</v>
      </c>
      <c r="K9" s="72"/>
      <c r="M9" s="154" t="s">
        <v>12</v>
      </c>
      <c r="N9" s="154"/>
      <c r="O9" s="154"/>
      <c r="P9" s="77">
        <v>13</v>
      </c>
    </row>
    <row r="10" spans="1:16" ht="32.4" customHeight="1" x14ac:dyDescent="0.3">
      <c r="A10" s="76">
        <v>11</v>
      </c>
      <c r="B10" s="73" t="s">
        <v>6</v>
      </c>
      <c r="C10" s="153" t="s">
        <v>87</v>
      </c>
      <c r="D10" s="153"/>
      <c r="E10" s="153"/>
      <c r="F10" s="153"/>
      <c r="G10" s="153"/>
      <c r="H10" s="153"/>
      <c r="I10" s="153"/>
      <c r="J10" s="72">
        <v>0</v>
      </c>
      <c r="K10" s="72"/>
      <c r="M10" s="154" t="s">
        <v>13</v>
      </c>
      <c r="N10" s="154"/>
      <c r="O10" s="154"/>
      <c r="P10" s="77">
        <v>12</v>
      </c>
    </row>
    <row r="11" spans="1:16" ht="32.4" customHeight="1" x14ac:dyDescent="0.3">
      <c r="A11" s="76">
        <v>10</v>
      </c>
      <c r="B11" s="73" t="s">
        <v>7</v>
      </c>
      <c r="C11" s="153" t="s">
        <v>90</v>
      </c>
      <c r="D11" s="153"/>
      <c r="E11" s="153"/>
      <c r="F11" s="153"/>
      <c r="G11" s="153"/>
      <c r="H11" s="153"/>
      <c r="I11" s="153"/>
      <c r="J11" s="72">
        <v>0</v>
      </c>
      <c r="K11" s="72"/>
      <c r="P11" s="196" t="str">
        <f>'Cleric A'!P11</f>
        <v>TS: tiro ≥ valore = successo</v>
      </c>
    </row>
    <row r="12" spans="1:16" ht="8.4" customHeight="1" x14ac:dyDescent="0.3">
      <c r="A12" s="79"/>
      <c r="P12" s="78"/>
    </row>
    <row r="13" spans="1:16" s="3" customFormat="1" ht="15.6" customHeight="1" x14ac:dyDescent="0.3">
      <c r="A13" s="80" t="s">
        <v>16</v>
      </c>
      <c r="B13" s="40"/>
      <c r="C13" s="37"/>
      <c r="E13" s="40" t="s">
        <v>17</v>
      </c>
      <c r="F13" s="40"/>
      <c r="G13" s="40"/>
      <c r="H13" s="37"/>
      <c r="I13" s="6" t="s">
        <v>66</v>
      </c>
      <c r="J13" s="6" t="s">
        <v>67</v>
      </c>
      <c r="K13" s="6" t="s">
        <v>68</v>
      </c>
      <c r="N13" s="40" t="s">
        <v>56</v>
      </c>
      <c r="O13" s="41"/>
      <c r="P13" s="81"/>
    </row>
    <row r="14" spans="1:16" s="3" customFormat="1" ht="15.6" customHeight="1" x14ac:dyDescent="0.3">
      <c r="A14" s="155" t="s">
        <v>172</v>
      </c>
      <c r="B14" s="156"/>
      <c r="E14" s="37" t="s">
        <v>21</v>
      </c>
      <c r="F14" s="37"/>
      <c r="H14" s="7" t="s">
        <v>71</v>
      </c>
      <c r="I14" s="82">
        <v>30</v>
      </c>
      <c r="J14" s="1">
        <f>K14*1.5</f>
        <v>9</v>
      </c>
      <c r="K14" s="1">
        <f>I14/5</f>
        <v>6</v>
      </c>
      <c r="N14" s="3" t="s">
        <v>190</v>
      </c>
      <c r="P14" s="71"/>
    </row>
    <row r="15" spans="1:16" s="3" customFormat="1" ht="15.6" customHeight="1" x14ac:dyDescent="0.3">
      <c r="A15" s="157"/>
      <c r="B15" s="158"/>
      <c r="E15" s="83" t="s">
        <v>37</v>
      </c>
      <c r="F15" s="83"/>
      <c r="G15" s="84"/>
      <c r="H15" s="85" t="s">
        <v>72</v>
      </c>
      <c r="I15" s="86">
        <f>I14*3</f>
        <v>90</v>
      </c>
      <c r="J15" s="86">
        <f>K15*1.5</f>
        <v>27</v>
      </c>
      <c r="K15" s="86">
        <f t="shared" ref="K15:K18" si="0">I15/5</f>
        <v>18</v>
      </c>
      <c r="N15" s="3" t="s">
        <v>136</v>
      </c>
      <c r="P15" s="71"/>
    </row>
    <row r="16" spans="1:16" s="3" customFormat="1" ht="15.6" customHeight="1" x14ac:dyDescent="0.3">
      <c r="A16" s="157"/>
      <c r="B16" s="158"/>
      <c r="E16" s="37" t="s">
        <v>18</v>
      </c>
      <c r="F16" s="37"/>
      <c r="H16" s="7" t="s">
        <v>71</v>
      </c>
      <c r="I16" s="82">
        <f>I14*3</f>
        <v>90</v>
      </c>
      <c r="J16" s="1">
        <f>K16*1.5</f>
        <v>27</v>
      </c>
      <c r="K16" s="1">
        <f t="shared" si="0"/>
        <v>18</v>
      </c>
      <c r="N16" s="3" t="s">
        <v>154</v>
      </c>
      <c r="P16" s="71"/>
    </row>
    <row r="17" spans="1:16" s="3" customFormat="1" ht="15.6" customHeight="1" x14ac:dyDescent="0.3">
      <c r="A17" s="87" t="s">
        <v>207</v>
      </c>
      <c r="B17" s="88"/>
      <c r="E17" s="83" t="s">
        <v>35</v>
      </c>
      <c r="F17" s="83"/>
      <c r="G17" s="84"/>
      <c r="H17" s="85" t="s">
        <v>71</v>
      </c>
      <c r="I17" s="86">
        <f>I14/2</f>
        <v>15</v>
      </c>
      <c r="J17" s="86">
        <f>K17*1.5</f>
        <v>4.5</v>
      </c>
      <c r="K17" s="86">
        <f t="shared" si="0"/>
        <v>3</v>
      </c>
      <c r="N17" s="3" t="s">
        <v>113</v>
      </c>
      <c r="P17" s="71"/>
    </row>
    <row r="18" spans="1:16" s="3" customFormat="1" ht="15.6" customHeight="1" x14ac:dyDescent="0.3">
      <c r="A18" s="87" t="s">
        <v>96</v>
      </c>
      <c r="B18" s="89"/>
      <c r="E18" s="37" t="s">
        <v>36</v>
      </c>
      <c r="F18" s="37"/>
      <c r="H18" s="7" t="s">
        <v>71</v>
      </c>
      <c r="I18" s="82">
        <f>I14/2</f>
        <v>15</v>
      </c>
      <c r="J18" s="1">
        <f>K18*1.5</f>
        <v>4.5</v>
      </c>
      <c r="K18" s="1">
        <f t="shared" si="0"/>
        <v>3</v>
      </c>
      <c r="N18" s="3" t="s">
        <v>60</v>
      </c>
      <c r="P18" s="71"/>
    </row>
    <row r="19" spans="1:16" s="3" customFormat="1" ht="15.6" customHeight="1" x14ac:dyDescent="0.3">
      <c r="A19" s="90"/>
      <c r="B19" s="38"/>
      <c r="E19" s="83" t="s">
        <v>22</v>
      </c>
      <c r="F19" s="83"/>
      <c r="G19" s="84"/>
      <c r="H19" s="85" t="s">
        <v>73</v>
      </c>
      <c r="I19" s="91" t="s">
        <v>193</v>
      </c>
      <c r="J19" s="91" t="s">
        <v>194</v>
      </c>
      <c r="K19" s="91"/>
      <c r="N19" s="3" t="s">
        <v>137</v>
      </c>
      <c r="P19" s="71"/>
    </row>
    <row r="20" spans="1:16" s="3" customFormat="1" ht="15.6" customHeight="1" x14ac:dyDescent="0.3">
      <c r="A20" s="92" t="s">
        <v>242</v>
      </c>
      <c r="B20" s="53"/>
      <c r="N20" s="147" t="s">
        <v>120</v>
      </c>
      <c r="O20" s="147"/>
      <c r="P20" s="148"/>
    </row>
    <row r="21" spans="1:16" s="3" customFormat="1" ht="15.6" customHeight="1" x14ac:dyDescent="0.3">
      <c r="A21" s="90" t="s">
        <v>243</v>
      </c>
      <c r="B21" s="39"/>
      <c r="E21" s="93" t="str">
        <f>'Cleric A'!E21</f>
        <v>Carica, Ritirata difensiva, Difesa totale</v>
      </c>
      <c r="N21" s="3" t="s">
        <v>179</v>
      </c>
      <c r="P21" s="95"/>
    </row>
    <row r="22" spans="1:16" ht="15.6" customHeight="1" x14ac:dyDescent="0.3">
      <c r="A22" s="96" t="s">
        <v>244</v>
      </c>
      <c r="B22" s="54"/>
      <c r="E22" s="93" t="str">
        <f>'Cleric A'!E22</f>
        <v>Spinta, Disarmo, Parare (F), Colpo potente (F)</v>
      </c>
      <c r="F22" s="3"/>
      <c r="N22" s="97"/>
      <c r="O22" s="97" t="s">
        <v>46</v>
      </c>
      <c r="P22" s="98">
        <v>12</v>
      </c>
    </row>
    <row r="23" spans="1:16" ht="15.6" customHeight="1" x14ac:dyDescent="0.3">
      <c r="A23" s="90" t="s">
        <v>245</v>
      </c>
      <c r="B23" s="39"/>
      <c r="E23" s="93" t="str">
        <f>'Cleric A'!E23</f>
        <v>Afferrrare, Liberarsi da presa, Azione Pronta</v>
      </c>
      <c r="M23" s="37"/>
      <c r="N23" s="99"/>
      <c r="O23" s="39"/>
      <c r="P23" s="100"/>
    </row>
    <row r="24" spans="1:16" ht="15.6" customHeight="1" x14ac:dyDescent="0.3">
      <c r="A24" s="96" t="s">
        <v>246</v>
      </c>
      <c r="B24" s="54"/>
      <c r="E24" s="93" t="str">
        <f>'Cleric A'!E24</f>
        <v xml:space="preserve">Attraversare alleati ©, Passare posizione © , </v>
      </c>
      <c r="M24" s="37"/>
      <c r="N24" s="52"/>
      <c r="O24" s="52" t="s">
        <v>236</v>
      </c>
      <c r="P24" s="101" t="s">
        <v>237</v>
      </c>
    </row>
    <row r="25" spans="1:16" ht="15.6" customHeight="1" x14ac:dyDescent="0.3">
      <c r="A25" s="90" t="s">
        <v>247</v>
      </c>
      <c r="B25" s="39"/>
      <c r="E25" s="93" t="str">
        <f>'Cleric A'!E25</f>
        <v>Azione pronta, Preparare per carica</v>
      </c>
      <c r="N25" s="103" t="s">
        <v>42</v>
      </c>
      <c r="O25" s="39"/>
      <c r="P25" s="104"/>
    </row>
    <row r="26" spans="1:16" ht="15.6" customHeight="1" x14ac:dyDescent="0.3">
      <c r="A26" s="96" t="s">
        <v>79</v>
      </c>
      <c r="B26" s="54"/>
      <c r="E26" s="93" t="str">
        <f>'Cleric A'!E26</f>
        <v>Prone: +2 TxC nemici, metà mov per alzarsi</v>
      </c>
      <c r="N26" s="103" t="s">
        <v>39</v>
      </c>
      <c r="O26" s="39"/>
      <c r="P26" s="104">
        <v>500</v>
      </c>
    </row>
    <row r="27" spans="1:16" ht="15.6" customHeight="1" x14ac:dyDescent="0.3">
      <c r="A27" s="105" t="s">
        <v>248</v>
      </c>
      <c r="B27" s="33"/>
      <c r="E27" s="93" t="str">
        <f>'Cleric A'!E27</f>
        <v>Copertura: Parziale -2 TxC | Totale -4 TxC</v>
      </c>
      <c r="N27" s="103" t="s">
        <v>43</v>
      </c>
      <c r="O27" s="39"/>
      <c r="P27" s="104"/>
    </row>
    <row r="28" spans="1:16" ht="15.6" customHeight="1" x14ac:dyDescent="0.3">
      <c r="A28" s="79"/>
      <c r="E28" s="93" t="str">
        <f>'Cleric A'!E28</f>
        <v>Tiro oltre 1* alleato: -2 TxC, 1 Colpito Alleato</v>
      </c>
      <c r="N28" s="103" t="s">
        <v>40</v>
      </c>
      <c r="O28" s="39"/>
      <c r="P28" s="104"/>
    </row>
    <row r="29" spans="1:16" ht="15.6" customHeight="1" x14ac:dyDescent="0.3">
      <c r="A29" s="105"/>
      <c r="B29" s="33"/>
      <c r="E29" s="93" t="str">
        <f>'Cleric A'!E29</f>
        <v>Distanza:   corta +1, lunga -1</v>
      </c>
      <c r="N29" s="107"/>
      <c r="O29" s="97" t="s">
        <v>46</v>
      </c>
      <c r="P29" s="98">
        <v>5</v>
      </c>
    </row>
    <row r="30" spans="1:16" x14ac:dyDescent="0.3">
      <c r="A30" s="79"/>
      <c r="E30" s="93" t="str">
        <f>'Cleric A'!E30</f>
        <v>Copertura vs area: Parz. +2 TS, Quasi tot. +4 TS</v>
      </c>
      <c r="P30" s="78"/>
    </row>
    <row r="31" spans="1:16" ht="15.6" customHeight="1" x14ac:dyDescent="0.3">
      <c r="A31" s="80" t="s">
        <v>41</v>
      </c>
      <c r="B31" s="40"/>
      <c r="C31" s="45" t="s">
        <v>97</v>
      </c>
      <c r="D31" s="42"/>
      <c r="E31" s="45" t="s">
        <v>98</v>
      </c>
      <c r="F31" s="42"/>
      <c r="G31" s="45" t="s">
        <v>99</v>
      </c>
      <c r="H31" s="42"/>
      <c r="I31" s="45"/>
      <c r="J31" s="42"/>
      <c r="K31" s="42"/>
      <c r="N31" s="40" t="s">
        <v>29</v>
      </c>
      <c r="O31" s="42"/>
      <c r="P31" s="75"/>
    </row>
    <row r="32" spans="1:16" x14ac:dyDescent="0.3">
      <c r="A32" s="121" t="s">
        <v>30</v>
      </c>
      <c r="B32" s="2" t="s">
        <v>188</v>
      </c>
      <c r="N32" s="2" t="s">
        <v>184</v>
      </c>
      <c r="P32" s="78"/>
    </row>
    <row r="33" spans="1:27" x14ac:dyDescent="0.3">
      <c r="A33" s="121" t="s">
        <v>31</v>
      </c>
      <c r="B33" s="2" t="s">
        <v>189</v>
      </c>
      <c r="N33" s="2" t="s">
        <v>32</v>
      </c>
      <c r="P33" s="78"/>
    </row>
    <row r="34" spans="1:27" x14ac:dyDescent="0.3">
      <c r="A34" s="121" t="s">
        <v>38</v>
      </c>
      <c r="B34" s="2" t="s">
        <v>187</v>
      </c>
      <c r="N34" s="2" t="s">
        <v>192</v>
      </c>
      <c r="P34" s="78"/>
    </row>
    <row r="35" spans="1:27" x14ac:dyDescent="0.3">
      <c r="A35" s="79"/>
      <c r="N35" s="2" t="s">
        <v>185</v>
      </c>
      <c r="P35" s="78"/>
    </row>
    <row r="36" spans="1:27" x14ac:dyDescent="0.3">
      <c r="A36" s="79"/>
      <c r="L36" s="111" t="s">
        <v>206</v>
      </c>
      <c r="P36" s="78"/>
    </row>
    <row r="37" spans="1:27" ht="15.6" x14ac:dyDescent="0.3">
      <c r="A37" s="112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49" t="s">
        <v>26</v>
      </c>
      <c r="N37" s="149"/>
      <c r="O37" s="40" t="s">
        <v>27</v>
      </c>
      <c r="P37" s="75"/>
    </row>
    <row r="38" spans="1:27" ht="18" x14ac:dyDescent="0.3">
      <c r="A38" s="110" t="s">
        <v>148</v>
      </c>
      <c r="B38" s="1" t="s">
        <v>23</v>
      </c>
      <c r="C38" s="113">
        <v>6</v>
      </c>
      <c r="D38" s="114">
        <f>C38+1</f>
        <v>7</v>
      </c>
      <c r="E38" s="113">
        <f t="shared" ref="E38:L38" si="2">D38+1</f>
        <v>8</v>
      </c>
      <c r="F38" s="114">
        <f t="shared" si="2"/>
        <v>9</v>
      </c>
      <c r="G38" s="113">
        <f t="shared" si="2"/>
        <v>10</v>
      </c>
      <c r="H38" s="114">
        <f t="shared" si="2"/>
        <v>11</v>
      </c>
      <c r="I38" s="113">
        <f t="shared" si="2"/>
        <v>12</v>
      </c>
      <c r="J38" s="114">
        <f t="shared" si="2"/>
        <v>13</v>
      </c>
      <c r="K38" s="113">
        <f t="shared" si="2"/>
        <v>14</v>
      </c>
      <c r="L38" s="114">
        <f t="shared" si="2"/>
        <v>15</v>
      </c>
      <c r="M38" s="150" t="s">
        <v>186</v>
      </c>
      <c r="N38" s="150"/>
      <c r="P38" s="78"/>
    </row>
    <row r="39" spans="1:27" ht="18" x14ac:dyDescent="0.3">
      <c r="A39" s="110" t="s">
        <v>24</v>
      </c>
      <c r="B39" s="1" t="s">
        <v>23</v>
      </c>
      <c r="C39" s="113">
        <v>6</v>
      </c>
      <c r="D39" s="114">
        <f t="shared" ref="D39:L40" si="3">C39+1</f>
        <v>7</v>
      </c>
      <c r="E39" s="113">
        <f t="shared" si="3"/>
        <v>8</v>
      </c>
      <c r="F39" s="114">
        <f t="shared" si="3"/>
        <v>9</v>
      </c>
      <c r="G39" s="113">
        <f t="shared" si="3"/>
        <v>10</v>
      </c>
      <c r="H39" s="114">
        <f t="shared" si="3"/>
        <v>11</v>
      </c>
      <c r="I39" s="113">
        <f t="shared" si="3"/>
        <v>12</v>
      </c>
      <c r="J39" s="114">
        <f t="shared" si="3"/>
        <v>13</v>
      </c>
      <c r="K39" s="113">
        <f t="shared" si="3"/>
        <v>14</v>
      </c>
      <c r="L39" s="114">
        <f t="shared" si="3"/>
        <v>15</v>
      </c>
      <c r="M39" s="151" t="s">
        <v>108</v>
      </c>
      <c r="N39" s="151"/>
      <c r="O39" s="3"/>
      <c r="P39" s="78"/>
      <c r="AA39"/>
    </row>
    <row r="40" spans="1:27" ht="18.600000000000001" thickBot="1" x14ac:dyDescent="0.35">
      <c r="A40" s="115" t="s">
        <v>25</v>
      </c>
      <c r="B40" s="116" t="s">
        <v>109</v>
      </c>
      <c r="C40" s="117">
        <v>8</v>
      </c>
      <c r="D40" s="118">
        <f t="shared" si="3"/>
        <v>9</v>
      </c>
      <c r="E40" s="117">
        <f t="shared" si="3"/>
        <v>10</v>
      </c>
      <c r="F40" s="118">
        <f t="shared" si="3"/>
        <v>11</v>
      </c>
      <c r="G40" s="117">
        <f t="shared" si="3"/>
        <v>12</v>
      </c>
      <c r="H40" s="118">
        <f t="shared" si="3"/>
        <v>13</v>
      </c>
      <c r="I40" s="117">
        <f t="shared" si="3"/>
        <v>14</v>
      </c>
      <c r="J40" s="118">
        <f t="shared" si="3"/>
        <v>15</v>
      </c>
      <c r="K40" s="117">
        <f t="shared" si="3"/>
        <v>16</v>
      </c>
      <c r="L40" s="118">
        <f t="shared" si="3"/>
        <v>17</v>
      </c>
      <c r="M40" s="152" t="s">
        <v>28</v>
      </c>
      <c r="N40" s="152"/>
      <c r="O40" s="119"/>
      <c r="P40" s="120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zoomScale="120" zoomScaleNormal="120" workbookViewId="0">
      <selection activeCell="L5" sqref="L5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166</v>
      </c>
      <c r="C1" s="56"/>
      <c r="D1" s="57"/>
      <c r="E1" s="58"/>
      <c r="F1" s="59"/>
      <c r="G1" s="60" t="s">
        <v>180</v>
      </c>
      <c r="H1" s="56"/>
      <c r="I1" s="59"/>
      <c r="J1" s="61"/>
      <c r="K1" s="62" t="s">
        <v>34</v>
      </c>
      <c r="L1" s="57"/>
      <c r="M1" s="57"/>
      <c r="N1" s="63" t="s">
        <v>95</v>
      </c>
      <c r="O1" s="56"/>
      <c r="P1" s="64"/>
    </row>
    <row r="2" spans="1:16" ht="20.399999999999999" customHeight="1" x14ac:dyDescent="0.3">
      <c r="A2" s="65" t="s">
        <v>94</v>
      </c>
      <c r="B2" s="46" t="s">
        <v>167</v>
      </c>
      <c r="C2" s="46"/>
      <c r="D2" s="66"/>
      <c r="E2" s="47" t="s">
        <v>33</v>
      </c>
      <c r="F2" s="48"/>
      <c r="G2" s="48" t="s">
        <v>167</v>
      </c>
      <c r="H2" s="48"/>
      <c r="I2" s="49" t="s">
        <v>128</v>
      </c>
      <c r="J2" s="66"/>
      <c r="K2" s="67" t="s">
        <v>1</v>
      </c>
      <c r="L2" s="68"/>
      <c r="M2" s="68"/>
      <c r="N2" s="46" t="s">
        <v>50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126" t="s">
        <v>8</v>
      </c>
      <c r="B4" s="199">
        <v>2</v>
      </c>
      <c r="C4" s="1"/>
      <c r="E4" s="127" t="s">
        <v>46</v>
      </c>
      <c r="F4" s="198">
        <v>22</v>
      </c>
      <c r="G4" s="197" t="s">
        <v>168</v>
      </c>
      <c r="H4" s="1"/>
      <c r="I4" s="1"/>
      <c r="J4" s="128"/>
      <c r="L4" s="129" t="s">
        <v>93</v>
      </c>
      <c r="M4" s="198">
        <v>0</v>
      </c>
      <c r="N4" s="1"/>
      <c r="O4" s="127" t="s">
        <v>9</v>
      </c>
      <c r="P4" s="130">
        <v>44</v>
      </c>
    </row>
    <row r="5" spans="1:16" ht="19.8" customHeight="1" x14ac:dyDescent="0.3">
      <c r="A5" s="74" t="s">
        <v>29</v>
      </c>
      <c r="B5" s="43"/>
      <c r="J5" s="2" t="s">
        <v>92</v>
      </c>
      <c r="M5" s="43" t="s">
        <v>10</v>
      </c>
      <c r="N5" s="42"/>
      <c r="O5" s="42"/>
      <c r="P5" s="75"/>
    </row>
    <row r="6" spans="1:16" ht="32.4" customHeight="1" x14ac:dyDescent="0.3">
      <c r="A6" s="76">
        <v>13</v>
      </c>
      <c r="B6" s="73" t="s">
        <v>2</v>
      </c>
      <c r="C6" s="153" t="s">
        <v>169</v>
      </c>
      <c r="D6" s="153"/>
      <c r="E6" s="153"/>
      <c r="F6" s="153"/>
      <c r="G6" s="153"/>
      <c r="H6" s="153"/>
      <c r="I6" s="153"/>
      <c r="J6" s="72">
        <v>1</v>
      </c>
      <c r="K6" s="72"/>
      <c r="M6" s="154" t="s">
        <v>51</v>
      </c>
      <c r="N6" s="154"/>
      <c r="O6" s="154"/>
      <c r="P6" s="77">
        <v>6</v>
      </c>
    </row>
    <row r="7" spans="1:16" ht="32.4" customHeight="1" x14ac:dyDescent="0.3">
      <c r="A7" s="76">
        <v>10</v>
      </c>
      <c r="B7" s="73" t="s">
        <v>3</v>
      </c>
      <c r="C7" s="153" t="s">
        <v>87</v>
      </c>
      <c r="D7" s="153"/>
      <c r="E7" s="153"/>
      <c r="F7" s="153"/>
      <c r="G7" s="153"/>
      <c r="H7" s="153"/>
      <c r="I7" s="153"/>
      <c r="J7" s="72">
        <v>0</v>
      </c>
      <c r="K7" s="72"/>
      <c r="M7" s="154" t="s">
        <v>11</v>
      </c>
      <c r="N7" s="154"/>
      <c r="O7" s="154"/>
      <c r="P7" s="77">
        <v>6</v>
      </c>
    </row>
    <row r="8" spans="1:16" ht="32.4" customHeight="1" x14ac:dyDescent="0.3">
      <c r="A8" s="76">
        <v>16</v>
      </c>
      <c r="B8" s="73" t="s">
        <v>4</v>
      </c>
      <c r="C8" s="153" t="s">
        <v>130</v>
      </c>
      <c r="D8" s="153"/>
      <c r="E8" s="153"/>
      <c r="F8" s="153"/>
      <c r="G8" s="153"/>
      <c r="H8" s="153"/>
      <c r="I8" s="153"/>
      <c r="J8" s="72">
        <v>2</v>
      </c>
      <c r="K8" s="72"/>
      <c r="M8" s="154" t="s">
        <v>14</v>
      </c>
      <c r="N8" s="154"/>
      <c r="O8" s="154"/>
      <c r="P8" s="77">
        <v>7</v>
      </c>
    </row>
    <row r="9" spans="1:16" ht="32.4" customHeight="1" x14ac:dyDescent="0.3">
      <c r="A9" s="76">
        <v>10</v>
      </c>
      <c r="B9" s="73" t="s">
        <v>5</v>
      </c>
      <c r="C9" s="153" t="s">
        <v>170</v>
      </c>
      <c r="D9" s="153"/>
      <c r="E9" s="153"/>
      <c r="F9" s="153"/>
      <c r="G9" s="153"/>
      <c r="H9" s="153"/>
      <c r="I9" s="153"/>
      <c r="J9" s="72">
        <v>0</v>
      </c>
      <c r="K9" s="72"/>
      <c r="M9" s="154" t="s">
        <v>12</v>
      </c>
      <c r="N9" s="154"/>
      <c r="O9" s="154"/>
      <c r="P9" s="77">
        <v>10</v>
      </c>
    </row>
    <row r="10" spans="1:16" ht="32.4" customHeight="1" x14ac:dyDescent="0.3">
      <c r="A10" s="76">
        <v>13</v>
      </c>
      <c r="B10" s="73" t="s">
        <v>6</v>
      </c>
      <c r="C10" s="153" t="s">
        <v>171</v>
      </c>
      <c r="D10" s="153"/>
      <c r="E10" s="153"/>
      <c r="F10" s="153"/>
      <c r="G10" s="153"/>
      <c r="H10" s="153"/>
      <c r="I10" s="153"/>
      <c r="J10" s="72">
        <v>1</v>
      </c>
      <c r="K10" s="72"/>
      <c r="M10" s="154" t="s">
        <v>13</v>
      </c>
      <c r="N10" s="154"/>
      <c r="O10" s="154"/>
      <c r="P10" s="77">
        <v>9</v>
      </c>
    </row>
    <row r="11" spans="1:16" ht="32.4" customHeight="1" x14ac:dyDescent="0.3">
      <c r="A11" s="76">
        <v>11</v>
      </c>
      <c r="B11" s="73" t="s">
        <v>7</v>
      </c>
      <c r="C11" s="153" t="s">
        <v>90</v>
      </c>
      <c r="D11" s="153"/>
      <c r="E11" s="153"/>
      <c r="F11" s="153"/>
      <c r="G11" s="153"/>
      <c r="H11" s="153"/>
      <c r="I11" s="153"/>
      <c r="J11" s="72">
        <v>0</v>
      </c>
      <c r="K11" s="72"/>
      <c r="P11" s="196" t="str">
        <f>'Cleric A'!P11</f>
        <v>TS: tiro ≥ valore = successo</v>
      </c>
    </row>
    <row r="12" spans="1:16" ht="9" customHeight="1" x14ac:dyDescent="0.3">
      <c r="A12" s="79"/>
      <c r="P12" s="78"/>
    </row>
    <row r="13" spans="1:16" s="3" customFormat="1" ht="15.6" customHeight="1" x14ac:dyDescent="0.3">
      <c r="A13" s="80" t="s">
        <v>16</v>
      </c>
      <c r="B13" s="40"/>
      <c r="C13" s="37"/>
      <c r="E13" s="40" t="s">
        <v>17</v>
      </c>
      <c r="F13" s="40"/>
      <c r="G13" s="40"/>
      <c r="H13" s="37"/>
      <c r="I13" s="6" t="s">
        <v>66</v>
      </c>
      <c r="J13" s="6" t="s">
        <v>67</v>
      </c>
      <c r="K13" s="6" t="s">
        <v>68</v>
      </c>
      <c r="N13" s="40" t="s">
        <v>56</v>
      </c>
      <c r="O13" s="41"/>
      <c r="P13" s="81"/>
    </row>
    <row r="14" spans="1:16" s="3" customFormat="1" ht="15.6" customHeight="1" x14ac:dyDescent="0.3">
      <c r="A14" s="155" t="s">
        <v>172</v>
      </c>
      <c r="B14" s="156"/>
      <c r="E14" s="37" t="s">
        <v>21</v>
      </c>
      <c r="F14" s="37"/>
      <c r="H14" s="7" t="s">
        <v>71</v>
      </c>
      <c r="I14" s="82">
        <v>20</v>
      </c>
      <c r="J14" s="1">
        <f>K14*1.5</f>
        <v>6</v>
      </c>
      <c r="K14" s="1">
        <f>I14/5</f>
        <v>4</v>
      </c>
      <c r="N14" s="3" t="s">
        <v>57</v>
      </c>
      <c r="P14" s="71"/>
    </row>
    <row r="15" spans="1:16" s="3" customFormat="1" ht="15.6" customHeight="1" x14ac:dyDescent="0.3">
      <c r="A15" s="157"/>
      <c r="B15" s="158"/>
      <c r="E15" s="83" t="s">
        <v>37</v>
      </c>
      <c r="F15" s="83"/>
      <c r="G15" s="84"/>
      <c r="H15" s="85" t="s">
        <v>72</v>
      </c>
      <c r="I15" s="86">
        <v>60</v>
      </c>
      <c r="J15" s="86">
        <f>K15*1.5</f>
        <v>18</v>
      </c>
      <c r="K15" s="86">
        <f t="shared" ref="K15:K18" si="0">I15/5</f>
        <v>12</v>
      </c>
      <c r="N15" s="3" t="s">
        <v>136</v>
      </c>
      <c r="P15" s="71"/>
    </row>
    <row r="16" spans="1:16" s="3" customFormat="1" ht="15.6" customHeight="1" x14ac:dyDescent="0.3">
      <c r="A16" s="157"/>
      <c r="B16" s="158"/>
      <c r="E16" s="37" t="s">
        <v>18</v>
      </c>
      <c r="F16" s="37"/>
      <c r="H16" s="7" t="s">
        <v>71</v>
      </c>
      <c r="I16" s="82">
        <v>60</v>
      </c>
      <c r="J16" s="1">
        <f>K16*1.5</f>
        <v>18</v>
      </c>
      <c r="K16" s="1">
        <f t="shared" si="0"/>
        <v>12</v>
      </c>
      <c r="N16" s="3" t="s">
        <v>152</v>
      </c>
      <c r="P16" s="71"/>
    </row>
    <row r="17" spans="1:16" s="3" customFormat="1" ht="15.6" customHeight="1" x14ac:dyDescent="0.3">
      <c r="A17" s="87" t="s">
        <v>207</v>
      </c>
      <c r="B17" s="88"/>
      <c r="E17" s="83" t="s">
        <v>35</v>
      </c>
      <c r="F17" s="83"/>
      <c r="G17" s="84"/>
      <c r="H17" s="85" t="s">
        <v>71</v>
      </c>
      <c r="I17" s="86">
        <v>10</v>
      </c>
      <c r="J17" s="86">
        <f>K17*1.5</f>
        <v>3</v>
      </c>
      <c r="K17" s="86">
        <f t="shared" si="0"/>
        <v>2</v>
      </c>
      <c r="N17" s="3" t="s">
        <v>60</v>
      </c>
      <c r="P17" s="71"/>
    </row>
    <row r="18" spans="1:16" s="3" customFormat="1" ht="15.6" customHeight="1" x14ac:dyDescent="0.3">
      <c r="A18" s="87" t="s">
        <v>96</v>
      </c>
      <c r="B18" s="89"/>
      <c r="E18" s="37" t="s">
        <v>36</v>
      </c>
      <c r="F18" s="37"/>
      <c r="H18" s="7" t="s">
        <v>71</v>
      </c>
      <c r="I18" s="82">
        <v>10</v>
      </c>
      <c r="J18" s="1">
        <f>K18*1.5</f>
        <v>3</v>
      </c>
      <c r="K18" s="1">
        <f t="shared" si="0"/>
        <v>2</v>
      </c>
      <c r="N18" s="3" t="s">
        <v>178</v>
      </c>
      <c r="P18" s="71"/>
    </row>
    <row r="19" spans="1:16" s="3" customFormat="1" ht="15.6" customHeight="1" x14ac:dyDescent="0.3">
      <c r="A19" s="90"/>
      <c r="B19" s="38"/>
      <c r="E19" s="83" t="s">
        <v>22</v>
      </c>
      <c r="F19" s="83"/>
      <c r="G19" s="84"/>
      <c r="H19" s="85" t="s">
        <v>73</v>
      </c>
      <c r="I19" s="91" t="s">
        <v>70</v>
      </c>
      <c r="J19" s="91" t="s">
        <v>69</v>
      </c>
      <c r="K19" s="91"/>
      <c r="N19" s="3" t="s">
        <v>179</v>
      </c>
      <c r="P19" s="71"/>
    </row>
    <row r="20" spans="1:16" s="3" customFormat="1" ht="15.6" customHeight="1" x14ac:dyDescent="0.3">
      <c r="A20" s="92" t="s">
        <v>242</v>
      </c>
      <c r="B20" s="53"/>
      <c r="N20" s="147" t="s">
        <v>120</v>
      </c>
      <c r="O20" s="147"/>
      <c r="P20" s="148"/>
    </row>
    <row r="21" spans="1:16" s="3" customFormat="1" ht="15.6" customHeight="1" x14ac:dyDescent="0.3">
      <c r="A21" s="90" t="s">
        <v>243</v>
      </c>
      <c r="B21" s="39"/>
      <c r="E21" s="93" t="str">
        <f>'Cleric A'!E21</f>
        <v>Carica, Ritirata difensiva, Difesa totale</v>
      </c>
      <c r="O21" s="94"/>
      <c r="P21" s="95"/>
    </row>
    <row r="22" spans="1:16" ht="15.6" customHeight="1" x14ac:dyDescent="0.3">
      <c r="A22" s="96" t="s">
        <v>244</v>
      </c>
      <c r="B22" s="54"/>
      <c r="E22" s="93" t="str">
        <f>'Cleric A'!E22</f>
        <v>Spinta, Disarmo, Parare (F), Colpo potente (F)</v>
      </c>
      <c r="N22" s="97"/>
      <c r="O22" s="97" t="s">
        <v>46</v>
      </c>
      <c r="P22" s="98">
        <v>11</v>
      </c>
    </row>
    <row r="23" spans="1:16" ht="15.6" customHeight="1" x14ac:dyDescent="0.3">
      <c r="A23" s="90" t="s">
        <v>245</v>
      </c>
      <c r="B23" s="39"/>
      <c r="E23" s="93" t="str">
        <f>'Cleric A'!E23</f>
        <v>Afferrrare, Liberarsi da presa, Azione Pronta</v>
      </c>
      <c r="M23" s="37"/>
      <c r="N23" s="99"/>
      <c r="O23" s="39"/>
      <c r="P23" s="100"/>
    </row>
    <row r="24" spans="1:16" ht="15.6" customHeight="1" x14ac:dyDescent="0.3">
      <c r="A24" s="96" t="s">
        <v>246</v>
      </c>
      <c r="B24" s="54"/>
      <c r="E24" s="93" t="str">
        <f>'Cleric A'!E24</f>
        <v xml:space="preserve">Attraversare alleati ©, Passare posizione © , </v>
      </c>
      <c r="M24" s="37"/>
      <c r="N24" s="52"/>
      <c r="O24" s="52" t="s">
        <v>236</v>
      </c>
      <c r="P24" s="101" t="s">
        <v>237</v>
      </c>
    </row>
    <row r="25" spans="1:16" ht="15.6" customHeight="1" x14ac:dyDescent="0.3">
      <c r="A25" s="90" t="s">
        <v>247</v>
      </c>
      <c r="B25" s="39"/>
      <c r="E25" s="93" t="str">
        <f>'Cleric A'!E25</f>
        <v>Azione pronta, Preparare per carica</v>
      </c>
      <c r="N25" s="103" t="s">
        <v>42</v>
      </c>
      <c r="O25" s="39"/>
      <c r="P25" s="104"/>
    </row>
    <row r="26" spans="1:16" ht="15.6" customHeight="1" x14ac:dyDescent="0.3">
      <c r="A26" s="96" t="s">
        <v>79</v>
      </c>
      <c r="B26" s="54"/>
      <c r="E26" s="93" t="str">
        <f>'Cleric A'!E26</f>
        <v>Prone: +2 TxC nemici, metà mov per alzarsi</v>
      </c>
      <c r="N26" s="103" t="s">
        <v>39</v>
      </c>
      <c r="O26" s="39"/>
      <c r="P26" s="104">
        <v>500</v>
      </c>
    </row>
    <row r="27" spans="1:16" ht="15.6" customHeight="1" x14ac:dyDescent="0.3">
      <c r="A27" s="105" t="s">
        <v>248</v>
      </c>
      <c r="B27" s="33"/>
      <c r="E27" s="93" t="str">
        <f>'Cleric A'!E27</f>
        <v>Copertura: Parziale -2 TxC | Totale -4 TxC</v>
      </c>
      <c r="N27" s="103" t="s">
        <v>43</v>
      </c>
      <c r="O27" s="39"/>
      <c r="P27" s="104"/>
    </row>
    <row r="28" spans="1:16" ht="15.6" customHeight="1" x14ac:dyDescent="0.3">
      <c r="A28" s="79"/>
      <c r="E28" s="93" t="str">
        <f>'Cleric A'!E28</f>
        <v>Tiro oltre 1* alleato: -2 TxC, 1 Colpito Alleato</v>
      </c>
      <c r="G28" s="82"/>
      <c r="I28" s="82"/>
      <c r="N28" s="103" t="s">
        <v>40</v>
      </c>
      <c r="O28" s="39"/>
      <c r="P28" s="104"/>
    </row>
    <row r="29" spans="1:16" ht="15.6" customHeight="1" x14ac:dyDescent="0.3">
      <c r="A29" s="105"/>
      <c r="B29" s="33"/>
      <c r="E29" s="93" t="str">
        <f>'Cleric A'!E29</f>
        <v>Distanza:   corta +1, lunga -1</v>
      </c>
      <c r="N29" s="107"/>
      <c r="O29" s="97" t="s">
        <v>46</v>
      </c>
      <c r="P29" s="98">
        <v>5</v>
      </c>
    </row>
    <row r="30" spans="1:16" x14ac:dyDescent="0.3">
      <c r="A30" s="79"/>
      <c r="E30" s="93" t="str">
        <f>'Cleric A'!E30</f>
        <v>Copertura vs area: Parz. +2 TS, Quasi tot. +4 TS</v>
      </c>
      <c r="P30" s="78"/>
    </row>
    <row r="31" spans="1:16" ht="15.6" customHeight="1" x14ac:dyDescent="0.3">
      <c r="A31" s="122" t="s">
        <v>125</v>
      </c>
      <c r="B31" s="109"/>
      <c r="C31" s="109" t="s">
        <v>8</v>
      </c>
      <c r="E31" s="93"/>
      <c r="N31" s="40" t="s">
        <v>29</v>
      </c>
      <c r="O31" s="42"/>
      <c r="P31" s="75"/>
    </row>
    <row r="32" spans="1:16" ht="15.6" x14ac:dyDescent="0.3">
      <c r="A32" s="108" t="s">
        <v>124</v>
      </c>
      <c r="B32" s="5"/>
      <c r="C32" s="123">
        <v>2</v>
      </c>
      <c r="E32" s="93"/>
      <c r="N32" s="2" t="s">
        <v>54</v>
      </c>
      <c r="P32" s="78"/>
    </row>
    <row r="33" spans="1:27" x14ac:dyDescent="0.3">
      <c r="A33" s="108" t="s">
        <v>122</v>
      </c>
      <c r="B33" s="5"/>
      <c r="C33" s="5">
        <v>3</v>
      </c>
      <c r="E33" s="93"/>
      <c r="N33" s="2" t="s">
        <v>32</v>
      </c>
      <c r="P33" s="78"/>
    </row>
    <row r="34" spans="1:27" x14ac:dyDescent="0.3">
      <c r="A34" s="108" t="s">
        <v>149</v>
      </c>
      <c r="B34" s="5"/>
      <c r="C34" s="5">
        <v>3</v>
      </c>
      <c r="N34" s="2" t="s">
        <v>55</v>
      </c>
      <c r="P34" s="78"/>
    </row>
    <row r="35" spans="1:27" x14ac:dyDescent="0.3">
      <c r="A35" s="108" t="s">
        <v>24</v>
      </c>
      <c r="B35" s="5"/>
      <c r="C35" s="5">
        <v>3</v>
      </c>
      <c r="N35" s="2" t="s">
        <v>173</v>
      </c>
      <c r="P35" s="78"/>
    </row>
    <row r="36" spans="1:27" x14ac:dyDescent="0.3">
      <c r="A36" s="79"/>
      <c r="L36" s="111" t="s">
        <v>206</v>
      </c>
      <c r="P36" s="78"/>
    </row>
    <row r="37" spans="1:27" ht="15.6" x14ac:dyDescent="0.3">
      <c r="A37" s="112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49" t="s">
        <v>26</v>
      </c>
      <c r="N37" s="149"/>
      <c r="O37" s="40" t="s">
        <v>27</v>
      </c>
      <c r="P37" s="75"/>
    </row>
    <row r="38" spans="1:27" ht="18" x14ac:dyDescent="0.3">
      <c r="A38" s="110" t="s">
        <v>106</v>
      </c>
      <c r="B38" s="1" t="s">
        <v>226</v>
      </c>
      <c r="C38" s="113">
        <v>7</v>
      </c>
      <c r="D38" s="114">
        <f>C38+1</f>
        <v>8</v>
      </c>
      <c r="E38" s="113">
        <f t="shared" ref="E38:L38" si="2">D38+1</f>
        <v>9</v>
      </c>
      <c r="F38" s="114">
        <f t="shared" si="2"/>
        <v>10</v>
      </c>
      <c r="G38" s="113">
        <f t="shared" si="2"/>
        <v>11</v>
      </c>
      <c r="H38" s="114">
        <f t="shared" si="2"/>
        <v>12</v>
      </c>
      <c r="I38" s="113">
        <f t="shared" si="2"/>
        <v>13</v>
      </c>
      <c r="J38" s="114">
        <f t="shared" si="2"/>
        <v>14</v>
      </c>
      <c r="K38" s="113">
        <f t="shared" si="2"/>
        <v>15</v>
      </c>
      <c r="L38" s="114">
        <f t="shared" si="2"/>
        <v>16</v>
      </c>
      <c r="M38" s="150" t="s">
        <v>174</v>
      </c>
      <c r="N38" s="150"/>
      <c r="O38" s="2" t="s">
        <v>177</v>
      </c>
      <c r="P38" s="78"/>
    </row>
    <row r="39" spans="1:27" ht="18" x14ac:dyDescent="0.3">
      <c r="A39" s="110" t="s">
        <v>24</v>
      </c>
      <c r="B39" s="1" t="s">
        <v>23</v>
      </c>
      <c r="C39" s="113">
        <v>7</v>
      </c>
      <c r="D39" s="114">
        <f t="shared" ref="D39:L40" si="3">C39+1</f>
        <v>8</v>
      </c>
      <c r="E39" s="113">
        <f t="shared" si="3"/>
        <v>9</v>
      </c>
      <c r="F39" s="114">
        <f t="shared" si="3"/>
        <v>10</v>
      </c>
      <c r="G39" s="113">
        <f t="shared" si="3"/>
        <v>11</v>
      </c>
      <c r="H39" s="114">
        <f t="shared" si="3"/>
        <v>12</v>
      </c>
      <c r="I39" s="113">
        <f t="shared" si="3"/>
        <v>13</v>
      </c>
      <c r="J39" s="114">
        <f t="shared" si="3"/>
        <v>14</v>
      </c>
      <c r="K39" s="113">
        <f t="shared" si="3"/>
        <v>15</v>
      </c>
      <c r="L39" s="114">
        <f t="shared" si="3"/>
        <v>16</v>
      </c>
      <c r="M39" s="151" t="s">
        <v>176</v>
      </c>
      <c r="N39" s="151"/>
      <c r="O39" s="3" t="s">
        <v>118</v>
      </c>
      <c r="P39" s="78"/>
      <c r="AA39"/>
    </row>
    <row r="40" spans="1:27" ht="18.600000000000001" thickBot="1" x14ac:dyDescent="0.35">
      <c r="A40" s="115" t="s">
        <v>149</v>
      </c>
      <c r="B40" s="116" t="s">
        <v>175</v>
      </c>
      <c r="C40" s="117">
        <v>8</v>
      </c>
      <c r="D40" s="118">
        <f t="shared" si="3"/>
        <v>9</v>
      </c>
      <c r="E40" s="117">
        <f t="shared" si="3"/>
        <v>10</v>
      </c>
      <c r="F40" s="118">
        <f t="shared" si="3"/>
        <v>11</v>
      </c>
      <c r="G40" s="117">
        <f t="shared" si="3"/>
        <v>12</v>
      </c>
      <c r="H40" s="118">
        <f t="shared" si="3"/>
        <v>13</v>
      </c>
      <c r="I40" s="117">
        <f t="shared" si="3"/>
        <v>14</v>
      </c>
      <c r="J40" s="118">
        <f t="shared" si="3"/>
        <v>15</v>
      </c>
      <c r="K40" s="117">
        <f t="shared" si="3"/>
        <v>16</v>
      </c>
      <c r="L40" s="118">
        <f t="shared" si="3"/>
        <v>17</v>
      </c>
      <c r="M40" s="152" t="s">
        <v>28</v>
      </c>
      <c r="N40" s="152"/>
      <c r="O40" s="119" t="s">
        <v>119</v>
      </c>
      <c r="P40" s="120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zoomScale="120" zoomScaleNormal="120" workbookViewId="0">
      <selection activeCell="A4" sqref="A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146</v>
      </c>
      <c r="C1" s="56"/>
      <c r="D1" s="57"/>
      <c r="E1" s="58"/>
      <c r="F1" s="59"/>
      <c r="G1" s="60" t="s">
        <v>165</v>
      </c>
      <c r="H1" s="56"/>
      <c r="I1" s="59"/>
      <c r="J1" s="61"/>
      <c r="K1" s="62" t="s">
        <v>34</v>
      </c>
      <c r="L1" s="57"/>
      <c r="M1" s="57"/>
      <c r="N1" s="63" t="s">
        <v>95</v>
      </c>
      <c r="O1" s="56"/>
      <c r="P1" s="64"/>
    </row>
    <row r="2" spans="1:16" ht="20.399999999999999" customHeight="1" x14ac:dyDescent="0.3">
      <c r="A2" s="65" t="s">
        <v>94</v>
      </c>
      <c r="B2" s="46" t="s">
        <v>75</v>
      </c>
      <c r="C2" s="46"/>
      <c r="D2" s="66"/>
      <c r="E2" s="47" t="s">
        <v>33</v>
      </c>
      <c r="F2" s="48"/>
      <c r="G2" s="48" t="s">
        <v>145</v>
      </c>
      <c r="H2" s="48"/>
      <c r="I2" s="49" t="s">
        <v>102</v>
      </c>
      <c r="J2" s="66"/>
      <c r="K2" s="67" t="s">
        <v>1</v>
      </c>
      <c r="L2" s="68"/>
      <c r="M2" s="68"/>
      <c r="N2" s="46" t="s">
        <v>50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126" t="s">
        <v>8</v>
      </c>
      <c r="B4" s="199">
        <v>4</v>
      </c>
      <c r="C4" s="1"/>
      <c r="E4" s="127" t="s">
        <v>46</v>
      </c>
      <c r="F4" s="198">
        <v>20</v>
      </c>
      <c r="G4" s="197" t="s">
        <v>63</v>
      </c>
      <c r="H4" s="1"/>
      <c r="I4" s="1"/>
      <c r="J4" s="128"/>
      <c r="L4" s="129" t="s">
        <v>93</v>
      </c>
      <c r="M4" s="198">
        <v>2</v>
      </c>
      <c r="N4" s="1"/>
      <c r="O4" s="127" t="s">
        <v>9</v>
      </c>
      <c r="P4" s="130">
        <v>26</v>
      </c>
    </row>
    <row r="5" spans="1:16" ht="19.8" customHeight="1" x14ac:dyDescent="0.3">
      <c r="A5" s="74" t="s">
        <v>29</v>
      </c>
      <c r="B5" s="43"/>
      <c r="J5" s="2" t="s">
        <v>92</v>
      </c>
      <c r="M5" s="43" t="s">
        <v>10</v>
      </c>
      <c r="N5" s="42"/>
      <c r="O5" s="42"/>
      <c r="P5" s="75"/>
    </row>
    <row r="6" spans="1:16" ht="32.4" customHeight="1" x14ac:dyDescent="0.3">
      <c r="A6" s="76">
        <v>9</v>
      </c>
      <c r="B6" s="73" t="s">
        <v>2</v>
      </c>
      <c r="C6" s="153" t="s">
        <v>85</v>
      </c>
      <c r="D6" s="153"/>
      <c r="E6" s="153"/>
      <c r="F6" s="153"/>
      <c r="G6" s="153"/>
      <c r="H6" s="153"/>
      <c r="I6" s="153"/>
      <c r="J6" s="72">
        <v>0</v>
      </c>
      <c r="K6" s="72"/>
      <c r="M6" s="154" t="s">
        <v>51</v>
      </c>
      <c r="N6" s="154"/>
      <c r="O6" s="154"/>
      <c r="P6" s="77">
        <v>12</v>
      </c>
    </row>
    <row r="7" spans="1:16" ht="32.4" customHeight="1" x14ac:dyDescent="0.3">
      <c r="A7" s="76">
        <v>16</v>
      </c>
      <c r="B7" s="73" t="s">
        <v>3</v>
      </c>
      <c r="C7" s="153" t="s">
        <v>116</v>
      </c>
      <c r="D7" s="153"/>
      <c r="E7" s="153"/>
      <c r="F7" s="153"/>
      <c r="G7" s="153"/>
      <c r="H7" s="153"/>
      <c r="I7" s="153"/>
      <c r="J7" s="72">
        <v>2</v>
      </c>
      <c r="K7" s="72"/>
      <c r="M7" s="154" t="s">
        <v>11</v>
      </c>
      <c r="N7" s="154"/>
      <c r="O7" s="154"/>
      <c r="P7" s="77">
        <v>14</v>
      </c>
    </row>
    <row r="8" spans="1:16" ht="32.4" customHeight="1" x14ac:dyDescent="0.3">
      <c r="A8" s="76">
        <v>13</v>
      </c>
      <c r="B8" s="73" t="s">
        <v>4</v>
      </c>
      <c r="C8" s="153" t="s">
        <v>130</v>
      </c>
      <c r="D8" s="153"/>
      <c r="E8" s="153"/>
      <c r="F8" s="153"/>
      <c r="G8" s="153"/>
      <c r="H8" s="153"/>
      <c r="I8" s="153"/>
      <c r="J8" s="72">
        <v>1</v>
      </c>
      <c r="K8" s="72"/>
      <c r="M8" s="154" t="s">
        <v>14</v>
      </c>
      <c r="N8" s="154"/>
      <c r="O8" s="154"/>
      <c r="P8" s="77">
        <v>12</v>
      </c>
    </row>
    <row r="9" spans="1:16" ht="32.4" customHeight="1" x14ac:dyDescent="0.3">
      <c r="A9" s="76">
        <v>14</v>
      </c>
      <c r="B9" s="73" t="s">
        <v>5</v>
      </c>
      <c r="C9" s="153" t="s">
        <v>131</v>
      </c>
      <c r="D9" s="153"/>
      <c r="E9" s="153"/>
      <c r="F9" s="153"/>
      <c r="G9" s="153"/>
      <c r="H9" s="153"/>
      <c r="I9" s="153"/>
      <c r="J9" s="72">
        <v>1</v>
      </c>
      <c r="K9" s="72"/>
      <c r="M9" s="154" t="s">
        <v>12</v>
      </c>
      <c r="N9" s="154"/>
      <c r="O9" s="154"/>
      <c r="P9" s="77">
        <v>16</v>
      </c>
    </row>
    <row r="10" spans="1:16" ht="32.4" customHeight="1" x14ac:dyDescent="0.3">
      <c r="A10" s="76">
        <v>6</v>
      </c>
      <c r="B10" s="73" t="s">
        <v>6</v>
      </c>
      <c r="C10" s="153" t="s">
        <v>117</v>
      </c>
      <c r="D10" s="153"/>
      <c r="E10" s="153"/>
      <c r="F10" s="153"/>
      <c r="G10" s="153"/>
      <c r="H10" s="153"/>
      <c r="I10" s="153"/>
      <c r="J10" s="72">
        <v>-1</v>
      </c>
      <c r="K10" s="72"/>
      <c r="M10" s="154" t="s">
        <v>13</v>
      </c>
      <c r="N10" s="154"/>
      <c r="O10" s="154"/>
      <c r="P10" s="77">
        <v>14</v>
      </c>
    </row>
    <row r="11" spans="1:16" ht="32.4" customHeight="1" x14ac:dyDescent="0.3">
      <c r="A11" s="76">
        <v>10</v>
      </c>
      <c r="B11" s="73" t="s">
        <v>7</v>
      </c>
      <c r="C11" s="153" t="s">
        <v>90</v>
      </c>
      <c r="D11" s="153"/>
      <c r="E11" s="153"/>
      <c r="F11" s="153"/>
      <c r="G11" s="153"/>
      <c r="H11" s="153"/>
      <c r="I11" s="153"/>
      <c r="J11" s="72">
        <v>0</v>
      </c>
      <c r="K11" s="72"/>
      <c r="P11" s="196" t="str">
        <f>'Cleric A'!P11</f>
        <v>TS: tiro ≥ valore = successo</v>
      </c>
    </row>
    <row r="12" spans="1:16" ht="8.4" customHeight="1" x14ac:dyDescent="0.3">
      <c r="A12" s="79"/>
      <c r="P12" s="78"/>
    </row>
    <row r="13" spans="1:16" s="3" customFormat="1" ht="15.6" customHeight="1" x14ac:dyDescent="0.3">
      <c r="A13" s="80" t="s">
        <v>16</v>
      </c>
      <c r="B13" s="40"/>
      <c r="C13" s="37"/>
      <c r="E13" s="40" t="s">
        <v>17</v>
      </c>
      <c r="F13" s="40"/>
      <c r="G13" s="40"/>
      <c r="H13" s="37"/>
      <c r="I13" s="6" t="s">
        <v>66</v>
      </c>
      <c r="J13" s="6" t="s">
        <v>67</v>
      </c>
      <c r="K13" s="6" t="s">
        <v>68</v>
      </c>
      <c r="N13" s="40" t="s">
        <v>56</v>
      </c>
      <c r="O13" s="41"/>
      <c r="P13" s="81"/>
    </row>
    <row r="14" spans="1:16" s="3" customFormat="1" ht="15.6" customHeight="1" x14ac:dyDescent="0.3">
      <c r="A14" s="155" t="s">
        <v>172</v>
      </c>
      <c r="B14" s="156"/>
      <c r="E14" s="37" t="s">
        <v>21</v>
      </c>
      <c r="F14" s="37"/>
      <c r="H14" s="7" t="s">
        <v>71</v>
      </c>
      <c r="I14" s="82">
        <v>40</v>
      </c>
      <c r="J14" s="1">
        <f>K14*1.5</f>
        <v>12</v>
      </c>
      <c r="K14" s="1">
        <f>I14/5</f>
        <v>8</v>
      </c>
      <c r="N14" s="3" t="s">
        <v>151</v>
      </c>
      <c r="P14" s="71"/>
    </row>
    <row r="15" spans="1:16" s="3" customFormat="1" ht="15.6" customHeight="1" x14ac:dyDescent="0.3">
      <c r="A15" s="157"/>
      <c r="B15" s="158"/>
      <c r="E15" s="83" t="s">
        <v>37</v>
      </c>
      <c r="F15" s="83"/>
      <c r="G15" s="84"/>
      <c r="H15" s="85" t="s">
        <v>72</v>
      </c>
      <c r="I15" s="86">
        <f>I14*3</f>
        <v>120</v>
      </c>
      <c r="J15" s="86">
        <f>K15*1.5</f>
        <v>36</v>
      </c>
      <c r="K15" s="86">
        <f t="shared" ref="K15:K18" si="0">I15/5</f>
        <v>24</v>
      </c>
      <c r="N15" s="3" t="s">
        <v>136</v>
      </c>
      <c r="P15" s="71"/>
    </row>
    <row r="16" spans="1:16" s="3" customFormat="1" ht="15.6" customHeight="1" x14ac:dyDescent="0.3">
      <c r="A16" s="157"/>
      <c r="B16" s="158"/>
      <c r="E16" s="37" t="s">
        <v>18</v>
      </c>
      <c r="F16" s="37"/>
      <c r="H16" s="7" t="s">
        <v>71</v>
      </c>
      <c r="I16" s="82">
        <f>I14*3</f>
        <v>120</v>
      </c>
      <c r="J16" s="1">
        <f>K16*1.5</f>
        <v>36</v>
      </c>
      <c r="K16" s="1">
        <f t="shared" si="0"/>
        <v>24</v>
      </c>
      <c r="N16" s="3" t="s">
        <v>152</v>
      </c>
      <c r="P16" s="71"/>
    </row>
    <row r="17" spans="1:21" s="3" customFormat="1" ht="15.6" customHeight="1" x14ac:dyDescent="0.3">
      <c r="A17" s="87" t="s">
        <v>207</v>
      </c>
      <c r="B17" s="88"/>
      <c r="E17" s="83" t="s">
        <v>35</v>
      </c>
      <c r="F17" s="83"/>
      <c r="G17" s="84"/>
      <c r="H17" s="85" t="s">
        <v>71</v>
      </c>
      <c r="I17" s="86">
        <f>I14/2</f>
        <v>20</v>
      </c>
      <c r="J17" s="86">
        <f>K17*1.5</f>
        <v>6</v>
      </c>
      <c r="K17" s="86">
        <f t="shared" si="0"/>
        <v>4</v>
      </c>
      <c r="N17" s="3" t="s">
        <v>60</v>
      </c>
      <c r="P17" s="71"/>
    </row>
    <row r="18" spans="1:21" s="3" customFormat="1" ht="15.6" customHeight="1" x14ac:dyDescent="0.3">
      <c r="A18" s="87" t="s">
        <v>96</v>
      </c>
      <c r="B18" s="89"/>
      <c r="E18" s="37" t="s">
        <v>36</v>
      </c>
      <c r="F18" s="37"/>
      <c r="H18" s="7" t="s">
        <v>71</v>
      </c>
      <c r="I18" s="82">
        <f>I14/2</f>
        <v>20</v>
      </c>
      <c r="J18" s="1">
        <f>K18*1.5</f>
        <v>6</v>
      </c>
      <c r="K18" s="1">
        <f t="shared" si="0"/>
        <v>4</v>
      </c>
      <c r="N18" s="3" t="s">
        <v>153</v>
      </c>
      <c r="P18" s="71"/>
    </row>
    <row r="19" spans="1:21" s="3" customFormat="1" ht="15.6" customHeight="1" x14ac:dyDescent="0.3">
      <c r="A19" s="90"/>
      <c r="B19" s="38"/>
      <c r="E19" s="83" t="s">
        <v>22</v>
      </c>
      <c r="F19" s="83"/>
      <c r="G19" s="84"/>
      <c r="H19" s="85" t="s">
        <v>73</v>
      </c>
      <c r="I19" s="91" t="s">
        <v>134</v>
      </c>
      <c r="J19" s="91" t="s">
        <v>133</v>
      </c>
      <c r="K19" s="91"/>
      <c r="N19" s="3" t="s">
        <v>154</v>
      </c>
      <c r="P19" s="71"/>
    </row>
    <row r="20" spans="1:21" s="3" customFormat="1" ht="15.6" customHeight="1" x14ac:dyDescent="0.3">
      <c r="A20" s="92" t="s">
        <v>242</v>
      </c>
      <c r="B20" s="53"/>
      <c r="N20" s="147" t="s">
        <v>120</v>
      </c>
      <c r="O20" s="147"/>
      <c r="P20" s="148"/>
    </row>
    <row r="21" spans="1:21" s="3" customFormat="1" ht="15.6" customHeight="1" x14ac:dyDescent="0.3">
      <c r="A21" s="90" t="s">
        <v>243</v>
      </c>
      <c r="B21" s="39"/>
      <c r="E21" s="93" t="str">
        <f>'Cleric A'!E21</f>
        <v>Carica, Ritirata difensiva, Difesa totale</v>
      </c>
      <c r="O21" s="94"/>
      <c r="P21" s="95"/>
    </row>
    <row r="22" spans="1:21" ht="15.6" customHeight="1" x14ac:dyDescent="0.3">
      <c r="A22" s="96" t="s">
        <v>244</v>
      </c>
      <c r="B22" s="54"/>
      <c r="E22" s="93" t="str">
        <f>'Cleric A'!E22</f>
        <v>Spinta, Disarmo, Parare (F), Colpo potente (F)</v>
      </c>
      <c r="N22" s="97"/>
      <c r="O22" s="97" t="s">
        <v>46</v>
      </c>
      <c r="P22" s="98">
        <v>9</v>
      </c>
      <c r="U22" s="35"/>
    </row>
    <row r="23" spans="1:21" ht="15.6" customHeight="1" x14ac:dyDescent="0.3">
      <c r="A23" s="90" t="s">
        <v>245</v>
      </c>
      <c r="B23" s="39"/>
      <c r="E23" s="93" t="str">
        <f>'Cleric A'!E23</f>
        <v>Afferrrare, Liberarsi da presa, Azione Pronta</v>
      </c>
      <c r="M23" s="37"/>
      <c r="N23" s="99"/>
      <c r="O23" s="39"/>
      <c r="P23" s="100"/>
      <c r="U23" s="38"/>
    </row>
    <row r="24" spans="1:21" ht="15.6" customHeight="1" x14ac:dyDescent="0.3">
      <c r="A24" s="96" t="s">
        <v>246</v>
      </c>
      <c r="B24" s="54"/>
      <c r="E24" s="93" t="str">
        <f>'Cleric A'!E24</f>
        <v xml:space="preserve">Attraversare alleati ©, Passare posizione © , </v>
      </c>
      <c r="M24" s="37"/>
      <c r="N24" s="52"/>
      <c r="O24" s="52" t="s">
        <v>236</v>
      </c>
      <c r="P24" s="101" t="s">
        <v>237</v>
      </c>
      <c r="T24" s="35"/>
      <c r="U24" s="35"/>
    </row>
    <row r="25" spans="1:21" ht="15.6" customHeight="1" x14ac:dyDescent="0.3">
      <c r="A25" s="90" t="s">
        <v>247</v>
      </c>
      <c r="B25" s="39"/>
      <c r="E25" s="93" t="str">
        <f>'Cleric A'!E25</f>
        <v>Azione pronta, Preparare per carica</v>
      </c>
      <c r="N25" s="103" t="s">
        <v>42</v>
      </c>
      <c r="O25" s="39"/>
      <c r="P25" s="104"/>
      <c r="T25" s="35"/>
      <c r="U25" s="35"/>
    </row>
    <row r="26" spans="1:21" ht="15.6" customHeight="1" x14ac:dyDescent="0.3">
      <c r="A26" s="96" t="s">
        <v>79</v>
      </c>
      <c r="B26" s="54"/>
      <c r="E26" s="93" t="str">
        <f>'Cleric A'!E26</f>
        <v>Prone: +2 TxC nemici, metà mov per alzarsi</v>
      </c>
      <c r="N26" s="103" t="s">
        <v>39</v>
      </c>
      <c r="O26" s="39"/>
      <c r="P26" s="104">
        <v>500</v>
      </c>
      <c r="T26" s="39"/>
      <c r="U26" s="39"/>
    </row>
    <row r="27" spans="1:21" ht="15.6" customHeight="1" x14ac:dyDescent="0.3">
      <c r="A27" s="105" t="s">
        <v>248</v>
      </c>
      <c r="B27" s="33"/>
      <c r="E27" s="93" t="str">
        <f>'Cleric A'!E27</f>
        <v>Copertura: Parziale -2 TxC | Totale -4 TxC</v>
      </c>
      <c r="N27" s="103" t="s">
        <v>43</v>
      </c>
      <c r="O27" s="39"/>
      <c r="P27" s="104"/>
      <c r="T27" s="39"/>
      <c r="U27" s="39"/>
    </row>
    <row r="28" spans="1:21" ht="15.6" customHeight="1" x14ac:dyDescent="0.3">
      <c r="A28" s="79"/>
      <c r="E28" s="93" t="str">
        <f>'Cleric A'!E28</f>
        <v>Tiro oltre 1* alleato: -2 TxC, 1 Colpito Alleato</v>
      </c>
      <c r="G28" s="82"/>
      <c r="I28" s="82"/>
      <c r="N28" s="103" t="s">
        <v>40</v>
      </c>
      <c r="O28" s="39"/>
      <c r="P28" s="104"/>
      <c r="T28" s="39"/>
      <c r="U28" s="39"/>
    </row>
    <row r="29" spans="1:21" ht="15.6" customHeight="1" x14ac:dyDescent="0.3">
      <c r="A29" s="70" t="s">
        <v>157</v>
      </c>
      <c r="C29" s="102">
        <v>0.45</v>
      </c>
      <c r="E29" s="93" t="str">
        <f>'Cleric A'!E29</f>
        <v>Distanza:   corta +1, lunga -1</v>
      </c>
      <c r="N29" s="107"/>
      <c r="O29" s="97" t="s">
        <v>46</v>
      </c>
      <c r="P29" s="98">
        <v>5</v>
      </c>
      <c r="T29" s="39"/>
      <c r="U29" s="39"/>
    </row>
    <row r="30" spans="1:21" x14ac:dyDescent="0.3">
      <c r="A30" s="70" t="s">
        <v>162</v>
      </c>
      <c r="C30" s="102">
        <v>0.4</v>
      </c>
      <c r="E30" s="93" t="str">
        <f>'Cleric A'!E30</f>
        <v>Copertura vs area: Parz. +2 TS, Quasi tot. +4 TS</v>
      </c>
      <c r="P30" s="78"/>
      <c r="T30" s="39"/>
      <c r="U30" s="39"/>
    </row>
    <row r="31" spans="1:21" ht="15.6" customHeight="1" x14ac:dyDescent="0.3">
      <c r="A31" s="108" t="s">
        <v>158</v>
      </c>
      <c r="B31" s="109"/>
      <c r="C31" s="102">
        <v>0.45</v>
      </c>
      <c r="E31" s="93"/>
      <c r="P31" s="78"/>
      <c r="T31" s="39"/>
      <c r="U31" s="39"/>
    </row>
    <row r="32" spans="1:21" x14ac:dyDescent="0.3">
      <c r="A32" s="108" t="s">
        <v>159</v>
      </c>
      <c r="B32" s="5"/>
      <c r="C32" s="102">
        <v>0.45</v>
      </c>
      <c r="E32" s="93"/>
      <c r="N32" s="40" t="s">
        <v>29</v>
      </c>
      <c r="O32" s="42"/>
      <c r="P32" s="75"/>
    </row>
    <row r="33" spans="1:27" x14ac:dyDescent="0.3">
      <c r="A33" s="108" t="s">
        <v>160</v>
      </c>
      <c r="B33" s="5"/>
      <c r="C33" s="102">
        <v>0.92</v>
      </c>
      <c r="E33" s="93"/>
      <c r="N33" s="2" t="s">
        <v>54</v>
      </c>
      <c r="P33" s="78"/>
    </row>
    <row r="34" spans="1:27" x14ac:dyDescent="0.3">
      <c r="A34" s="108" t="s">
        <v>161</v>
      </c>
      <c r="B34" s="5"/>
      <c r="C34" s="102">
        <v>0.36</v>
      </c>
      <c r="N34" s="2" t="s">
        <v>155</v>
      </c>
      <c r="P34" s="78"/>
    </row>
    <row r="35" spans="1:27" x14ac:dyDescent="0.3">
      <c r="A35" s="108" t="s">
        <v>163</v>
      </c>
      <c r="B35" s="5"/>
      <c r="C35" s="102">
        <v>0.8</v>
      </c>
      <c r="E35" s="124" t="s">
        <v>164</v>
      </c>
      <c r="N35" s="2" t="s">
        <v>156</v>
      </c>
      <c r="P35" s="78"/>
    </row>
    <row r="36" spans="1:27" x14ac:dyDescent="0.3">
      <c r="A36" s="79"/>
      <c r="L36" s="111" t="s">
        <v>206</v>
      </c>
      <c r="P36" s="78"/>
    </row>
    <row r="37" spans="1:27" ht="15.6" x14ac:dyDescent="0.3">
      <c r="A37" s="112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49" t="s">
        <v>26</v>
      </c>
      <c r="N37" s="149"/>
      <c r="O37" s="40" t="s">
        <v>27</v>
      </c>
      <c r="P37" s="75"/>
    </row>
    <row r="38" spans="1:27" ht="18" x14ac:dyDescent="0.3">
      <c r="A38" s="110" t="s">
        <v>148</v>
      </c>
      <c r="B38" s="1" t="s">
        <v>23</v>
      </c>
      <c r="C38" s="113">
        <v>8</v>
      </c>
      <c r="D38" s="114">
        <f>C38+1</f>
        <v>9</v>
      </c>
      <c r="E38" s="113">
        <f t="shared" ref="E38:L38" si="2">D38+1</f>
        <v>10</v>
      </c>
      <c r="F38" s="114">
        <f t="shared" si="2"/>
        <v>11</v>
      </c>
      <c r="G38" s="113">
        <f t="shared" si="2"/>
        <v>12</v>
      </c>
      <c r="H38" s="114">
        <f t="shared" si="2"/>
        <v>13</v>
      </c>
      <c r="I38" s="113">
        <f t="shared" si="2"/>
        <v>14</v>
      </c>
      <c r="J38" s="114">
        <f t="shared" si="2"/>
        <v>15</v>
      </c>
      <c r="K38" s="113">
        <f t="shared" si="2"/>
        <v>16</v>
      </c>
      <c r="L38" s="114">
        <f t="shared" si="2"/>
        <v>17</v>
      </c>
      <c r="M38" s="150" t="s">
        <v>82</v>
      </c>
      <c r="N38" s="150"/>
      <c r="P38" s="78"/>
    </row>
    <row r="39" spans="1:27" ht="18" x14ac:dyDescent="0.3">
      <c r="A39" s="110" t="s">
        <v>24</v>
      </c>
      <c r="B39" s="1" t="s">
        <v>23</v>
      </c>
      <c r="C39" s="113">
        <v>8</v>
      </c>
      <c r="D39" s="114">
        <f t="shared" ref="D39:L40" si="3">C39+1</f>
        <v>9</v>
      </c>
      <c r="E39" s="113">
        <f t="shared" si="3"/>
        <v>10</v>
      </c>
      <c r="F39" s="114">
        <f t="shared" si="3"/>
        <v>11</v>
      </c>
      <c r="G39" s="113">
        <f t="shared" si="3"/>
        <v>12</v>
      </c>
      <c r="H39" s="114">
        <f t="shared" si="3"/>
        <v>13</v>
      </c>
      <c r="I39" s="113">
        <f t="shared" si="3"/>
        <v>14</v>
      </c>
      <c r="J39" s="114">
        <f t="shared" si="3"/>
        <v>15</v>
      </c>
      <c r="K39" s="113">
        <f t="shared" si="3"/>
        <v>16</v>
      </c>
      <c r="L39" s="114">
        <f t="shared" si="3"/>
        <v>17</v>
      </c>
      <c r="M39" s="151" t="s">
        <v>84</v>
      </c>
      <c r="N39" s="151"/>
      <c r="O39" s="3" t="s">
        <v>118</v>
      </c>
      <c r="P39" s="78"/>
      <c r="AA39"/>
    </row>
    <row r="40" spans="1:27" ht="18.600000000000001" thickBot="1" x14ac:dyDescent="0.35">
      <c r="A40" s="115" t="s">
        <v>149</v>
      </c>
      <c r="B40" s="116" t="s">
        <v>150</v>
      </c>
      <c r="C40" s="117">
        <v>6</v>
      </c>
      <c r="D40" s="118">
        <f t="shared" si="3"/>
        <v>7</v>
      </c>
      <c r="E40" s="117">
        <f t="shared" si="3"/>
        <v>8</v>
      </c>
      <c r="F40" s="118">
        <f t="shared" si="3"/>
        <v>9</v>
      </c>
      <c r="G40" s="117">
        <f t="shared" si="3"/>
        <v>10</v>
      </c>
      <c r="H40" s="118">
        <f t="shared" si="3"/>
        <v>11</v>
      </c>
      <c r="I40" s="117">
        <f t="shared" si="3"/>
        <v>12</v>
      </c>
      <c r="J40" s="118">
        <f t="shared" si="3"/>
        <v>13</v>
      </c>
      <c r="K40" s="117">
        <f t="shared" si="3"/>
        <v>14</v>
      </c>
      <c r="L40" s="118">
        <f t="shared" si="3"/>
        <v>15</v>
      </c>
      <c r="M40" s="152" t="s">
        <v>28</v>
      </c>
      <c r="N40" s="152"/>
      <c r="O40" s="119" t="s">
        <v>119</v>
      </c>
      <c r="P40" s="120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zoomScale="120" zoomScaleNormal="120" workbookViewId="0">
      <selection activeCell="R10" sqref="R10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126</v>
      </c>
      <c r="C1" s="56"/>
      <c r="D1" s="57"/>
      <c r="E1" s="58"/>
      <c r="F1" s="59"/>
      <c r="G1" s="60" t="s">
        <v>144</v>
      </c>
      <c r="H1" s="56"/>
      <c r="I1" s="59"/>
      <c r="J1" s="61"/>
      <c r="K1" s="62" t="s">
        <v>34</v>
      </c>
      <c r="L1" s="57"/>
      <c r="M1" s="57"/>
      <c r="N1" s="63" t="s">
        <v>95</v>
      </c>
      <c r="O1" s="56"/>
      <c r="P1" s="64"/>
    </row>
    <row r="2" spans="1:16" ht="20.399999999999999" customHeight="1" x14ac:dyDescent="0.3">
      <c r="A2" s="65" t="s">
        <v>94</v>
      </c>
      <c r="B2" s="46" t="s">
        <v>75</v>
      </c>
      <c r="C2" s="46"/>
      <c r="D2" s="66"/>
      <c r="E2" s="47" t="s">
        <v>33</v>
      </c>
      <c r="F2" s="48"/>
      <c r="G2" s="48" t="s">
        <v>127</v>
      </c>
      <c r="H2" s="48"/>
      <c r="I2" s="49" t="s">
        <v>128</v>
      </c>
      <c r="J2" s="66"/>
      <c r="K2" s="67" t="s">
        <v>1</v>
      </c>
      <c r="L2" s="68"/>
      <c r="M2" s="68"/>
      <c r="N2" s="46" t="s">
        <v>50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126" t="s">
        <v>8</v>
      </c>
      <c r="B4" s="199">
        <v>9</v>
      </c>
      <c r="C4" s="1"/>
      <c r="E4" s="127" t="s">
        <v>46</v>
      </c>
      <c r="F4" s="198">
        <v>18</v>
      </c>
      <c r="G4" s="201" t="s">
        <v>265</v>
      </c>
      <c r="H4" s="1"/>
      <c r="I4" s="1"/>
      <c r="J4" s="128"/>
      <c r="L4" s="129" t="s">
        <v>93</v>
      </c>
      <c r="M4" s="198">
        <v>0</v>
      </c>
      <c r="N4" s="1"/>
      <c r="O4" s="127" t="s">
        <v>9</v>
      </c>
      <c r="P4" s="130">
        <v>21</v>
      </c>
    </row>
    <row r="5" spans="1:16" ht="19.8" customHeight="1" x14ac:dyDescent="0.3">
      <c r="A5" s="74" t="s">
        <v>29</v>
      </c>
      <c r="B5" s="43"/>
      <c r="J5" s="2" t="s">
        <v>92</v>
      </c>
      <c r="M5" s="43" t="s">
        <v>10</v>
      </c>
      <c r="N5" s="42"/>
      <c r="O5" s="42"/>
      <c r="P5" s="75"/>
    </row>
    <row r="6" spans="1:16" ht="32.4" customHeight="1" x14ac:dyDescent="0.3">
      <c r="A6" s="76">
        <v>8</v>
      </c>
      <c r="B6" s="73" t="s">
        <v>2</v>
      </c>
      <c r="C6" s="153" t="s">
        <v>129</v>
      </c>
      <c r="D6" s="153"/>
      <c r="E6" s="153"/>
      <c r="F6" s="153"/>
      <c r="G6" s="153"/>
      <c r="H6" s="153"/>
      <c r="I6" s="153"/>
      <c r="J6" s="72">
        <v>-1</v>
      </c>
      <c r="K6" s="72"/>
      <c r="M6" s="154" t="s">
        <v>51</v>
      </c>
      <c r="N6" s="154"/>
      <c r="O6" s="154"/>
      <c r="P6" s="77">
        <v>13</v>
      </c>
    </row>
    <row r="7" spans="1:16" ht="32.4" customHeight="1" x14ac:dyDescent="0.3">
      <c r="A7" s="76">
        <v>10</v>
      </c>
      <c r="B7" s="73" t="s">
        <v>3</v>
      </c>
      <c r="C7" s="153" t="s">
        <v>87</v>
      </c>
      <c r="D7" s="153"/>
      <c r="E7" s="153"/>
      <c r="F7" s="153"/>
      <c r="G7" s="153"/>
      <c r="H7" s="153"/>
      <c r="I7" s="153"/>
      <c r="J7" s="72">
        <v>0</v>
      </c>
      <c r="K7" s="72"/>
      <c r="M7" s="154" t="s">
        <v>11</v>
      </c>
      <c r="N7" s="154"/>
      <c r="O7" s="154"/>
      <c r="P7" s="77">
        <v>14</v>
      </c>
    </row>
    <row r="8" spans="1:16" ht="32.4" customHeight="1" x14ac:dyDescent="0.3">
      <c r="A8" s="76">
        <v>13</v>
      </c>
      <c r="B8" s="73" t="s">
        <v>4</v>
      </c>
      <c r="C8" s="153" t="s">
        <v>130</v>
      </c>
      <c r="D8" s="153"/>
      <c r="E8" s="153"/>
      <c r="F8" s="153"/>
      <c r="G8" s="153"/>
      <c r="H8" s="153"/>
      <c r="I8" s="153"/>
      <c r="J8" s="72">
        <v>1</v>
      </c>
      <c r="K8" s="72"/>
      <c r="M8" s="154" t="s">
        <v>14</v>
      </c>
      <c r="N8" s="154"/>
      <c r="O8" s="154"/>
      <c r="P8" s="77">
        <v>13</v>
      </c>
    </row>
    <row r="9" spans="1:16" ht="32.4" customHeight="1" x14ac:dyDescent="0.3">
      <c r="A9" s="76">
        <v>16</v>
      </c>
      <c r="B9" s="73" t="s">
        <v>5</v>
      </c>
      <c r="C9" s="153" t="s">
        <v>131</v>
      </c>
      <c r="D9" s="153"/>
      <c r="E9" s="153"/>
      <c r="F9" s="153"/>
      <c r="G9" s="153"/>
      <c r="H9" s="153"/>
      <c r="I9" s="153"/>
      <c r="J9" s="72">
        <v>2</v>
      </c>
      <c r="K9" s="72"/>
      <c r="M9" s="154" t="s">
        <v>12</v>
      </c>
      <c r="N9" s="154"/>
      <c r="O9" s="154"/>
      <c r="P9" s="77">
        <v>16</v>
      </c>
    </row>
    <row r="10" spans="1:16" ht="32.4" customHeight="1" x14ac:dyDescent="0.3">
      <c r="A10" s="76">
        <v>9</v>
      </c>
      <c r="B10" s="73" t="s">
        <v>6</v>
      </c>
      <c r="C10" s="153" t="s">
        <v>87</v>
      </c>
      <c r="D10" s="153"/>
      <c r="E10" s="153"/>
      <c r="F10" s="153"/>
      <c r="G10" s="153"/>
      <c r="H10" s="153"/>
      <c r="I10" s="153"/>
      <c r="J10" s="72">
        <v>0</v>
      </c>
      <c r="K10" s="72"/>
      <c r="M10" s="154" t="s">
        <v>13</v>
      </c>
      <c r="N10" s="154"/>
      <c r="O10" s="154"/>
      <c r="P10" s="77">
        <v>15</v>
      </c>
    </row>
    <row r="11" spans="1:16" ht="32.4" customHeight="1" x14ac:dyDescent="0.3">
      <c r="A11" s="76">
        <v>8</v>
      </c>
      <c r="B11" s="73" t="s">
        <v>7</v>
      </c>
      <c r="C11" s="153" t="s">
        <v>132</v>
      </c>
      <c r="D11" s="153"/>
      <c r="E11" s="153"/>
      <c r="F11" s="153"/>
      <c r="G11" s="153"/>
      <c r="H11" s="153"/>
      <c r="I11" s="153"/>
      <c r="J11" s="72">
        <v>-1</v>
      </c>
      <c r="K11" s="72"/>
      <c r="P11" s="196" t="str">
        <f>'Cleric A'!P11</f>
        <v>TS: tiro ≥ valore = successo</v>
      </c>
    </row>
    <row r="12" spans="1:16" ht="8.4" customHeight="1" x14ac:dyDescent="0.3">
      <c r="A12" s="79"/>
      <c r="P12" s="78"/>
    </row>
    <row r="13" spans="1:16" s="3" customFormat="1" ht="15.6" customHeight="1" x14ac:dyDescent="0.3">
      <c r="A13" s="80" t="s">
        <v>16</v>
      </c>
      <c r="B13" s="40"/>
      <c r="C13" s="37"/>
      <c r="E13" s="40" t="s">
        <v>17</v>
      </c>
      <c r="F13" s="40"/>
      <c r="G13" s="40"/>
      <c r="H13" s="37"/>
      <c r="I13" s="6" t="s">
        <v>66</v>
      </c>
      <c r="J13" s="6" t="s">
        <v>67</v>
      </c>
      <c r="K13" s="6" t="s">
        <v>68</v>
      </c>
      <c r="N13" s="40" t="s">
        <v>56</v>
      </c>
      <c r="O13" s="41"/>
      <c r="P13" s="81"/>
    </row>
    <row r="14" spans="1:16" s="3" customFormat="1" ht="15.6" customHeight="1" x14ac:dyDescent="0.3">
      <c r="A14" s="155" t="s">
        <v>172</v>
      </c>
      <c r="B14" s="156"/>
      <c r="E14" s="37" t="s">
        <v>21</v>
      </c>
      <c r="F14" s="37"/>
      <c r="H14" s="7" t="s">
        <v>71</v>
      </c>
      <c r="I14" s="82">
        <v>40</v>
      </c>
      <c r="J14" s="1">
        <f>K14*1.5</f>
        <v>12</v>
      </c>
      <c r="K14" s="1">
        <f>I14/5</f>
        <v>8</v>
      </c>
      <c r="N14" s="3" t="s">
        <v>135</v>
      </c>
      <c r="P14" s="71"/>
    </row>
    <row r="15" spans="1:16" s="3" customFormat="1" ht="15.6" customHeight="1" x14ac:dyDescent="0.3">
      <c r="A15" s="157"/>
      <c r="B15" s="158"/>
      <c r="E15" s="83" t="s">
        <v>37</v>
      </c>
      <c r="F15" s="83"/>
      <c r="G15" s="84"/>
      <c r="H15" s="85" t="s">
        <v>72</v>
      </c>
      <c r="I15" s="86">
        <f>I14*3</f>
        <v>120</v>
      </c>
      <c r="J15" s="86">
        <f>K15*1.5</f>
        <v>36</v>
      </c>
      <c r="K15" s="86">
        <f t="shared" ref="K15:K18" si="0">I15/5</f>
        <v>24</v>
      </c>
      <c r="N15" s="3" t="s">
        <v>136</v>
      </c>
      <c r="P15" s="71"/>
    </row>
    <row r="16" spans="1:16" s="3" customFormat="1" ht="15.6" customHeight="1" x14ac:dyDescent="0.3">
      <c r="A16" s="157"/>
      <c r="B16" s="158"/>
      <c r="E16" s="37" t="s">
        <v>18</v>
      </c>
      <c r="F16" s="37"/>
      <c r="H16" s="7" t="s">
        <v>71</v>
      </c>
      <c r="I16" s="82">
        <f>I14*3</f>
        <v>120</v>
      </c>
      <c r="J16" s="1">
        <f>K16*1.5</f>
        <v>36</v>
      </c>
      <c r="K16" s="1">
        <f t="shared" si="0"/>
        <v>24</v>
      </c>
      <c r="N16" s="3" t="s">
        <v>60</v>
      </c>
      <c r="P16" s="71"/>
    </row>
    <row r="17" spans="1:16" s="3" customFormat="1" ht="15.6" customHeight="1" x14ac:dyDescent="0.3">
      <c r="A17" s="87" t="s">
        <v>207</v>
      </c>
      <c r="B17" s="88"/>
      <c r="E17" s="83" t="s">
        <v>35</v>
      </c>
      <c r="F17" s="83"/>
      <c r="G17" s="84"/>
      <c r="H17" s="85" t="s">
        <v>71</v>
      </c>
      <c r="I17" s="86">
        <f>I14/2</f>
        <v>20</v>
      </c>
      <c r="J17" s="86">
        <f>K17*1.5</f>
        <v>6</v>
      </c>
      <c r="K17" s="86">
        <f t="shared" si="0"/>
        <v>4</v>
      </c>
      <c r="N17" s="3" t="s">
        <v>137</v>
      </c>
      <c r="P17" s="71"/>
    </row>
    <row r="18" spans="1:16" s="3" customFormat="1" ht="15.6" customHeight="1" x14ac:dyDescent="0.3">
      <c r="A18" s="87" t="s">
        <v>96</v>
      </c>
      <c r="B18" s="89"/>
      <c r="E18" s="37" t="s">
        <v>36</v>
      </c>
      <c r="F18" s="37"/>
      <c r="H18" s="7" t="s">
        <v>71</v>
      </c>
      <c r="I18" s="82">
        <f>I14/2</f>
        <v>20</v>
      </c>
      <c r="J18" s="1">
        <f>K18*1.5</f>
        <v>6</v>
      </c>
      <c r="K18" s="1">
        <f t="shared" si="0"/>
        <v>4</v>
      </c>
      <c r="P18" s="71"/>
    </row>
    <row r="19" spans="1:16" s="3" customFormat="1" ht="15.6" customHeight="1" x14ac:dyDescent="0.3">
      <c r="A19" s="90"/>
      <c r="B19" s="38"/>
      <c r="E19" s="83" t="s">
        <v>22</v>
      </c>
      <c r="F19" s="83"/>
      <c r="G19" s="84"/>
      <c r="H19" s="85" t="s">
        <v>73</v>
      </c>
      <c r="I19" s="91" t="s">
        <v>134</v>
      </c>
      <c r="J19" s="91" t="s">
        <v>133</v>
      </c>
      <c r="K19" s="91"/>
      <c r="P19" s="71"/>
    </row>
    <row r="20" spans="1:16" s="3" customFormat="1" ht="15.6" customHeight="1" x14ac:dyDescent="0.3">
      <c r="A20" s="92" t="s">
        <v>242</v>
      </c>
      <c r="B20" s="53"/>
      <c r="N20" s="147"/>
      <c r="O20" s="147"/>
      <c r="P20" s="148"/>
    </row>
    <row r="21" spans="1:16" s="3" customFormat="1" ht="15.6" customHeight="1" x14ac:dyDescent="0.3">
      <c r="A21" s="90" t="s">
        <v>243</v>
      </c>
      <c r="B21" s="39"/>
      <c r="E21" s="93" t="str">
        <f>'Cleric A'!E21</f>
        <v>Carica, Ritirata difensiva, Difesa totale</v>
      </c>
      <c r="O21" s="94"/>
      <c r="P21" s="95"/>
    </row>
    <row r="22" spans="1:16" ht="15.6" customHeight="1" x14ac:dyDescent="0.3">
      <c r="A22" s="96" t="s">
        <v>244</v>
      </c>
      <c r="B22" s="54"/>
      <c r="E22" s="93" t="str">
        <f>'Cleric A'!E22</f>
        <v>Spinta, Disarmo, Parare (F), Colpo potente (F)</v>
      </c>
      <c r="N22" s="97"/>
      <c r="O22" s="97" t="s">
        <v>46</v>
      </c>
      <c r="P22" s="98">
        <v>4</v>
      </c>
    </row>
    <row r="23" spans="1:16" ht="15.6" customHeight="1" x14ac:dyDescent="0.3">
      <c r="A23" s="90" t="s">
        <v>245</v>
      </c>
      <c r="B23" s="39"/>
      <c r="E23" s="93" t="str">
        <f>'Cleric A'!E23</f>
        <v>Afferrrare, Liberarsi da presa, Azione Pronta</v>
      </c>
      <c r="M23" s="37"/>
      <c r="N23" s="99"/>
      <c r="O23" s="39"/>
      <c r="P23" s="100"/>
    </row>
    <row r="24" spans="1:16" ht="15.6" customHeight="1" x14ac:dyDescent="0.3">
      <c r="A24" s="96" t="s">
        <v>246</v>
      </c>
      <c r="B24" s="54"/>
      <c r="E24" s="93" t="str">
        <f>'Cleric A'!E24</f>
        <v xml:space="preserve">Attraversare alleati ©, Passare posizione © , </v>
      </c>
      <c r="M24" s="37"/>
      <c r="N24" s="52"/>
      <c r="O24" s="52" t="s">
        <v>236</v>
      </c>
      <c r="P24" s="101" t="s">
        <v>237</v>
      </c>
    </row>
    <row r="25" spans="1:16" ht="15.6" customHeight="1" x14ac:dyDescent="0.3">
      <c r="A25" s="90" t="s">
        <v>247</v>
      </c>
      <c r="B25" s="39"/>
      <c r="E25" s="93" t="str">
        <f>'Cleric A'!E25</f>
        <v>Azione pronta, Preparare per carica</v>
      </c>
      <c r="N25" s="103" t="s">
        <v>42</v>
      </c>
      <c r="O25" s="39"/>
      <c r="P25" s="104"/>
    </row>
    <row r="26" spans="1:16" ht="15.6" customHeight="1" x14ac:dyDescent="0.3">
      <c r="A26" s="96" t="s">
        <v>79</v>
      </c>
      <c r="B26" s="54"/>
      <c r="E26" s="93" t="str">
        <f>'Cleric A'!E26</f>
        <v>Prone: +2 TxC nemici, metà mov per alzarsi</v>
      </c>
      <c r="N26" s="103" t="s">
        <v>39</v>
      </c>
      <c r="O26" s="39"/>
      <c r="P26" s="104">
        <v>500</v>
      </c>
    </row>
    <row r="27" spans="1:16" ht="15.6" customHeight="1" x14ac:dyDescent="0.3">
      <c r="A27" s="105" t="s">
        <v>248</v>
      </c>
      <c r="B27" s="33"/>
      <c r="E27" s="93" t="str">
        <f>'Cleric A'!E27</f>
        <v>Copertura: Parziale -2 TxC | Totale -4 TxC</v>
      </c>
      <c r="N27" s="103" t="s">
        <v>43</v>
      </c>
      <c r="O27" s="39"/>
      <c r="P27" s="104"/>
    </row>
    <row r="28" spans="1:16" ht="15.6" customHeight="1" x14ac:dyDescent="0.3">
      <c r="A28" s="79"/>
      <c r="E28" s="93" t="str">
        <f>'Cleric A'!E28</f>
        <v>Tiro oltre 1* alleato: -2 TxC, 1 Colpito Alleato</v>
      </c>
      <c r="N28" s="103" t="s">
        <v>40</v>
      </c>
      <c r="O28" s="39"/>
      <c r="P28" s="104"/>
    </row>
    <row r="29" spans="1:16" ht="15.6" customHeight="1" x14ac:dyDescent="0.3">
      <c r="A29" s="105"/>
      <c r="B29" s="33"/>
      <c r="E29" s="93" t="str">
        <f>'Cleric A'!E29</f>
        <v>Distanza:   corta +1, lunga -1</v>
      </c>
      <c r="N29" s="107"/>
      <c r="O29" s="97" t="s">
        <v>46</v>
      </c>
      <c r="P29" s="98">
        <v>5</v>
      </c>
    </row>
    <row r="30" spans="1:16" x14ac:dyDescent="0.3">
      <c r="A30" s="105"/>
      <c r="B30" s="33"/>
      <c r="E30" s="93" t="str">
        <f>'Cleric A'!E30</f>
        <v>Copertura vs area: Parz. +2 TS, Quasi tot. +4 TS</v>
      </c>
      <c r="P30" s="78"/>
    </row>
    <row r="31" spans="1:16" ht="15.6" customHeight="1" x14ac:dyDescent="0.3">
      <c r="A31" s="79"/>
      <c r="P31" s="78"/>
    </row>
    <row r="32" spans="1:16" ht="15.6" x14ac:dyDescent="0.3">
      <c r="A32" s="80" t="s">
        <v>41</v>
      </c>
      <c r="B32" s="40"/>
      <c r="C32" s="45" t="s">
        <v>97</v>
      </c>
      <c r="D32" s="42"/>
      <c r="E32" s="45" t="s">
        <v>98</v>
      </c>
      <c r="F32" s="42"/>
      <c r="G32" s="45" t="s">
        <v>99</v>
      </c>
      <c r="H32" s="42"/>
      <c r="I32" s="45"/>
      <c r="J32" s="42"/>
      <c r="K32" s="42"/>
      <c r="N32" s="40" t="s">
        <v>29</v>
      </c>
      <c r="O32" s="42"/>
      <c r="P32" s="75"/>
    </row>
    <row r="33" spans="1:27" x14ac:dyDescent="0.3">
      <c r="A33" s="121" t="s">
        <v>30</v>
      </c>
      <c r="B33" s="2" t="s">
        <v>142</v>
      </c>
      <c r="N33" s="2" t="s">
        <v>54</v>
      </c>
      <c r="P33" s="78"/>
    </row>
    <row r="34" spans="1:27" x14ac:dyDescent="0.3">
      <c r="A34" s="121" t="s">
        <v>31</v>
      </c>
      <c r="B34" s="2" t="s">
        <v>143</v>
      </c>
      <c r="N34" s="2" t="s">
        <v>32</v>
      </c>
      <c r="P34" s="78"/>
    </row>
    <row r="35" spans="1:27" x14ac:dyDescent="0.3">
      <c r="A35" s="121" t="s">
        <v>38</v>
      </c>
      <c r="B35" s="2" t="s">
        <v>141</v>
      </c>
      <c r="N35" s="2" t="s">
        <v>55</v>
      </c>
      <c r="P35" s="78"/>
    </row>
    <row r="36" spans="1:27" x14ac:dyDescent="0.3">
      <c r="A36" s="79"/>
      <c r="L36" s="111" t="s">
        <v>206</v>
      </c>
      <c r="P36" s="78"/>
    </row>
    <row r="37" spans="1:27" ht="15.6" x14ac:dyDescent="0.3">
      <c r="A37" s="112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49" t="s">
        <v>26</v>
      </c>
      <c r="N37" s="149"/>
      <c r="O37" s="40" t="s">
        <v>27</v>
      </c>
      <c r="P37" s="75"/>
    </row>
    <row r="38" spans="1:27" ht="18" x14ac:dyDescent="0.3">
      <c r="A38" s="110" t="s">
        <v>138</v>
      </c>
      <c r="B38" s="1" t="s">
        <v>23</v>
      </c>
      <c r="C38" s="113">
        <v>11</v>
      </c>
      <c r="D38" s="114">
        <f>C38+1</f>
        <v>12</v>
      </c>
      <c r="E38" s="113">
        <f t="shared" ref="E38:L38" si="2">D38+1</f>
        <v>13</v>
      </c>
      <c r="F38" s="114">
        <f t="shared" si="2"/>
        <v>14</v>
      </c>
      <c r="G38" s="113">
        <f t="shared" si="2"/>
        <v>15</v>
      </c>
      <c r="H38" s="114">
        <f t="shared" si="2"/>
        <v>16</v>
      </c>
      <c r="I38" s="113">
        <f t="shared" si="2"/>
        <v>17</v>
      </c>
      <c r="J38" s="114">
        <f t="shared" si="2"/>
        <v>18</v>
      </c>
      <c r="K38" s="113">
        <f t="shared" si="2"/>
        <v>19</v>
      </c>
      <c r="L38" s="114">
        <f t="shared" si="2"/>
        <v>20</v>
      </c>
      <c r="M38" s="150" t="s">
        <v>139</v>
      </c>
      <c r="N38" s="150"/>
      <c r="P38" s="78"/>
    </row>
    <row r="39" spans="1:27" ht="18" x14ac:dyDescent="0.3">
      <c r="A39" s="110" t="s">
        <v>24</v>
      </c>
      <c r="B39" s="1" t="s">
        <v>23</v>
      </c>
      <c r="C39" s="113">
        <v>11</v>
      </c>
      <c r="D39" s="114">
        <f t="shared" ref="D39:L40" si="3">C39+1</f>
        <v>12</v>
      </c>
      <c r="E39" s="113">
        <f t="shared" si="3"/>
        <v>13</v>
      </c>
      <c r="F39" s="114">
        <f t="shared" si="3"/>
        <v>14</v>
      </c>
      <c r="G39" s="113">
        <f t="shared" si="3"/>
        <v>15</v>
      </c>
      <c r="H39" s="114">
        <f t="shared" si="3"/>
        <v>16</v>
      </c>
      <c r="I39" s="113">
        <f t="shared" si="3"/>
        <v>17</v>
      </c>
      <c r="J39" s="114">
        <f t="shared" si="3"/>
        <v>18</v>
      </c>
      <c r="K39" s="113">
        <f t="shared" si="3"/>
        <v>19</v>
      </c>
      <c r="L39" s="114">
        <f t="shared" si="3"/>
        <v>20</v>
      </c>
      <c r="M39" s="151" t="s">
        <v>139</v>
      </c>
      <c r="N39" s="151"/>
      <c r="O39" s="3"/>
      <c r="P39" s="78"/>
      <c r="AA39"/>
    </row>
    <row r="40" spans="1:27" ht="18.600000000000001" thickBot="1" x14ac:dyDescent="0.35">
      <c r="A40" s="115" t="s">
        <v>24</v>
      </c>
      <c r="B40" s="116" t="s">
        <v>140</v>
      </c>
      <c r="C40" s="117">
        <v>10</v>
      </c>
      <c r="D40" s="118">
        <f t="shared" si="3"/>
        <v>11</v>
      </c>
      <c r="E40" s="117">
        <f t="shared" si="3"/>
        <v>12</v>
      </c>
      <c r="F40" s="118">
        <f t="shared" si="3"/>
        <v>13</v>
      </c>
      <c r="G40" s="117">
        <f t="shared" si="3"/>
        <v>14</v>
      </c>
      <c r="H40" s="118">
        <f t="shared" si="3"/>
        <v>15</v>
      </c>
      <c r="I40" s="117">
        <f t="shared" si="3"/>
        <v>16</v>
      </c>
      <c r="J40" s="118">
        <f t="shared" si="3"/>
        <v>17</v>
      </c>
      <c r="K40" s="117">
        <f t="shared" si="3"/>
        <v>18</v>
      </c>
      <c r="L40" s="118">
        <f t="shared" si="3"/>
        <v>19</v>
      </c>
      <c r="M40" s="152" t="s">
        <v>84</v>
      </c>
      <c r="N40" s="152"/>
      <c r="O40" s="119"/>
      <c r="P40" s="120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zoomScale="120" zoomScaleNormal="120" workbookViewId="0">
      <selection activeCell="G4" sqref="G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104</v>
      </c>
      <c r="C1" s="56"/>
      <c r="D1" s="57"/>
      <c r="E1" s="58"/>
      <c r="F1" s="59"/>
      <c r="G1" s="60" t="s">
        <v>121</v>
      </c>
      <c r="H1" s="56"/>
      <c r="I1" s="59"/>
      <c r="J1" s="61"/>
      <c r="K1" s="62" t="s">
        <v>34</v>
      </c>
      <c r="L1" s="57"/>
      <c r="M1" s="57"/>
      <c r="N1" s="63" t="s">
        <v>95</v>
      </c>
      <c r="O1" s="56"/>
      <c r="P1" s="64"/>
    </row>
    <row r="2" spans="1:16" ht="20.399999999999999" customHeight="1" x14ac:dyDescent="0.3">
      <c r="A2" s="65" t="s">
        <v>94</v>
      </c>
      <c r="B2" s="46" t="s">
        <v>75</v>
      </c>
      <c r="C2" s="46"/>
      <c r="D2" s="66"/>
      <c r="E2" s="47" t="s">
        <v>33</v>
      </c>
      <c r="F2" s="48"/>
      <c r="G2" s="48" t="s">
        <v>105</v>
      </c>
      <c r="H2" s="48"/>
      <c r="I2" s="49" t="s">
        <v>128</v>
      </c>
      <c r="J2" s="66"/>
      <c r="K2" s="67" t="s">
        <v>1</v>
      </c>
      <c r="L2" s="68"/>
      <c r="M2" s="68"/>
      <c r="N2" s="46" t="s">
        <v>50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126" t="s">
        <v>8</v>
      </c>
      <c r="B4" s="199">
        <v>0</v>
      </c>
      <c r="C4" s="1"/>
      <c r="E4" s="200" t="s">
        <v>46</v>
      </c>
      <c r="F4" s="198">
        <v>24</v>
      </c>
      <c r="G4" s="197" t="s">
        <v>110</v>
      </c>
      <c r="H4" s="1"/>
      <c r="I4" s="1"/>
      <c r="J4" s="128"/>
      <c r="K4" s="1"/>
      <c r="L4" s="129" t="s">
        <v>93</v>
      </c>
      <c r="M4" s="198">
        <v>1</v>
      </c>
      <c r="N4" s="1"/>
      <c r="O4" s="127" t="s">
        <v>9</v>
      </c>
      <c r="P4" s="130">
        <v>35</v>
      </c>
    </row>
    <row r="5" spans="1:16" ht="19.8" customHeight="1" x14ac:dyDescent="0.3">
      <c r="A5" s="74" t="s">
        <v>29</v>
      </c>
      <c r="B5" s="43"/>
      <c r="J5" s="2" t="s">
        <v>92</v>
      </c>
      <c r="M5" s="43" t="s">
        <v>10</v>
      </c>
      <c r="N5" s="42"/>
      <c r="O5" s="42"/>
      <c r="P5" s="75"/>
    </row>
    <row r="6" spans="1:16" ht="32.4" customHeight="1" x14ac:dyDescent="0.3">
      <c r="A6" s="76">
        <v>17</v>
      </c>
      <c r="B6" s="73" t="s">
        <v>2</v>
      </c>
      <c r="C6" s="153" t="s">
        <v>115</v>
      </c>
      <c r="D6" s="153"/>
      <c r="E6" s="153"/>
      <c r="F6" s="153"/>
      <c r="G6" s="153"/>
      <c r="H6" s="153"/>
      <c r="I6" s="153"/>
      <c r="J6" s="72">
        <v>2</v>
      </c>
      <c r="K6" s="72"/>
      <c r="M6" s="154" t="s">
        <v>51</v>
      </c>
      <c r="N6" s="154"/>
      <c r="O6" s="154"/>
      <c r="P6" s="77">
        <v>10</v>
      </c>
    </row>
    <row r="7" spans="1:16" ht="32.4" customHeight="1" x14ac:dyDescent="0.3">
      <c r="A7" s="76">
        <v>14</v>
      </c>
      <c r="B7" s="73" t="s">
        <v>3</v>
      </c>
      <c r="C7" s="153" t="s">
        <v>116</v>
      </c>
      <c r="D7" s="153"/>
      <c r="E7" s="153"/>
      <c r="F7" s="153"/>
      <c r="G7" s="153"/>
      <c r="H7" s="153"/>
      <c r="I7" s="153"/>
      <c r="J7" s="72">
        <v>1</v>
      </c>
      <c r="K7" s="72"/>
      <c r="M7" s="154" t="s">
        <v>11</v>
      </c>
      <c r="N7" s="154"/>
      <c r="O7" s="154"/>
      <c r="P7" s="77">
        <v>13</v>
      </c>
    </row>
    <row r="8" spans="1:16" ht="32.4" customHeight="1" x14ac:dyDescent="0.3">
      <c r="A8" s="76">
        <v>11</v>
      </c>
      <c r="B8" s="73" t="s">
        <v>4</v>
      </c>
      <c r="C8" s="153" t="s">
        <v>87</v>
      </c>
      <c r="D8" s="153"/>
      <c r="E8" s="153"/>
      <c r="F8" s="153"/>
      <c r="G8" s="153"/>
      <c r="H8" s="153"/>
      <c r="I8" s="153"/>
      <c r="J8" s="72">
        <v>0</v>
      </c>
      <c r="K8" s="72"/>
      <c r="M8" s="154" t="s">
        <v>14</v>
      </c>
      <c r="N8" s="154"/>
      <c r="O8" s="154"/>
      <c r="P8" s="77">
        <v>14</v>
      </c>
    </row>
    <row r="9" spans="1:16" ht="32.4" customHeight="1" x14ac:dyDescent="0.3">
      <c r="A9" s="76">
        <v>7</v>
      </c>
      <c r="B9" s="73" t="s">
        <v>5</v>
      </c>
      <c r="C9" s="153" t="s">
        <v>88</v>
      </c>
      <c r="D9" s="153"/>
      <c r="E9" s="153"/>
      <c r="F9" s="153"/>
      <c r="G9" s="153"/>
      <c r="H9" s="153"/>
      <c r="I9" s="153"/>
      <c r="J9" s="72">
        <v>-1</v>
      </c>
      <c r="K9" s="72"/>
      <c r="M9" s="154" t="s">
        <v>12</v>
      </c>
      <c r="N9" s="154"/>
      <c r="O9" s="154"/>
      <c r="P9" s="77">
        <v>13</v>
      </c>
    </row>
    <row r="10" spans="1:16" ht="32.4" customHeight="1" x14ac:dyDescent="0.3">
      <c r="A10" s="76">
        <v>4</v>
      </c>
      <c r="B10" s="73" t="s">
        <v>6</v>
      </c>
      <c r="C10" s="153" t="s">
        <v>117</v>
      </c>
      <c r="D10" s="153"/>
      <c r="E10" s="153"/>
      <c r="F10" s="153"/>
      <c r="G10" s="153"/>
      <c r="H10" s="153"/>
      <c r="I10" s="153"/>
      <c r="J10" s="72">
        <v>-2</v>
      </c>
      <c r="K10" s="72"/>
      <c r="M10" s="154" t="s">
        <v>13</v>
      </c>
      <c r="N10" s="154"/>
      <c r="O10" s="154"/>
      <c r="P10" s="77">
        <v>16</v>
      </c>
    </row>
    <row r="11" spans="1:16" ht="32.4" customHeight="1" x14ac:dyDescent="0.3">
      <c r="A11" s="76">
        <v>10</v>
      </c>
      <c r="B11" s="73" t="s">
        <v>7</v>
      </c>
      <c r="C11" s="153" t="s">
        <v>90</v>
      </c>
      <c r="D11" s="153"/>
      <c r="E11" s="153"/>
      <c r="F11" s="153"/>
      <c r="G11" s="153"/>
      <c r="H11" s="153"/>
      <c r="I11" s="153"/>
      <c r="J11" s="72">
        <v>0</v>
      </c>
      <c r="K11" s="72"/>
      <c r="P11" s="196" t="str">
        <f>'Cleric A'!P11</f>
        <v>TS: tiro ≥ valore = successo</v>
      </c>
    </row>
    <row r="12" spans="1:16" ht="8.4" customHeight="1" x14ac:dyDescent="0.3">
      <c r="A12" s="79"/>
      <c r="P12" s="78"/>
    </row>
    <row r="13" spans="1:16" s="3" customFormat="1" ht="15.6" customHeight="1" x14ac:dyDescent="0.3">
      <c r="A13" s="80" t="s">
        <v>16</v>
      </c>
      <c r="B13" s="40"/>
      <c r="C13" s="37"/>
      <c r="E13" s="40" t="s">
        <v>17</v>
      </c>
      <c r="F13" s="40"/>
      <c r="G13" s="40"/>
      <c r="H13" s="37"/>
      <c r="I13" s="6" t="s">
        <v>66</v>
      </c>
      <c r="J13" s="6" t="s">
        <v>67</v>
      </c>
      <c r="K13" s="6" t="s">
        <v>68</v>
      </c>
      <c r="N13" s="40" t="s">
        <v>56</v>
      </c>
      <c r="O13" s="41"/>
      <c r="P13" s="81"/>
    </row>
    <row r="14" spans="1:16" s="3" customFormat="1" ht="15.6" customHeight="1" x14ac:dyDescent="0.3">
      <c r="A14" s="155" t="s">
        <v>172</v>
      </c>
      <c r="B14" s="156"/>
      <c r="E14" s="37" t="s">
        <v>21</v>
      </c>
      <c r="F14" s="37"/>
      <c r="H14" s="7" t="s">
        <v>71</v>
      </c>
      <c r="I14" s="82">
        <v>20</v>
      </c>
      <c r="J14" s="1">
        <f>K14*1.5</f>
        <v>6</v>
      </c>
      <c r="K14" s="1">
        <f>I14/5</f>
        <v>4</v>
      </c>
      <c r="N14" s="3" t="s">
        <v>57</v>
      </c>
      <c r="P14" s="71"/>
    </row>
    <row r="15" spans="1:16" s="3" customFormat="1" ht="15.6" customHeight="1" x14ac:dyDescent="0.3">
      <c r="A15" s="157"/>
      <c r="B15" s="158"/>
      <c r="E15" s="83" t="s">
        <v>37</v>
      </c>
      <c r="F15" s="83"/>
      <c r="G15" s="84"/>
      <c r="H15" s="85" t="s">
        <v>72</v>
      </c>
      <c r="I15" s="86">
        <v>60</v>
      </c>
      <c r="J15" s="86">
        <f>K15*1.5</f>
        <v>18</v>
      </c>
      <c r="K15" s="86">
        <f t="shared" ref="K15:K18" si="0">I15/5</f>
        <v>12</v>
      </c>
      <c r="N15" s="3" t="s">
        <v>112</v>
      </c>
      <c r="P15" s="71"/>
    </row>
    <row r="16" spans="1:16" s="3" customFormat="1" ht="15.6" customHeight="1" x14ac:dyDescent="0.3">
      <c r="A16" s="157"/>
      <c r="B16" s="158"/>
      <c r="E16" s="37" t="s">
        <v>18</v>
      </c>
      <c r="F16" s="37"/>
      <c r="H16" s="7" t="s">
        <v>71</v>
      </c>
      <c r="I16" s="82">
        <v>60</v>
      </c>
      <c r="J16" s="1">
        <f>K16*1.5</f>
        <v>18</v>
      </c>
      <c r="K16" s="1">
        <f t="shared" si="0"/>
        <v>12</v>
      </c>
      <c r="N16" s="3" t="s">
        <v>113</v>
      </c>
      <c r="P16" s="71"/>
    </row>
    <row r="17" spans="1:16" s="3" customFormat="1" ht="15.6" customHeight="1" x14ac:dyDescent="0.3">
      <c r="A17" s="87" t="s">
        <v>207</v>
      </c>
      <c r="B17" s="88"/>
      <c r="E17" s="83" t="s">
        <v>35</v>
      </c>
      <c r="F17" s="83"/>
      <c r="G17" s="84"/>
      <c r="H17" s="85" t="s">
        <v>71</v>
      </c>
      <c r="I17" s="86">
        <v>10</v>
      </c>
      <c r="J17" s="86">
        <f>K17*1.5</f>
        <v>3</v>
      </c>
      <c r="K17" s="86">
        <f t="shared" si="0"/>
        <v>2</v>
      </c>
      <c r="N17" s="3" t="s">
        <v>60</v>
      </c>
      <c r="P17" s="71"/>
    </row>
    <row r="18" spans="1:16" s="3" customFormat="1" ht="15.6" customHeight="1" x14ac:dyDescent="0.3">
      <c r="A18" s="87" t="s">
        <v>96</v>
      </c>
      <c r="B18" s="89"/>
      <c r="E18" s="37" t="s">
        <v>36</v>
      </c>
      <c r="F18" s="37"/>
      <c r="H18" s="7" t="s">
        <v>71</v>
      </c>
      <c r="I18" s="82">
        <v>10</v>
      </c>
      <c r="J18" s="1">
        <f>K18*1.5</f>
        <v>3</v>
      </c>
      <c r="K18" s="1">
        <f t="shared" si="0"/>
        <v>2</v>
      </c>
      <c r="N18" s="3" t="s">
        <v>114</v>
      </c>
      <c r="P18" s="71"/>
    </row>
    <row r="19" spans="1:16" s="3" customFormat="1" ht="15.6" customHeight="1" x14ac:dyDescent="0.3">
      <c r="A19" s="90"/>
      <c r="B19" s="38"/>
      <c r="E19" s="83" t="s">
        <v>22</v>
      </c>
      <c r="F19" s="83"/>
      <c r="G19" s="84"/>
      <c r="H19" s="85" t="s">
        <v>73</v>
      </c>
      <c r="I19" s="91" t="s">
        <v>70</v>
      </c>
      <c r="J19" s="91" t="s">
        <v>69</v>
      </c>
      <c r="K19" s="91"/>
      <c r="N19" s="3" t="s">
        <v>62</v>
      </c>
      <c r="P19" s="71"/>
    </row>
    <row r="20" spans="1:16" s="3" customFormat="1" ht="15.6" customHeight="1" x14ac:dyDescent="0.3">
      <c r="A20" s="92" t="s">
        <v>242</v>
      </c>
      <c r="B20" s="53"/>
      <c r="E20" s="93"/>
      <c r="N20" s="147" t="s">
        <v>120</v>
      </c>
      <c r="O20" s="147"/>
      <c r="P20" s="148"/>
    </row>
    <row r="21" spans="1:16" s="3" customFormat="1" ht="15.6" customHeight="1" x14ac:dyDescent="0.3">
      <c r="A21" s="90" t="s">
        <v>243</v>
      </c>
      <c r="B21" s="39"/>
      <c r="E21" s="93" t="str">
        <f>'Cleric A'!E21</f>
        <v>Carica, Ritirata difensiva, Difesa totale</v>
      </c>
      <c r="O21" s="97"/>
      <c r="P21" s="98"/>
    </row>
    <row r="22" spans="1:16" ht="15.6" customHeight="1" x14ac:dyDescent="0.3">
      <c r="A22" s="96" t="s">
        <v>244</v>
      </c>
      <c r="B22" s="54"/>
      <c r="E22" s="93" t="str">
        <f>'Cleric A'!E22</f>
        <v>Spinta, Disarmo, Parare (F), Colpo potente (F)</v>
      </c>
      <c r="F22" s="3"/>
      <c r="N22" s="3"/>
      <c r="O22" s="97" t="s">
        <v>46</v>
      </c>
      <c r="P22" s="98">
        <v>12</v>
      </c>
    </row>
    <row r="23" spans="1:16" ht="15.6" customHeight="1" x14ac:dyDescent="0.3">
      <c r="A23" s="90" t="s">
        <v>245</v>
      </c>
      <c r="B23" s="39"/>
      <c r="E23" s="93" t="str">
        <f>'Cleric A'!E23</f>
        <v>Afferrrare, Liberarsi da presa, Azione Pronta</v>
      </c>
      <c r="M23" s="37"/>
      <c r="N23" s="125"/>
      <c r="P23" s="78"/>
    </row>
    <row r="24" spans="1:16" ht="15.6" customHeight="1" x14ac:dyDescent="0.3">
      <c r="A24" s="96" t="s">
        <v>246</v>
      </c>
      <c r="B24" s="54"/>
      <c r="E24" s="93" t="str">
        <f>'Cleric A'!E24</f>
        <v xml:space="preserve">Attraversare alleati ©, Passare posizione © , </v>
      </c>
      <c r="M24" s="37"/>
      <c r="N24" s="52"/>
      <c r="O24" s="52" t="s">
        <v>236</v>
      </c>
      <c r="P24" s="101" t="s">
        <v>237</v>
      </c>
    </row>
    <row r="25" spans="1:16" ht="15.6" customHeight="1" x14ac:dyDescent="0.3">
      <c r="A25" s="90" t="s">
        <v>247</v>
      </c>
      <c r="B25" s="39"/>
      <c r="E25" s="93" t="str">
        <f>'Cleric A'!E25</f>
        <v>Azione pronta, Preparare per carica</v>
      </c>
      <c r="N25" s="103" t="s">
        <v>42</v>
      </c>
      <c r="O25" s="39"/>
      <c r="P25" s="104"/>
    </row>
    <row r="26" spans="1:16" ht="15.6" customHeight="1" x14ac:dyDescent="0.3">
      <c r="A26" s="96" t="s">
        <v>79</v>
      </c>
      <c r="B26" s="54"/>
      <c r="E26" s="93" t="str">
        <f>'Cleric A'!E26</f>
        <v>Prone: +2 TxC nemici, metà mov per alzarsi</v>
      </c>
      <c r="N26" s="103" t="s">
        <v>39</v>
      </c>
      <c r="O26" s="39"/>
      <c r="P26" s="104">
        <v>500</v>
      </c>
    </row>
    <row r="27" spans="1:16" ht="15.6" customHeight="1" x14ac:dyDescent="0.3">
      <c r="A27" s="105" t="s">
        <v>248</v>
      </c>
      <c r="B27" s="33"/>
      <c r="E27" s="93" t="str">
        <f>'Cleric A'!E27</f>
        <v>Copertura: Parziale -2 TxC | Totale -4 TxC</v>
      </c>
      <c r="N27" s="103" t="s">
        <v>43</v>
      </c>
      <c r="O27" s="39"/>
      <c r="P27" s="104"/>
    </row>
    <row r="28" spans="1:16" ht="15.6" customHeight="1" x14ac:dyDescent="0.3">
      <c r="A28" s="79"/>
      <c r="E28" s="93" t="str">
        <f>'Cleric A'!E28</f>
        <v>Tiro oltre 1* alleato: -2 TxC, 1 Colpito Alleato</v>
      </c>
      <c r="G28" s="82"/>
      <c r="I28" s="82"/>
      <c r="N28" s="103" t="s">
        <v>40</v>
      </c>
      <c r="O28" s="39"/>
      <c r="P28" s="104"/>
    </row>
    <row r="29" spans="1:16" ht="15.6" customHeight="1" x14ac:dyDescent="0.3">
      <c r="A29" s="105"/>
      <c r="B29" s="33"/>
      <c r="E29" s="93" t="str">
        <f>'Cleric A'!E29</f>
        <v>Distanza:   corta +1, lunga -1</v>
      </c>
      <c r="N29" s="107"/>
      <c r="O29" s="97" t="s">
        <v>46</v>
      </c>
      <c r="P29" s="98">
        <v>5</v>
      </c>
    </row>
    <row r="30" spans="1:16" x14ac:dyDescent="0.3">
      <c r="A30" s="79"/>
      <c r="E30" s="93" t="str">
        <f>'Cleric A'!E30</f>
        <v>Copertura vs area: Parz. +2 TS, Quasi tot. +4 TS</v>
      </c>
      <c r="P30" s="78"/>
    </row>
    <row r="31" spans="1:16" ht="15.6" customHeight="1" x14ac:dyDescent="0.3">
      <c r="A31" s="122" t="s">
        <v>125</v>
      </c>
      <c r="B31" s="109"/>
      <c r="C31" s="109" t="s">
        <v>8</v>
      </c>
      <c r="E31" s="93"/>
      <c r="P31" s="78"/>
    </row>
    <row r="32" spans="1:16" ht="15.6" x14ac:dyDescent="0.3">
      <c r="A32" s="108" t="s">
        <v>124</v>
      </c>
      <c r="B32" s="5"/>
      <c r="C32" s="123">
        <v>0</v>
      </c>
      <c r="E32" s="93"/>
      <c r="N32" s="40" t="s">
        <v>29</v>
      </c>
      <c r="O32" s="42"/>
      <c r="P32" s="75"/>
    </row>
    <row r="33" spans="1:27" x14ac:dyDescent="0.3">
      <c r="A33" s="108" t="s">
        <v>122</v>
      </c>
      <c r="B33" s="5"/>
      <c r="C33" s="5">
        <v>2</v>
      </c>
      <c r="E33" s="93"/>
      <c r="N33" s="2" t="s">
        <v>54</v>
      </c>
      <c r="P33" s="78"/>
    </row>
    <row r="34" spans="1:27" x14ac:dyDescent="0.3">
      <c r="A34" s="108" t="s">
        <v>123</v>
      </c>
      <c r="B34" s="5"/>
      <c r="C34" s="5">
        <v>2</v>
      </c>
      <c r="E34" s="93"/>
      <c r="N34" s="2" t="s">
        <v>32</v>
      </c>
      <c r="P34" s="78"/>
    </row>
    <row r="35" spans="1:27" x14ac:dyDescent="0.3">
      <c r="A35" s="108" t="s">
        <v>24</v>
      </c>
      <c r="B35" s="5"/>
      <c r="C35" s="5">
        <v>2</v>
      </c>
      <c r="E35" s="93"/>
      <c r="N35" s="2" t="s">
        <v>55</v>
      </c>
      <c r="P35" s="78"/>
    </row>
    <row r="36" spans="1:27" x14ac:dyDescent="0.3">
      <c r="A36" s="79"/>
      <c r="L36" s="111" t="s">
        <v>206</v>
      </c>
      <c r="P36" s="78"/>
    </row>
    <row r="37" spans="1:27" ht="15.6" x14ac:dyDescent="0.3">
      <c r="A37" s="112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49" t="s">
        <v>26</v>
      </c>
      <c r="N37" s="149"/>
      <c r="O37" s="40" t="s">
        <v>27</v>
      </c>
      <c r="P37" s="75"/>
    </row>
    <row r="38" spans="1:27" ht="18" x14ac:dyDescent="0.3">
      <c r="A38" s="110" t="s">
        <v>106</v>
      </c>
      <c r="B38" s="1" t="s">
        <v>226</v>
      </c>
      <c r="C38" s="113">
        <v>5</v>
      </c>
      <c r="D38" s="114">
        <f>C38+1</f>
        <v>6</v>
      </c>
      <c r="E38" s="113">
        <f t="shared" ref="E38:L38" si="2">D38+1</f>
        <v>7</v>
      </c>
      <c r="F38" s="114">
        <f t="shared" si="2"/>
        <v>8</v>
      </c>
      <c r="G38" s="113">
        <f t="shared" si="2"/>
        <v>9</v>
      </c>
      <c r="H38" s="114">
        <f t="shared" si="2"/>
        <v>10</v>
      </c>
      <c r="I38" s="113">
        <f t="shared" si="2"/>
        <v>11</v>
      </c>
      <c r="J38" s="114">
        <f t="shared" si="2"/>
        <v>12</v>
      </c>
      <c r="K38" s="113">
        <f t="shared" si="2"/>
        <v>13</v>
      </c>
      <c r="L38" s="114">
        <f t="shared" si="2"/>
        <v>14</v>
      </c>
      <c r="M38" s="150" t="s">
        <v>107</v>
      </c>
      <c r="N38" s="150"/>
      <c r="O38" s="2" t="s">
        <v>111</v>
      </c>
      <c r="P38" s="78"/>
    </row>
    <row r="39" spans="1:27" ht="18" x14ac:dyDescent="0.3">
      <c r="A39" s="110" t="s">
        <v>24</v>
      </c>
      <c r="B39" s="1" t="s">
        <v>23</v>
      </c>
      <c r="C39" s="113">
        <v>6</v>
      </c>
      <c r="D39" s="114">
        <f t="shared" ref="D39:L40" si="3">C39+1</f>
        <v>7</v>
      </c>
      <c r="E39" s="113">
        <f t="shared" si="3"/>
        <v>8</v>
      </c>
      <c r="F39" s="114">
        <f t="shared" si="3"/>
        <v>9</v>
      </c>
      <c r="G39" s="113">
        <f t="shared" si="3"/>
        <v>10</v>
      </c>
      <c r="H39" s="114">
        <f t="shared" si="3"/>
        <v>11</v>
      </c>
      <c r="I39" s="113">
        <f t="shared" si="3"/>
        <v>12</v>
      </c>
      <c r="J39" s="114">
        <f t="shared" si="3"/>
        <v>13</v>
      </c>
      <c r="K39" s="113">
        <f t="shared" si="3"/>
        <v>14</v>
      </c>
      <c r="L39" s="114">
        <f t="shared" si="3"/>
        <v>15</v>
      </c>
      <c r="M39" s="151" t="s">
        <v>108</v>
      </c>
      <c r="N39" s="151"/>
      <c r="O39" s="3" t="s">
        <v>118</v>
      </c>
      <c r="P39" s="78"/>
      <c r="AA39"/>
    </row>
    <row r="40" spans="1:27" ht="18.600000000000001" thickBot="1" x14ac:dyDescent="0.35">
      <c r="A40" s="115" t="s">
        <v>25</v>
      </c>
      <c r="B40" s="116" t="s">
        <v>109</v>
      </c>
      <c r="C40" s="117">
        <v>7</v>
      </c>
      <c r="D40" s="118">
        <f t="shared" si="3"/>
        <v>8</v>
      </c>
      <c r="E40" s="117">
        <f t="shared" si="3"/>
        <v>9</v>
      </c>
      <c r="F40" s="118">
        <f t="shared" si="3"/>
        <v>10</v>
      </c>
      <c r="G40" s="117">
        <f t="shared" si="3"/>
        <v>11</v>
      </c>
      <c r="H40" s="118">
        <f t="shared" si="3"/>
        <v>12</v>
      </c>
      <c r="I40" s="117">
        <f t="shared" si="3"/>
        <v>13</v>
      </c>
      <c r="J40" s="118">
        <f t="shared" si="3"/>
        <v>14</v>
      </c>
      <c r="K40" s="117">
        <f t="shared" si="3"/>
        <v>15</v>
      </c>
      <c r="L40" s="118">
        <f t="shared" si="3"/>
        <v>16</v>
      </c>
      <c r="M40" s="152" t="s">
        <v>28</v>
      </c>
      <c r="N40" s="152"/>
      <c r="O40" s="119" t="s">
        <v>119</v>
      </c>
      <c r="P40" s="120"/>
    </row>
  </sheetData>
  <mergeCells count="17"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M37:N37"/>
    <mergeCell ref="M38:N38"/>
    <mergeCell ref="M39:N39"/>
    <mergeCell ref="M40:N40"/>
    <mergeCell ref="N20:P2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abSelected="1" zoomScale="120" zoomScaleNormal="120" workbookViewId="0">
      <selection activeCell="S17" sqref="S17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49</v>
      </c>
      <c r="C1" s="56"/>
      <c r="D1" s="57"/>
      <c r="E1" s="58"/>
      <c r="F1" s="59"/>
      <c r="G1" s="60" t="s">
        <v>103</v>
      </c>
      <c r="H1" s="56"/>
      <c r="I1" s="59"/>
      <c r="J1" s="61"/>
      <c r="K1" s="62" t="s">
        <v>34</v>
      </c>
      <c r="L1" s="57"/>
      <c r="M1" s="57"/>
      <c r="N1" s="63" t="s">
        <v>95</v>
      </c>
      <c r="O1" s="56"/>
      <c r="P1" s="64"/>
    </row>
    <row r="2" spans="1:16" ht="20.399999999999999" customHeight="1" x14ac:dyDescent="0.3">
      <c r="A2" s="65" t="s">
        <v>94</v>
      </c>
      <c r="B2" s="46" t="s">
        <v>75</v>
      </c>
      <c r="C2" s="46"/>
      <c r="D2" s="66"/>
      <c r="E2" s="47" t="s">
        <v>33</v>
      </c>
      <c r="F2" s="48"/>
      <c r="G2" s="48" t="s">
        <v>101</v>
      </c>
      <c r="H2" s="48"/>
      <c r="I2" s="49" t="s">
        <v>102</v>
      </c>
      <c r="J2" s="66"/>
      <c r="K2" s="67" t="s">
        <v>1</v>
      </c>
      <c r="L2" s="68"/>
      <c r="M2" s="68"/>
      <c r="N2" s="46" t="s">
        <v>50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126" t="s">
        <v>8</v>
      </c>
      <c r="B4" s="199">
        <v>2</v>
      </c>
      <c r="C4" s="1"/>
      <c r="E4" s="127" t="s">
        <v>46</v>
      </c>
      <c r="F4" s="198">
        <v>20</v>
      </c>
      <c r="G4" s="197" t="s">
        <v>63</v>
      </c>
      <c r="H4" s="1"/>
      <c r="I4" s="1"/>
      <c r="J4" s="128"/>
      <c r="L4" s="129" t="s">
        <v>93</v>
      </c>
      <c r="M4" s="198">
        <v>-1</v>
      </c>
      <c r="N4" s="1"/>
      <c r="O4" s="127" t="s">
        <v>9</v>
      </c>
      <c r="P4" s="130">
        <v>31</v>
      </c>
    </row>
    <row r="5" spans="1:16" ht="19.8" customHeight="1" x14ac:dyDescent="0.3">
      <c r="A5" s="74" t="s">
        <v>29</v>
      </c>
      <c r="B5" s="43"/>
      <c r="J5" s="2" t="s">
        <v>92</v>
      </c>
      <c r="M5" s="43" t="s">
        <v>10</v>
      </c>
      <c r="N5" s="42"/>
      <c r="O5" s="42"/>
      <c r="P5" s="75"/>
    </row>
    <row r="6" spans="1:16" ht="32.4" customHeight="1" x14ac:dyDescent="0.3">
      <c r="A6" s="76">
        <v>12</v>
      </c>
      <c r="B6" s="73" t="s">
        <v>2</v>
      </c>
      <c r="C6" s="153" t="s">
        <v>85</v>
      </c>
      <c r="D6" s="153"/>
      <c r="E6" s="153"/>
      <c r="F6" s="153"/>
      <c r="G6" s="153"/>
      <c r="H6" s="153"/>
      <c r="I6" s="153"/>
      <c r="J6" s="72">
        <v>0</v>
      </c>
      <c r="K6" s="72"/>
      <c r="M6" s="154" t="s">
        <v>51</v>
      </c>
      <c r="N6" s="154"/>
      <c r="O6" s="154"/>
      <c r="P6" s="77">
        <v>9</v>
      </c>
    </row>
    <row r="7" spans="1:16" ht="32.4" customHeight="1" x14ac:dyDescent="0.3">
      <c r="A7" s="76">
        <v>6</v>
      </c>
      <c r="B7" s="73" t="s">
        <v>3</v>
      </c>
      <c r="C7" s="153" t="s">
        <v>86</v>
      </c>
      <c r="D7" s="153"/>
      <c r="E7" s="153"/>
      <c r="F7" s="153"/>
      <c r="G7" s="153"/>
      <c r="H7" s="153"/>
      <c r="I7" s="153"/>
      <c r="J7" s="72">
        <v>-1</v>
      </c>
      <c r="K7" s="72"/>
      <c r="M7" s="154" t="s">
        <v>11</v>
      </c>
      <c r="N7" s="154"/>
      <c r="O7" s="154"/>
      <c r="P7" s="77">
        <v>9</v>
      </c>
    </row>
    <row r="8" spans="1:16" ht="32.4" customHeight="1" x14ac:dyDescent="0.3">
      <c r="A8" s="76">
        <v>12</v>
      </c>
      <c r="B8" s="73" t="s">
        <v>4</v>
      </c>
      <c r="C8" s="153" t="s">
        <v>87</v>
      </c>
      <c r="D8" s="153"/>
      <c r="E8" s="153"/>
      <c r="F8" s="153"/>
      <c r="G8" s="153"/>
      <c r="H8" s="153"/>
      <c r="I8" s="153"/>
      <c r="J8" s="72">
        <v>0</v>
      </c>
      <c r="K8" s="72"/>
      <c r="M8" s="154" t="s">
        <v>14</v>
      </c>
      <c r="N8" s="154"/>
      <c r="O8" s="154"/>
      <c r="P8" s="77">
        <v>11</v>
      </c>
    </row>
    <row r="9" spans="1:16" ht="32.4" customHeight="1" x14ac:dyDescent="0.3">
      <c r="A9" s="76">
        <v>7</v>
      </c>
      <c r="B9" s="73" t="s">
        <v>5</v>
      </c>
      <c r="C9" s="153" t="s">
        <v>88</v>
      </c>
      <c r="D9" s="153"/>
      <c r="E9" s="153"/>
      <c r="F9" s="153"/>
      <c r="G9" s="153"/>
      <c r="H9" s="153"/>
      <c r="I9" s="153"/>
      <c r="J9" s="72">
        <v>-1</v>
      </c>
      <c r="K9" s="72"/>
      <c r="M9" s="154" t="s">
        <v>12</v>
      </c>
      <c r="N9" s="154"/>
      <c r="O9" s="154"/>
      <c r="P9" s="77">
        <v>14</v>
      </c>
    </row>
    <row r="10" spans="1:16" ht="32.4" customHeight="1" x14ac:dyDescent="0.3">
      <c r="A10" s="76">
        <v>13</v>
      </c>
      <c r="B10" s="73" t="s">
        <v>6</v>
      </c>
      <c r="C10" s="153" t="s">
        <v>89</v>
      </c>
      <c r="D10" s="153"/>
      <c r="E10" s="153"/>
      <c r="F10" s="153"/>
      <c r="G10" s="153"/>
      <c r="H10" s="153"/>
      <c r="I10" s="153"/>
      <c r="J10" s="72">
        <v>1</v>
      </c>
      <c r="K10" s="72"/>
      <c r="M10" s="154" t="s">
        <v>13</v>
      </c>
      <c r="N10" s="154"/>
      <c r="O10" s="154"/>
      <c r="P10" s="77">
        <v>11</v>
      </c>
    </row>
    <row r="11" spans="1:16" ht="32.4" customHeight="1" x14ac:dyDescent="0.3">
      <c r="A11" s="76">
        <v>9</v>
      </c>
      <c r="B11" s="73" t="s">
        <v>7</v>
      </c>
      <c r="C11" s="153" t="s">
        <v>90</v>
      </c>
      <c r="D11" s="153"/>
      <c r="E11" s="153"/>
      <c r="F11" s="153"/>
      <c r="G11" s="153"/>
      <c r="H11" s="153"/>
      <c r="I11" s="153"/>
      <c r="J11" s="72">
        <v>0</v>
      </c>
      <c r="K11" s="72"/>
      <c r="M11" s="28"/>
      <c r="P11" s="196" t="s">
        <v>223</v>
      </c>
    </row>
    <row r="12" spans="1:16" ht="8.4" customHeight="1" x14ac:dyDescent="0.3">
      <c r="A12" s="79"/>
      <c r="P12" s="196"/>
    </row>
    <row r="13" spans="1:16" s="3" customFormat="1" ht="15.6" customHeight="1" x14ac:dyDescent="0.3">
      <c r="A13" s="80" t="s">
        <v>16</v>
      </c>
      <c r="B13" s="40"/>
      <c r="C13" s="37"/>
      <c r="E13" s="40" t="s">
        <v>17</v>
      </c>
      <c r="F13" s="40"/>
      <c r="G13" s="40"/>
      <c r="H13" s="37"/>
      <c r="I13" s="6" t="s">
        <v>66</v>
      </c>
      <c r="J13" s="6" t="s">
        <v>67</v>
      </c>
      <c r="K13" s="6" t="s">
        <v>68</v>
      </c>
      <c r="N13" s="50" t="s">
        <v>56</v>
      </c>
      <c r="O13" s="51"/>
      <c r="P13" s="131"/>
    </row>
    <row r="14" spans="1:16" s="3" customFormat="1" ht="15.6" customHeight="1" x14ac:dyDescent="0.3">
      <c r="A14" s="155" t="s">
        <v>172</v>
      </c>
      <c r="B14" s="156"/>
      <c r="E14" s="37" t="s">
        <v>21</v>
      </c>
      <c r="F14" s="37"/>
      <c r="H14" s="7" t="s">
        <v>71</v>
      </c>
      <c r="I14" s="82">
        <v>20</v>
      </c>
      <c r="J14" s="1">
        <f>K14*1.5</f>
        <v>6</v>
      </c>
      <c r="K14" s="1">
        <f>I14/5</f>
        <v>4</v>
      </c>
      <c r="N14" s="35" t="s">
        <v>57</v>
      </c>
      <c r="O14" s="35"/>
      <c r="P14" s="132"/>
    </row>
    <row r="15" spans="1:16" s="3" customFormat="1" ht="15.6" customHeight="1" x14ac:dyDescent="0.3">
      <c r="A15" s="157"/>
      <c r="B15" s="158"/>
      <c r="E15" s="83" t="s">
        <v>37</v>
      </c>
      <c r="F15" s="83"/>
      <c r="G15" s="84"/>
      <c r="H15" s="85" t="s">
        <v>72</v>
      </c>
      <c r="I15" s="86">
        <v>60</v>
      </c>
      <c r="J15" s="86">
        <f>K15*1.5</f>
        <v>18</v>
      </c>
      <c r="K15" s="86">
        <f t="shared" ref="K15:K18" si="0">I15/5</f>
        <v>12</v>
      </c>
      <c r="N15" s="35" t="s">
        <v>58</v>
      </c>
      <c r="O15" s="35"/>
      <c r="P15" s="132"/>
    </row>
    <row r="16" spans="1:16" s="3" customFormat="1" ht="15.6" customHeight="1" x14ac:dyDescent="0.3">
      <c r="A16" s="157"/>
      <c r="B16" s="158"/>
      <c r="E16" s="37" t="s">
        <v>18</v>
      </c>
      <c r="F16" s="37"/>
      <c r="H16" s="7" t="s">
        <v>71</v>
      </c>
      <c r="I16" s="82">
        <v>60</v>
      </c>
      <c r="J16" s="1">
        <f>K16*1.5</f>
        <v>18</v>
      </c>
      <c r="K16" s="1">
        <f t="shared" si="0"/>
        <v>12</v>
      </c>
      <c r="N16" s="35" t="s">
        <v>59</v>
      </c>
      <c r="O16" s="35"/>
      <c r="P16" s="132"/>
    </row>
    <row r="17" spans="1:16" s="3" customFormat="1" ht="15.6" customHeight="1" x14ac:dyDescent="0.3">
      <c r="A17" s="87" t="s">
        <v>207</v>
      </c>
      <c r="B17" s="88"/>
      <c r="E17" s="83" t="s">
        <v>35</v>
      </c>
      <c r="F17" s="83"/>
      <c r="G17" s="84"/>
      <c r="H17" s="85" t="s">
        <v>71</v>
      </c>
      <c r="I17" s="86">
        <v>10</v>
      </c>
      <c r="J17" s="86">
        <f>K17*1.5</f>
        <v>3</v>
      </c>
      <c r="K17" s="86">
        <f t="shared" si="0"/>
        <v>2</v>
      </c>
      <c r="N17" s="35" t="s">
        <v>60</v>
      </c>
      <c r="O17" s="35"/>
      <c r="P17" s="132"/>
    </row>
    <row r="18" spans="1:16" s="3" customFormat="1" ht="15.6" customHeight="1" x14ac:dyDescent="0.3">
      <c r="A18" s="87" t="s">
        <v>96</v>
      </c>
      <c r="B18" s="89"/>
      <c r="E18" s="37" t="s">
        <v>36</v>
      </c>
      <c r="F18" s="37"/>
      <c r="H18" s="7" t="s">
        <v>71</v>
      </c>
      <c r="I18" s="82">
        <v>10</v>
      </c>
      <c r="J18" s="1">
        <f>K18*1.5</f>
        <v>3</v>
      </c>
      <c r="K18" s="1">
        <f t="shared" si="0"/>
        <v>2</v>
      </c>
      <c r="N18" s="35" t="s">
        <v>61</v>
      </c>
      <c r="O18" s="35"/>
      <c r="P18" s="132"/>
    </row>
    <row r="19" spans="1:16" s="3" customFormat="1" ht="15.6" customHeight="1" x14ac:dyDescent="0.3">
      <c r="A19" s="90"/>
      <c r="B19" s="38"/>
      <c r="E19" s="83" t="s">
        <v>22</v>
      </c>
      <c r="F19" s="83"/>
      <c r="G19" s="84"/>
      <c r="H19" s="85" t="s">
        <v>73</v>
      </c>
      <c r="I19" s="91" t="s">
        <v>147</v>
      </c>
      <c r="J19" s="91" t="s">
        <v>69</v>
      </c>
      <c r="K19" s="91"/>
      <c r="N19" s="35" t="s">
        <v>91</v>
      </c>
      <c r="O19" s="35"/>
      <c r="P19" s="132"/>
    </row>
    <row r="20" spans="1:16" s="3" customFormat="1" ht="15.6" customHeight="1" x14ac:dyDescent="0.3">
      <c r="A20" s="138" t="s">
        <v>242</v>
      </c>
      <c r="B20" s="136"/>
      <c r="N20" s="159" t="s">
        <v>62</v>
      </c>
      <c r="O20" s="159"/>
      <c r="P20" s="160"/>
    </row>
    <row r="21" spans="1:16" s="3" customFormat="1" ht="15.6" customHeight="1" x14ac:dyDescent="0.3">
      <c r="A21" s="139" t="s">
        <v>243</v>
      </c>
      <c r="B21" s="39"/>
      <c r="E21" s="93" t="s">
        <v>232</v>
      </c>
      <c r="N21" s="35"/>
      <c r="O21" s="35"/>
      <c r="P21" s="133"/>
    </row>
    <row r="22" spans="1:16" ht="15.6" customHeight="1" x14ac:dyDescent="0.3">
      <c r="A22" s="140" t="s">
        <v>244</v>
      </c>
      <c r="B22" s="54"/>
      <c r="E22" s="93" t="s">
        <v>234</v>
      </c>
      <c r="N22" s="97"/>
      <c r="O22" s="97" t="s">
        <v>46</v>
      </c>
      <c r="P22" s="98">
        <v>8</v>
      </c>
    </row>
    <row r="23" spans="1:16" ht="15.6" customHeight="1" x14ac:dyDescent="0.3">
      <c r="A23" s="139" t="s">
        <v>245</v>
      </c>
      <c r="B23" s="39"/>
      <c r="E23" s="93" t="s">
        <v>231</v>
      </c>
      <c r="M23" s="37"/>
      <c r="N23" s="99"/>
      <c r="O23" s="39"/>
      <c r="P23" s="100"/>
    </row>
    <row r="24" spans="1:16" ht="15.6" customHeight="1" x14ac:dyDescent="0.3">
      <c r="A24" s="140" t="s">
        <v>246</v>
      </c>
      <c r="B24" s="54"/>
      <c r="E24" s="93" t="s">
        <v>233</v>
      </c>
      <c r="M24" s="37"/>
      <c r="N24" s="52"/>
      <c r="O24" s="52" t="s">
        <v>236</v>
      </c>
      <c r="P24" s="101" t="s">
        <v>237</v>
      </c>
    </row>
    <row r="25" spans="1:16" ht="15.6" customHeight="1" x14ac:dyDescent="0.3">
      <c r="A25" s="139" t="s">
        <v>247</v>
      </c>
      <c r="B25" s="39"/>
      <c r="E25" s="93" t="s">
        <v>235</v>
      </c>
      <c r="N25" s="103" t="s">
        <v>42</v>
      </c>
      <c r="O25" s="39"/>
      <c r="P25" s="104"/>
    </row>
    <row r="26" spans="1:16" ht="15.6" customHeight="1" x14ac:dyDescent="0.3">
      <c r="A26" s="140" t="s">
        <v>79</v>
      </c>
      <c r="B26" s="54"/>
      <c r="E26" s="134" t="s">
        <v>239</v>
      </c>
      <c r="N26" s="103" t="s">
        <v>39</v>
      </c>
      <c r="O26" s="39"/>
      <c r="P26" s="104">
        <v>500</v>
      </c>
    </row>
    <row r="27" spans="1:16" ht="15.6" customHeight="1" x14ac:dyDescent="0.3">
      <c r="A27" s="141" t="s">
        <v>248</v>
      </c>
      <c r="B27" s="33"/>
      <c r="E27" s="134" t="s">
        <v>238</v>
      </c>
      <c r="N27" s="103" t="s">
        <v>43</v>
      </c>
      <c r="O27" s="39"/>
      <c r="P27" s="104"/>
    </row>
    <row r="28" spans="1:16" ht="15.6" customHeight="1" x14ac:dyDescent="0.3">
      <c r="A28" s="79"/>
      <c r="E28" s="135" t="s">
        <v>240</v>
      </c>
      <c r="N28" s="103" t="s">
        <v>40</v>
      </c>
      <c r="O28" s="39"/>
      <c r="P28" s="104"/>
    </row>
    <row r="29" spans="1:16" ht="15.6" customHeight="1" x14ac:dyDescent="0.3">
      <c r="A29" s="105"/>
      <c r="B29" s="33"/>
      <c r="E29" s="135" t="s">
        <v>241</v>
      </c>
      <c r="N29" s="107"/>
      <c r="O29" s="97" t="s">
        <v>46</v>
      </c>
      <c r="P29" s="98">
        <v>5</v>
      </c>
    </row>
    <row r="30" spans="1:16" x14ac:dyDescent="0.3">
      <c r="A30" s="79"/>
      <c r="E30" s="135" t="s">
        <v>224</v>
      </c>
      <c r="P30" s="78"/>
    </row>
    <row r="31" spans="1:16" ht="15.6" customHeight="1" x14ac:dyDescent="0.3">
      <c r="A31" s="80" t="s">
        <v>41</v>
      </c>
      <c r="B31" s="40"/>
      <c r="C31" s="45" t="s">
        <v>97</v>
      </c>
      <c r="D31" s="42"/>
      <c r="E31" s="45" t="s">
        <v>98</v>
      </c>
      <c r="F31" s="42"/>
      <c r="G31" s="45" t="s">
        <v>99</v>
      </c>
      <c r="H31" s="42"/>
      <c r="I31" s="45" t="s">
        <v>100</v>
      </c>
      <c r="J31" s="42"/>
      <c r="K31" s="42"/>
      <c r="N31" s="40" t="s">
        <v>29</v>
      </c>
      <c r="O31" s="42"/>
      <c r="P31" s="75"/>
    </row>
    <row r="32" spans="1:16" x14ac:dyDescent="0.3">
      <c r="A32" s="121" t="s">
        <v>30</v>
      </c>
      <c r="B32" s="2" t="s">
        <v>76</v>
      </c>
      <c r="N32" s="2" t="s">
        <v>54</v>
      </c>
      <c r="P32" s="78"/>
    </row>
    <row r="33" spans="1:27" x14ac:dyDescent="0.3">
      <c r="A33" s="121" t="s">
        <v>31</v>
      </c>
      <c r="B33" s="2" t="s">
        <v>78</v>
      </c>
      <c r="N33" s="2" t="s">
        <v>32</v>
      </c>
      <c r="P33" s="78"/>
    </row>
    <row r="34" spans="1:27" x14ac:dyDescent="0.3">
      <c r="A34" s="121" t="s">
        <v>38</v>
      </c>
      <c r="B34" s="2" t="s">
        <v>77</v>
      </c>
      <c r="N34" s="2" t="s">
        <v>55</v>
      </c>
      <c r="P34" s="78"/>
    </row>
    <row r="35" spans="1:27" x14ac:dyDescent="0.3">
      <c r="A35" s="121" t="s">
        <v>64</v>
      </c>
      <c r="B35" s="2" t="s">
        <v>65</v>
      </c>
      <c r="N35" s="2" t="s">
        <v>74</v>
      </c>
      <c r="P35" s="78"/>
    </row>
    <row r="36" spans="1:27" x14ac:dyDescent="0.3">
      <c r="A36" s="79"/>
      <c r="L36" s="111" t="s">
        <v>206</v>
      </c>
      <c r="P36" s="78"/>
    </row>
    <row r="37" spans="1:27" ht="15.6" x14ac:dyDescent="0.3">
      <c r="A37" s="112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49" t="s">
        <v>26</v>
      </c>
      <c r="N37" s="149"/>
      <c r="O37" s="40" t="s">
        <v>27</v>
      </c>
      <c r="P37" s="75"/>
    </row>
    <row r="38" spans="1:27" ht="18" x14ac:dyDescent="0.3">
      <c r="A38" s="110" t="s">
        <v>52</v>
      </c>
      <c r="B38" s="1" t="s">
        <v>23</v>
      </c>
      <c r="C38" s="113">
        <v>8</v>
      </c>
      <c r="D38" s="114">
        <f>C38+1</f>
        <v>9</v>
      </c>
      <c r="E38" s="113">
        <f t="shared" ref="E38:L38" si="2">D38+1</f>
        <v>10</v>
      </c>
      <c r="F38" s="114">
        <f t="shared" si="2"/>
        <v>11</v>
      </c>
      <c r="G38" s="113">
        <f t="shared" si="2"/>
        <v>12</v>
      </c>
      <c r="H38" s="114">
        <f t="shared" si="2"/>
        <v>13</v>
      </c>
      <c r="I38" s="113">
        <f t="shared" si="2"/>
        <v>14</v>
      </c>
      <c r="J38" s="114">
        <f t="shared" si="2"/>
        <v>15</v>
      </c>
      <c r="K38" s="113">
        <f t="shared" si="2"/>
        <v>16</v>
      </c>
      <c r="L38" s="114">
        <f t="shared" si="2"/>
        <v>17</v>
      </c>
      <c r="M38" s="150" t="s">
        <v>28</v>
      </c>
      <c r="N38" s="150"/>
      <c r="P38" s="78"/>
    </row>
    <row r="39" spans="1:27" ht="18" x14ac:dyDescent="0.3">
      <c r="A39" s="110" t="s">
        <v>53</v>
      </c>
      <c r="B39" s="1" t="s">
        <v>80</v>
      </c>
      <c r="C39" s="113">
        <v>8</v>
      </c>
      <c r="D39" s="114">
        <f t="shared" ref="D39:L39" si="3">C39+1</f>
        <v>9</v>
      </c>
      <c r="E39" s="113">
        <f t="shared" si="3"/>
        <v>10</v>
      </c>
      <c r="F39" s="114">
        <f t="shared" si="3"/>
        <v>11</v>
      </c>
      <c r="G39" s="113">
        <f t="shared" si="3"/>
        <v>12</v>
      </c>
      <c r="H39" s="114">
        <f t="shared" si="3"/>
        <v>13</v>
      </c>
      <c r="I39" s="113">
        <f t="shared" si="3"/>
        <v>14</v>
      </c>
      <c r="J39" s="114">
        <f t="shared" si="3"/>
        <v>15</v>
      </c>
      <c r="K39" s="113">
        <f t="shared" si="3"/>
        <v>16</v>
      </c>
      <c r="L39" s="114">
        <f t="shared" si="3"/>
        <v>17</v>
      </c>
      <c r="M39" s="151" t="s">
        <v>84</v>
      </c>
      <c r="N39" s="151"/>
      <c r="O39" s="3" t="s">
        <v>83</v>
      </c>
      <c r="P39" s="78"/>
      <c r="AA39"/>
    </row>
    <row r="40" spans="1:27" ht="18.600000000000001" thickBot="1" x14ac:dyDescent="0.35">
      <c r="A40" s="115" t="s">
        <v>79</v>
      </c>
      <c r="B40" s="116" t="s">
        <v>81</v>
      </c>
      <c r="C40" s="117">
        <v>9</v>
      </c>
      <c r="D40" s="118">
        <f t="shared" ref="D40:L40" si="4">C40+1</f>
        <v>10</v>
      </c>
      <c r="E40" s="117">
        <f t="shared" si="4"/>
        <v>11</v>
      </c>
      <c r="F40" s="118">
        <f t="shared" si="4"/>
        <v>12</v>
      </c>
      <c r="G40" s="117">
        <f t="shared" si="4"/>
        <v>13</v>
      </c>
      <c r="H40" s="118">
        <f t="shared" si="4"/>
        <v>14</v>
      </c>
      <c r="I40" s="117">
        <f t="shared" si="4"/>
        <v>15</v>
      </c>
      <c r="J40" s="118">
        <f t="shared" si="4"/>
        <v>16</v>
      </c>
      <c r="K40" s="117">
        <f t="shared" si="4"/>
        <v>17</v>
      </c>
      <c r="L40" s="118">
        <f t="shared" si="4"/>
        <v>18</v>
      </c>
      <c r="M40" s="152" t="s">
        <v>82</v>
      </c>
      <c r="N40" s="152"/>
      <c r="O40" s="120" t="s">
        <v>222</v>
      </c>
      <c r="P40" s="120"/>
    </row>
  </sheetData>
  <mergeCells count="17">
    <mergeCell ref="M6:O6"/>
    <mergeCell ref="M7:O7"/>
    <mergeCell ref="M8:O8"/>
    <mergeCell ref="M9:O9"/>
    <mergeCell ref="M10:O10"/>
    <mergeCell ref="A14:B16"/>
    <mergeCell ref="C6:I6"/>
    <mergeCell ref="C7:I7"/>
    <mergeCell ref="C8:I8"/>
    <mergeCell ref="C9:I9"/>
    <mergeCell ref="C10:I10"/>
    <mergeCell ref="M39:N39"/>
    <mergeCell ref="C11:I11"/>
    <mergeCell ref="N20:P20"/>
    <mergeCell ref="M40:N40"/>
    <mergeCell ref="M37:N37"/>
    <mergeCell ref="M38:N38"/>
  </mergeCells>
  <phoneticPr fontId="13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topLeftCell="A18" zoomScale="136" zoomScaleNormal="136" workbookViewId="0">
      <selection activeCell="H54" sqref="H54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228</v>
      </c>
      <c r="B1" s="1"/>
      <c r="C1" s="31"/>
      <c r="E1" s="2" t="s">
        <v>227</v>
      </c>
      <c r="G1" s="31"/>
      <c r="I1" s="2" t="s">
        <v>230</v>
      </c>
      <c r="K1" s="31"/>
      <c r="M1" s="2" t="s">
        <v>229</v>
      </c>
      <c r="O1" s="32"/>
      <c r="P1" s="33"/>
      <c r="Q1" s="34"/>
    </row>
    <row r="2" spans="1:21" ht="17.399999999999999" customHeight="1" x14ac:dyDescent="0.3">
      <c r="A2" s="12" t="s">
        <v>45</v>
      </c>
      <c r="B2" s="9"/>
      <c r="C2" s="9"/>
      <c r="D2" s="9"/>
      <c r="E2" s="9"/>
      <c r="F2" s="9"/>
      <c r="G2" s="9"/>
      <c r="H2" s="10" t="s">
        <v>44</v>
      </c>
      <c r="I2" s="10" t="s">
        <v>46</v>
      </c>
      <c r="J2" s="161" t="s">
        <v>208</v>
      </c>
      <c r="K2" s="161"/>
      <c r="L2" s="161"/>
      <c r="M2" s="161"/>
      <c r="N2" s="161"/>
      <c r="O2" s="161"/>
      <c r="P2" s="161"/>
      <c r="Q2" s="161"/>
      <c r="R2" s="11"/>
      <c r="S2" s="11"/>
      <c r="T2" s="11"/>
      <c r="U2" s="11"/>
    </row>
    <row r="3" spans="1:21" ht="17.399999999999999" customHeight="1" x14ac:dyDescent="0.3">
      <c r="A3" s="6">
        <v>1</v>
      </c>
      <c r="B3" s="2"/>
      <c r="C3" s="2"/>
      <c r="D3" s="2"/>
      <c r="E3" s="1"/>
      <c r="F3" s="2"/>
      <c r="G3" s="2"/>
      <c r="H3" s="23"/>
      <c r="I3" s="24"/>
      <c r="J3" s="18"/>
      <c r="K3" s="2"/>
      <c r="L3" s="2"/>
      <c r="M3" s="2"/>
      <c r="N3" s="2"/>
      <c r="O3" s="2"/>
      <c r="P3" s="2"/>
      <c r="Q3" s="2"/>
    </row>
    <row r="4" spans="1:21" ht="17.399999999999999" customHeight="1" x14ac:dyDescent="0.3">
      <c r="A4" s="17">
        <f>A3+1</f>
        <v>2</v>
      </c>
      <c r="B4" s="19"/>
      <c r="C4" s="19"/>
      <c r="D4" s="19"/>
      <c r="E4" s="19"/>
      <c r="F4" s="19"/>
      <c r="G4" s="19"/>
      <c r="H4" s="25"/>
      <c r="I4" s="25"/>
      <c r="J4" s="20"/>
      <c r="K4" s="19"/>
      <c r="L4" s="19"/>
      <c r="M4" s="19"/>
      <c r="N4" s="19"/>
      <c r="O4" s="19"/>
      <c r="P4" s="19"/>
      <c r="Q4" s="19"/>
    </row>
    <row r="5" spans="1:21" ht="17.399999999999999" customHeight="1" x14ac:dyDescent="0.3">
      <c r="A5" s="6">
        <f>A4+1</f>
        <v>3</v>
      </c>
      <c r="B5" s="2"/>
      <c r="C5" s="2"/>
      <c r="D5" s="2"/>
      <c r="E5" s="1"/>
      <c r="F5" s="2"/>
      <c r="G5" s="2"/>
      <c r="H5" s="24"/>
      <c r="I5" s="24"/>
      <c r="J5" s="18"/>
      <c r="K5" s="2"/>
      <c r="L5" s="2"/>
      <c r="M5" s="2"/>
      <c r="N5" s="2"/>
      <c r="O5" s="2"/>
      <c r="P5" s="2"/>
      <c r="Q5" s="2"/>
    </row>
    <row r="6" spans="1:21" ht="17.399999999999999" customHeight="1" x14ac:dyDescent="0.3">
      <c r="A6" s="17">
        <f t="shared" ref="A6:A22" si="0">A5+1</f>
        <v>4</v>
      </c>
      <c r="B6" s="19"/>
      <c r="C6" s="19"/>
      <c r="D6" s="19"/>
      <c r="E6" s="19"/>
      <c r="F6" s="19"/>
      <c r="G6" s="19"/>
      <c r="H6" s="25"/>
      <c r="I6" s="25"/>
      <c r="J6" s="20"/>
      <c r="K6" s="19"/>
      <c r="L6" s="19"/>
      <c r="M6" s="19"/>
      <c r="N6" s="19"/>
      <c r="O6" s="19"/>
      <c r="P6" s="19"/>
      <c r="Q6" s="19"/>
    </row>
    <row r="7" spans="1:21" ht="17.399999999999999" customHeight="1" x14ac:dyDescent="0.3">
      <c r="A7" s="6">
        <f t="shared" si="0"/>
        <v>5</v>
      </c>
      <c r="B7" s="2"/>
      <c r="C7" s="2"/>
      <c r="D7" s="2"/>
      <c r="E7" s="1"/>
      <c r="F7" s="2"/>
      <c r="G7" s="2"/>
      <c r="H7" s="24"/>
      <c r="I7" s="24"/>
      <c r="J7" s="18"/>
      <c r="K7" s="2"/>
      <c r="L7" s="2"/>
      <c r="M7" s="2"/>
      <c r="N7" s="2"/>
      <c r="O7" s="2"/>
      <c r="P7" s="2"/>
      <c r="Q7" s="2"/>
    </row>
    <row r="8" spans="1:21" ht="17.399999999999999" customHeight="1" x14ac:dyDescent="0.3">
      <c r="A8" s="17">
        <f t="shared" si="0"/>
        <v>6</v>
      </c>
      <c r="B8" s="19"/>
      <c r="C8" s="19"/>
      <c r="D8" s="19"/>
      <c r="E8" s="19"/>
      <c r="F8" s="19"/>
      <c r="G8" s="19"/>
      <c r="H8" s="25"/>
      <c r="I8" s="25"/>
      <c r="J8" s="20"/>
      <c r="K8" s="19"/>
      <c r="L8" s="19"/>
      <c r="M8" s="19"/>
      <c r="N8" s="19"/>
      <c r="O8" s="19"/>
      <c r="P8" s="19"/>
      <c r="Q8" s="19"/>
    </row>
    <row r="9" spans="1:21" ht="17.399999999999999" customHeight="1" x14ac:dyDescent="0.3">
      <c r="A9" s="6">
        <f t="shared" si="0"/>
        <v>7</v>
      </c>
      <c r="B9" s="2"/>
      <c r="C9" s="2"/>
      <c r="D9" s="2"/>
      <c r="E9" s="1"/>
      <c r="F9" s="2"/>
      <c r="G9" s="2"/>
      <c r="H9" s="24"/>
      <c r="I9" s="24"/>
      <c r="J9" s="18"/>
      <c r="K9" s="2"/>
      <c r="L9" s="2"/>
      <c r="M9" s="2"/>
      <c r="N9" s="2"/>
      <c r="O9" s="2"/>
      <c r="P9" s="2"/>
      <c r="Q9" s="2"/>
    </row>
    <row r="10" spans="1:21" ht="17.399999999999999" customHeight="1" x14ac:dyDescent="0.3">
      <c r="A10" s="17">
        <f t="shared" si="0"/>
        <v>8</v>
      </c>
      <c r="B10" s="19"/>
      <c r="C10" s="19"/>
      <c r="D10" s="19"/>
      <c r="E10" s="19"/>
      <c r="F10" s="19"/>
      <c r="G10" s="19"/>
      <c r="H10" s="25"/>
      <c r="I10" s="25"/>
      <c r="J10" s="20"/>
      <c r="K10" s="19"/>
      <c r="L10" s="19"/>
      <c r="M10" s="19"/>
      <c r="N10" s="19"/>
      <c r="O10" s="19"/>
      <c r="P10" s="19"/>
      <c r="Q10" s="19"/>
    </row>
    <row r="11" spans="1:21" ht="17.399999999999999" customHeight="1" x14ac:dyDescent="0.3">
      <c r="A11" s="6">
        <f t="shared" si="0"/>
        <v>9</v>
      </c>
      <c r="B11" s="2"/>
      <c r="C11" s="2"/>
      <c r="D11" s="2"/>
      <c r="E11" s="1"/>
      <c r="F11" s="2"/>
      <c r="G11" s="2"/>
      <c r="H11" s="24"/>
      <c r="I11" s="24"/>
      <c r="J11" s="18"/>
      <c r="K11" s="2"/>
      <c r="L11" s="2"/>
      <c r="M11" s="2"/>
      <c r="N11" s="2"/>
      <c r="O11" s="2"/>
      <c r="P11" s="2"/>
      <c r="Q11" s="2"/>
    </row>
    <row r="12" spans="1:21" ht="17.399999999999999" customHeight="1" x14ac:dyDescent="0.3">
      <c r="A12" s="17">
        <f t="shared" si="0"/>
        <v>10</v>
      </c>
      <c r="B12" s="19"/>
      <c r="C12" s="19"/>
      <c r="D12" s="19"/>
      <c r="E12" s="19"/>
      <c r="F12" s="19"/>
      <c r="G12" s="19"/>
      <c r="H12" s="25"/>
      <c r="I12" s="25"/>
      <c r="J12" s="20"/>
      <c r="K12" s="19"/>
      <c r="L12" s="19"/>
      <c r="M12" s="19"/>
      <c r="N12" s="19"/>
      <c r="O12" s="19"/>
      <c r="P12" s="19"/>
      <c r="Q12" s="19"/>
    </row>
    <row r="13" spans="1:21" ht="17.399999999999999" customHeight="1" x14ac:dyDescent="0.3">
      <c r="A13" s="6">
        <f t="shared" si="0"/>
        <v>11</v>
      </c>
      <c r="B13" s="2"/>
      <c r="C13" s="2"/>
      <c r="D13" s="2"/>
      <c r="E13" s="1"/>
      <c r="F13" s="2"/>
      <c r="G13" s="2"/>
      <c r="H13" s="24"/>
      <c r="I13" s="24"/>
      <c r="J13" s="18"/>
      <c r="K13" s="2"/>
      <c r="L13" s="2"/>
      <c r="M13" s="2"/>
      <c r="N13" s="2"/>
      <c r="O13" s="2"/>
      <c r="P13" s="2"/>
      <c r="Q13" s="2"/>
    </row>
    <row r="14" spans="1:21" ht="17.399999999999999" customHeight="1" x14ac:dyDescent="0.3">
      <c r="A14" s="17">
        <f t="shared" si="0"/>
        <v>12</v>
      </c>
      <c r="B14" s="19"/>
      <c r="C14" s="19"/>
      <c r="D14" s="19"/>
      <c r="E14" s="19"/>
      <c r="F14" s="19"/>
      <c r="G14" s="19"/>
      <c r="H14" s="25"/>
      <c r="I14" s="25"/>
      <c r="J14" s="20"/>
      <c r="K14" s="19"/>
      <c r="L14" s="19"/>
      <c r="M14" s="19"/>
      <c r="N14" s="19"/>
      <c r="O14" s="19"/>
      <c r="P14" s="19"/>
      <c r="Q14" s="19"/>
    </row>
    <row r="15" spans="1:21" ht="17.399999999999999" customHeight="1" x14ac:dyDescent="0.3">
      <c r="A15" s="6">
        <f t="shared" si="0"/>
        <v>13</v>
      </c>
      <c r="B15" s="2"/>
      <c r="C15" s="2"/>
      <c r="D15" s="2"/>
      <c r="E15" s="1"/>
      <c r="F15" s="2"/>
      <c r="G15" s="2"/>
      <c r="H15" s="24"/>
      <c r="I15" s="24"/>
      <c r="J15" s="18"/>
      <c r="K15" s="2"/>
      <c r="L15" s="2"/>
      <c r="M15" s="2"/>
      <c r="N15" s="2"/>
      <c r="O15" s="2"/>
      <c r="P15" s="2"/>
      <c r="Q15" s="2"/>
    </row>
    <row r="16" spans="1:21" ht="17.399999999999999" customHeight="1" x14ac:dyDescent="0.3">
      <c r="A16" s="17">
        <f t="shared" si="0"/>
        <v>14</v>
      </c>
      <c r="B16" s="19"/>
      <c r="C16" s="19"/>
      <c r="D16" s="19"/>
      <c r="E16" s="19"/>
      <c r="F16" s="19"/>
      <c r="G16" s="19"/>
      <c r="H16" s="25"/>
      <c r="I16" s="25"/>
      <c r="J16" s="20"/>
      <c r="K16" s="19"/>
      <c r="L16" s="19"/>
      <c r="M16" s="19"/>
      <c r="N16" s="19"/>
      <c r="O16" s="19"/>
      <c r="P16" s="19"/>
      <c r="Q16" s="19"/>
    </row>
    <row r="17" spans="1:21" ht="17.399999999999999" customHeight="1" x14ac:dyDescent="0.3">
      <c r="A17" s="6">
        <f t="shared" si="0"/>
        <v>15</v>
      </c>
      <c r="B17" s="2"/>
      <c r="C17" s="2"/>
      <c r="D17" s="2"/>
      <c r="E17" s="1"/>
      <c r="F17" s="2"/>
      <c r="G17" s="2"/>
      <c r="H17" s="24"/>
      <c r="I17" s="24"/>
      <c r="J17" s="18"/>
      <c r="K17" s="2"/>
      <c r="L17" s="2"/>
      <c r="M17" s="2"/>
      <c r="N17" s="2"/>
      <c r="O17" s="2"/>
      <c r="P17" s="2"/>
      <c r="Q17" s="2"/>
    </row>
    <row r="18" spans="1:21" ht="17.399999999999999" customHeight="1" x14ac:dyDescent="0.3">
      <c r="A18" s="17">
        <f t="shared" si="0"/>
        <v>16</v>
      </c>
      <c r="B18" s="19"/>
      <c r="C18" s="19"/>
      <c r="D18" s="19"/>
      <c r="E18" s="19"/>
      <c r="F18" s="19"/>
      <c r="G18" s="19"/>
      <c r="H18" s="25"/>
      <c r="I18" s="25"/>
      <c r="J18" s="20"/>
      <c r="K18" s="19"/>
      <c r="L18" s="19"/>
      <c r="M18" s="19"/>
      <c r="N18" s="19"/>
      <c r="O18" s="19"/>
      <c r="P18" s="19"/>
      <c r="Q18" s="19"/>
    </row>
    <row r="19" spans="1:21" ht="17.399999999999999" customHeight="1" x14ac:dyDescent="0.3">
      <c r="A19" s="6">
        <f t="shared" si="0"/>
        <v>17</v>
      </c>
      <c r="B19" s="2"/>
      <c r="C19" s="2"/>
      <c r="D19" s="2"/>
      <c r="E19" s="1"/>
      <c r="F19" s="2"/>
      <c r="G19" s="2"/>
      <c r="H19" s="24"/>
      <c r="I19" s="24"/>
      <c r="J19" s="18"/>
      <c r="K19" s="2"/>
      <c r="L19" s="2"/>
      <c r="M19" s="2"/>
      <c r="N19" s="2"/>
      <c r="O19" s="2"/>
      <c r="P19" s="2"/>
      <c r="Q19" s="2"/>
    </row>
    <row r="20" spans="1:21" ht="17.399999999999999" customHeight="1" x14ac:dyDescent="0.3">
      <c r="A20" s="142">
        <f t="shared" si="0"/>
        <v>18</v>
      </c>
      <c r="B20" s="137"/>
      <c r="C20" s="19"/>
      <c r="D20" s="19"/>
      <c r="E20" s="19"/>
      <c r="F20" s="19"/>
      <c r="G20" s="19"/>
      <c r="H20" s="25"/>
      <c r="I20" s="25"/>
      <c r="J20" s="20"/>
      <c r="K20" s="19"/>
      <c r="L20" s="19"/>
      <c r="M20" s="19"/>
      <c r="N20" s="19"/>
      <c r="O20" s="19"/>
      <c r="P20" s="19"/>
      <c r="Q20" s="19"/>
    </row>
    <row r="21" spans="1:21" ht="17.399999999999999" customHeight="1" x14ac:dyDescent="0.3">
      <c r="A21" s="143">
        <f t="shared" si="0"/>
        <v>19</v>
      </c>
      <c r="B21" s="2"/>
      <c r="C21" s="2"/>
      <c r="D21" s="2"/>
      <c r="E21" s="1"/>
      <c r="F21" s="2"/>
      <c r="G21" s="2"/>
      <c r="H21" s="24"/>
      <c r="I21" s="24"/>
      <c r="J21" s="18"/>
      <c r="K21" s="2"/>
      <c r="L21" s="2"/>
      <c r="M21" s="2"/>
      <c r="N21" s="2"/>
      <c r="O21" s="2"/>
      <c r="P21" s="2"/>
      <c r="Q21" s="2"/>
    </row>
    <row r="22" spans="1:21" ht="17.399999999999999" customHeight="1" x14ac:dyDescent="0.3">
      <c r="A22" s="144">
        <f t="shared" si="0"/>
        <v>20</v>
      </c>
      <c r="B22" s="21"/>
      <c r="C22" s="21"/>
      <c r="D22" s="21"/>
      <c r="E22" s="21"/>
      <c r="F22" s="21"/>
      <c r="G22" s="21"/>
      <c r="H22" s="26"/>
      <c r="I22" s="26"/>
      <c r="J22" s="22"/>
      <c r="K22" s="21"/>
      <c r="L22" s="21"/>
      <c r="M22" s="21"/>
      <c r="N22" s="21"/>
      <c r="O22" s="21"/>
      <c r="P22" s="21"/>
      <c r="Q22" s="21"/>
    </row>
    <row r="23" spans="1:21" ht="14.4" customHeight="1" x14ac:dyDescent="0.3">
      <c r="A23" s="145"/>
      <c r="B23"/>
      <c r="Q23" s="30" t="s">
        <v>225</v>
      </c>
    </row>
    <row r="24" spans="1:21" ht="17.399999999999999" customHeight="1" x14ac:dyDescent="0.3">
      <c r="A24" s="162" t="s">
        <v>206</v>
      </c>
      <c r="B24" s="163"/>
      <c r="C24" s="27" t="s">
        <v>8</v>
      </c>
      <c r="D24" s="27" t="s">
        <v>8</v>
      </c>
      <c r="E24" s="27" t="s">
        <v>8</v>
      </c>
      <c r="F24" s="27" t="s">
        <v>8</v>
      </c>
      <c r="G24" s="27" t="s">
        <v>8</v>
      </c>
      <c r="H24" s="27" t="s">
        <v>8</v>
      </c>
      <c r="I24" s="27" t="s">
        <v>8</v>
      </c>
      <c r="J24" s="27" t="s">
        <v>8</v>
      </c>
      <c r="K24" s="27" t="s">
        <v>8</v>
      </c>
      <c r="L24" s="27" t="s">
        <v>8</v>
      </c>
      <c r="M24" s="27" t="s">
        <v>8</v>
      </c>
      <c r="N24" s="27" t="s">
        <v>8</v>
      </c>
      <c r="O24" s="27" t="s">
        <v>8</v>
      </c>
      <c r="P24" s="27" t="s">
        <v>8</v>
      </c>
      <c r="Q24" s="27" t="s">
        <v>8</v>
      </c>
    </row>
    <row r="25" spans="1:21" ht="17.399999999999999" customHeight="1" x14ac:dyDescent="0.3">
      <c r="A25" s="146"/>
      <c r="C25" s="15">
        <v>-3</v>
      </c>
      <c r="D25" s="15">
        <f t="shared" ref="D25:Q25" si="1">C25+1</f>
        <v>-2</v>
      </c>
      <c r="E25" s="15">
        <f t="shared" si="1"/>
        <v>-1</v>
      </c>
      <c r="F25" s="15">
        <f t="shared" si="1"/>
        <v>0</v>
      </c>
      <c r="G25" s="15">
        <f t="shared" si="1"/>
        <v>1</v>
      </c>
      <c r="H25" s="15">
        <f t="shared" si="1"/>
        <v>2</v>
      </c>
      <c r="I25" s="15">
        <f t="shared" si="1"/>
        <v>3</v>
      </c>
      <c r="J25" s="15">
        <f t="shared" si="1"/>
        <v>4</v>
      </c>
      <c r="K25" s="15">
        <f t="shared" si="1"/>
        <v>5</v>
      </c>
      <c r="L25" s="15">
        <f t="shared" si="1"/>
        <v>6</v>
      </c>
      <c r="M25" s="15">
        <f t="shared" si="1"/>
        <v>7</v>
      </c>
      <c r="N25" s="15">
        <f t="shared" si="1"/>
        <v>8</v>
      </c>
      <c r="O25" s="15">
        <f t="shared" si="1"/>
        <v>9</v>
      </c>
      <c r="P25" s="15">
        <f t="shared" si="1"/>
        <v>10</v>
      </c>
      <c r="Q25" s="15">
        <f t="shared" si="1"/>
        <v>11</v>
      </c>
      <c r="R25" s="1"/>
      <c r="S25" s="1"/>
      <c r="T25" s="1"/>
      <c r="U25" s="1"/>
    </row>
    <row r="26" spans="1:21" ht="14.4" customHeight="1" x14ac:dyDescent="0.3">
      <c r="A26" s="164">
        <v>19</v>
      </c>
      <c r="B26" s="165"/>
      <c r="C26" s="14">
        <f>$A26-C$25</f>
        <v>22</v>
      </c>
      <c r="D26" s="14">
        <f t="shared" ref="D26:Q26" si="2">$A26-D$25</f>
        <v>21</v>
      </c>
      <c r="E26" s="14">
        <f t="shared" si="2"/>
        <v>20</v>
      </c>
      <c r="F26" s="14">
        <f t="shared" si="2"/>
        <v>19</v>
      </c>
      <c r="G26" s="14">
        <f t="shared" si="2"/>
        <v>18</v>
      </c>
      <c r="H26" s="14">
        <f t="shared" si="2"/>
        <v>17</v>
      </c>
      <c r="I26" s="14">
        <f t="shared" si="2"/>
        <v>16</v>
      </c>
      <c r="J26" s="14">
        <f t="shared" si="2"/>
        <v>15</v>
      </c>
      <c r="K26" s="14">
        <f t="shared" si="2"/>
        <v>14</v>
      </c>
      <c r="L26" s="14">
        <f t="shared" si="2"/>
        <v>13</v>
      </c>
      <c r="M26" s="14">
        <f t="shared" si="2"/>
        <v>12</v>
      </c>
      <c r="N26" s="14">
        <f t="shared" si="2"/>
        <v>11</v>
      </c>
      <c r="O26" s="14">
        <f t="shared" si="2"/>
        <v>10</v>
      </c>
      <c r="P26" s="14">
        <f t="shared" si="2"/>
        <v>9</v>
      </c>
      <c r="Q26" s="14">
        <f t="shared" si="2"/>
        <v>8</v>
      </c>
    </row>
    <row r="27" spans="1:21" ht="14.4" customHeight="1" x14ac:dyDescent="0.3">
      <c r="A27" s="166">
        <v>18</v>
      </c>
      <c r="B27" s="167"/>
      <c r="C27" s="13">
        <f t="shared" ref="C27:Q34" si="3">$A27-C$25</f>
        <v>21</v>
      </c>
      <c r="D27" s="13">
        <f t="shared" si="3"/>
        <v>20</v>
      </c>
      <c r="E27" s="13">
        <f t="shared" si="3"/>
        <v>19</v>
      </c>
      <c r="F27" s="13">
        <f t="shared" si="3"/>
        <v>18</v>
      </c>
      <c r="G27" s="13">
        <f t="shared" si="3"/>
        <v>17</v>
      </c>
      <c r="H27" s="13">
        <f t="shared" si="3"/>
        <v>16</v>
      </c>
      <c r="I27" s="13">
        <f t="shared" si="3"/>
        <v>15</v>
      </c>
      <c r="J27" s="13">
        <f t="shared" si="3"/>
        <v>14</v>
      </c>
      <c r="K27" s="13">
        <f t="shared" si="3"/>
        <v>13</v>
      </c>
      <c r="L27" s="13">
        <f t="shared" si="3"/>
        <v>12</v>
      </c>
      <c r="M27" s="13">
        <f t="shared" si="3"/>
        <v>11</v>
      </c>
      <c r="N27" s="13">
        <f t="shared" si="3"/>
        <v>10</v>
      </c>
      <c r="O27" s="13">
        <f t="shared" si="3"/>
        <v>9</v>
      </c>
      <c r="P27" s="13">
        <f t="shared" si="3"/>
        <v>8</v>
      </c>
      <c r="Q27" s="13">
        <f t="shared" si="3"/>
        <v>7</v>
      </c>
    </row>
    <row r="28" spans="1:21" ht="14.4" customHeight="1" x14ac:dyDescent="0.3">
      <c r="A28" s="170">
        <v>17</v>
      </c>
      <c r="B28" s="165"/>
      <c r="C28" s="14">
        <f t="shared" si="3"/>
        <v>20</v>
      </c>
      <c r="D28" s="14">
        <f t="shared" si="3"/>
        <v>19</v>
      </c>
      <c r="E28" s="14">
        <f t="shared" si="3"/>
        <v>18</v>
      </c>
      <c r="F28" s="14">
        <f t="shared" si="3"/>
        <v>17</v>
      </c>
      <c r="G28" s="14">
        <f t="shared" si="3"/>
        <v>16</v>
      </c>
      <c r="H28" s="14">
        <f t="shared" si="3"/>
        <v>15</v>
      </c>
      <c r="I28" s="14">
        <f t="shared" si="3"/>
        <v>14</v>
      </c>
      <c r="J28" s="14">
        <f t="shared" si="3"/>
        <v>13</v>
      </c>
      <c r="K28" s="14">
        <f t="shared" si="3"/>
        <v>12</v>
      </c>
      <c r="L28" s="14">
        <f t="shared" si="3"/>
        <v>11</v>
      </c>
      <c r="M28" s="14">
        <f t="shared" si="3"/>
        <v>10</v>
      </c>
      <c r="N28" s="14">
        <f t="shared" si="3"/>
        <v>9</v>
      </c>
      <c r="O28" s="14">
        <f t="shared" si="3"/>
        <v>8</v>
      </c>
      <c r="P28" s="14">
        <f t="shared" si="3"/>
        <v>7</v>
      </c>
      <c r="Q28" s="14">
        <f t="shared" si="3"/>
        <v>6</v>
      </c>
    </row>
    <row r="29" spans="1:21" ht="14.4" customHeight="1" x14ac:dyDescent="0.3">
      <c r="A29" s="171">
        <v>16</v>
      </c>
      <c r="B29" s="167"/>
      <c r="C29" s="13">
        <f t="shared" si="3"/>
        <v>19</v>
      </c>
      <c r="D29" s="13">
        <f t="shared" si="3"/>
        <v>18</v>
      </c>
      <c r="E29" s="13">
        <f t="shared" si="3"/>
        <v>17</v>
      </c>
      <c r="F29" s="13">
        <f t="shared" si="3"/>
        <v>16</v>
      </c>
      <c r="G29" s="13">
        <f t="shared" si="3"/>
        <v>15</v>
      </c>
      <c r="H29" s="13">
        <f t="shared" si="3"/>
        <v>14</v>
      </c>
      <c r="I29" s="13">
        <f t="shared" si="3"/>
        <v>13</v>
      </c>
      <c r="J29" s="13">
        <f t="shared" si="3"/>
        <v>12</v>
      </c>
      <c r="K29" s="13">
        <f t="shared" si="3"/>
        <v>11</v>
      </c>
      <c r="L29" s="13">
        <f t="shared" si="3"/>
        <v>10</v>
      </c>
      <c r="M29" s="13">
        <f t="shared" si="3"/>
        <v>9</v>
      </c>
      <c r="N29" s="13">
        <f t="shared" si="3"/>
        <v>8</v>
      </c>
      <c r="O29" s="13">
        <f t="shared" si="3"/>
        <v>7</v>
      </c>
      <c r="P29" s="13">
        <f t="shared" si="3"/>
        <v>6</v>
      </c>
      <c r="Q29" s="13">
        <f t="shared" si="3"/>
        <v>5</v>
      </c>
    </row>
    <row r="30" spans="1:21" ht="14.4" customHeight="1" x14ac:dyDescent="0.3">
      <c r="A30" s="170">
        <v>15</v>
      </c>
      <c r="B30" s="165"/>
      <c r="C30" s="14">
        <f t="shared" si="3"/>
        <v>18</v>
      </c>
      <c r="D30" s="14">
        <f t="shared" si="3"/>
        <v>17</v>
      </c>
      <c r="E30" s="14">
        <f t="shared" si="3"/>
        <v>16</v>
      </c>
      <c r="F30" s="14">
        <f t="shared" si="3"/>
        <v>15</v>
      </c>
      <c r="G30" s="14">
        <f t="shared" si="3"/>
        <v>14</v>
      </c>
      <c r="H30" s="14">
        <f t="shared" si="3"/>
        <v>13</v>
      </c>
      <c r="I30" s="14">
        <f t="shared" si="3"/>
        <v>12</v>
      </c>
      <c r="J30" s="14">
        <f t="shared" si="3"/>
        <v>11</v>
      </c>
      <c r="K30" s="14">
        <f t="shared" si="3"/>
        <v>10</v>
      </c>
      <c r="L30" s="14">
        <f t="shared" si="3"/>
        <v>9</v>
      </c>
      <c r="M30" s="14">
        <f t="shared" si="3"/>
        <v>8</v>
      </c>
      <c r="N30" s="14">
        <f t="shared" si="3"/>
        <v>7</v>
      </c>
      <c r="O30" s="14">
        <f t="shared" si="3"/>
        <v>6</v>
      </c>
      <c r="P30" s="14">
        <f t="shared" si="3"/>
        <v>5</v>
      </c>
      <c r="Q30" s="14">
        <f t="shared" si="3"/>
        <v>4</v>
      </c>
    </row>
    <row r="31" spans="1:21" ht="14.4" customHeight="1" x14ac:dyDescent="0.3">
      <c r="A31" s="171">
        <v>14</v>
      </c>
      <c r="B31" s="167"/>
      <c r="C31" s="13">
        <f t="shared" si="3"/>
        <v>17</v>
      </c>
      <c r="D31" s="13">
        <f t="shared" si="3"/>
        <v>16</v>
      </c>
      <c r="E31" s="13">
        <f t="shared" si="3"/>
        <v>15</v>
      </c>
      <c r="F31" s="13">
        <f t="shared" si="3"/>
        <v>14</v>
      </c>
      <c r="G31" s="13">
        <f t="shared" si="3"/>
        <v>13</v>
      </c>
      <c r="H31" s="13">
        <f t="shared" si="3"/>
        <v>12</v>
      </c>
      <c r="I31" s="13">
        <f t="shared" si="3"/>
        <v>11</v>
      </c>
      <c r="J31" s="13">
        <f t="shared" si="3"/>
        <v>10</v>
      </c>
      <c r="K31" s="13">
        <f t="shared" si="3"/>
        <v>9</v>
      </c>
      <c r="L31" s="13">
        <f t="shared" si="3"/>
        <v>8</v>
      </c>
      <c r="M31" s="13">
        <f t="shared" si="3"/>
        <v>7</v>
      </c>
      <c r="N31" s="13">
        <f t="shared" si="3"/>
        <v>6</v>
      </c>
      <c r="O31" s="13">
        <f t="shared" si="3"/>
        <v>5</v>
      </c>
      <c r="P31" s="13">
        <f t="shared" si="3"/>
        <v>4</v>
      </c>
      <c r="Q31" s="13">
        <f t="shared" si="3"/>
        <v>3</v>
      </c>
    </row>
    <row r="32" spans="1:21" ht="14.4" customHeight="1" x14ac:dyDescent="0.3">
      <c r="A32" s="170">
        <v>13</v>
      </c>
      <c r="B32" s="165"/>
      <c r="C32" s="14">
        <f t="shared" si="3"/>
        <v>16</v>
      </c>
      <c r="D32" s="14">
        <f t="shared" si="3"/>
        <v>15</v>
      </c>
      <c r="E32" s="14">
        <f t="shared" si="3"/>
        <v>14</v>
      </c>
      <c r="F32" s="14">
        <f t="shared" si="3"/>
        <v>13</v>
      </c>
      <c r="G32" s="14">
        <f t="shared" si="3"/>
        <v>12</v>
      </c>
      <c r="H32" s="14">
        <f t="shared" si="3"/>
        <v>11</v>
      </c>
      <c r="I32" s="14">
        <f t="shared" si="3"/>
        <v>10</v>
      </c>
      <c r="J32" s="14">
        <f t="shared" si="3"/>
        <v>9</v>
      </c>
      <c r="K32" s="14">
        <f t="shared" si="3"/>
        <v>8</v>
      </c>
      <c r="L32" s="14">
        <f t="shared" si="3"/>
        <v>7</v>
      </c>
      <c r="M32" s="14">
        <f t="shared" si="3"/>
        <v>6</v>
      </c>
      <c r="N32" s="14">
        <f t="shared" si="3"/>
        <v>5</v>
      </c>
      <c r="O32" s="14">
        <f t="shared" si="3"/>
        <v>4</v>
      </c>
      <c r="P32" s="14">
        <f t="shared" si="3"/>
        <v>3</v>
      </c>
      <c r="Q32" s="14">
        <f t="shared" si="3"/>
        <v>2</v>
      </c>
    </row>
    <row r="33" spans="1:17" ht="14.4" customHeight="1" x14ac:dyDescent="0.3">
      <c r="A33" s="171">
        <v>12</v>
      </c>
      <c r="B33" s="167"/>
      <c r="C33" s="13">
        <f t="shared" si="3"/>
        <v>15</v>
      </c>
      <c r="D33" s="13">
        <f t="shared" si="3"/>
        <v>14</v>
      </c>
      <c r="E33" s="13">
        <f t="shared" si="3"/>
        <v>13</v>
      </c>
      <c r="F33" s="13">
        <f t="shared" si="3"/>
        <v>12</v>
      </c>
      <c r="G33" s="13">
        <f t="shared" si="3"/>
        <v>11</v>
      </c>
      <c r="H33" s="13">
        <f t="shared" si="3"/>
        <v>10</v>
      </c>
      <c r="I33" s="13">
        <f t="shared" si="3"/>
        <v>9</v>
      </c>
      <c r="J33" s="13">
        <f t="shared" si="3"/>
        <v>8</v>
      </c>
      <c r="K33" s="13">
        <f t="shared" si="3"/>
        <v>7</v>
      </c>
      <c r="L33" s="13">
        <f t="shared" si="3"/>
        <v>6</v>
      </c>
      <c r="M33" s="13">
        <f t="shared" si="3"/>
        <v>5</v>
      </c>
      <c r="N33" s="13">
        <f t="shared" si="3"/>
        <v>4</v>
      </c>
      <c r="O33" s="13">
        <f t="shared" si="3"/>
        <v>3</v>
      </c>
      <c r="P33" s="13">
        <f t="shared" si="3"/>
        <v>2</v>
      </c>
      <c r="Q33" s="13">
        <f t="shared" si="3"/>
        <v>1</v>
      </c>
    </row>
    <row r="34" spans="1:17" ht="14.4" customHeight="1" x14ac:dyDescent="0.3">
      <c r="A34" s="168">
        <v>11</v>
      </c>
      <c r="B34" s="169"/>
      <c r="C34" s="16">
        <f t="shared" si="3"/>
        <v>14</v>
      </c>
      <c r="D34" s="16">
        <f t="shared" si="3"/>
        <v>13</v>
      </c>
      <c r="E34" s="16">
        <f t="shared" si="3"/>
        <v>12</v>
      </c>
      <c r="F34" s="16">
        <f t="shared" si="3"/>
        <v>11</v>
      </c>
      <c r="G34" s="16">
        <f t="shared" si="3"/>
        <v>10</v>
      </c>
      <c r="H34" s="16">
        <f t="shared" si="3"/>
        <v>9</v>
      </c>
      <c r="I34" s="16">
        <f t="shared" si="3"/>
        <v>8</v>
      </c>
      <c r="J34" s="16">
        <f t="shared" si="3"/>
        <v>7</v>
      </c>
      <c r="K34" s="16">
        <f t="shared" si="3"/>
        <v>6</v>
      </c>
      <c r="L34" s="16">
        <f t="shared" si="3"/>
        <v>5</v>
      </c>
      <c r="M34" s="16">
        <f t="shared" si="3"/>
        <v>4</v>
      </c>
      <c r="N34" s="16">
        <f t="shared" si="3"/>
        <v>3</v>
      </c>
      <c r="O34" s="16">
        <f t="shared" si="3"/>
        <v>2</v>
      </c>
      <c r="P34" s="16">
        <f t="shared" si="3"/>
        <v>1</v>
      </c>
      <c r="Q34" s="16">
        <f t="shared" si="3"/>
        <v>0</v>
      </c>
    </row>
    <row r="35" spans="1:17" ht="14.4" customHeight="1" x14ac:dyDescent="0.3"/>
    <row r="36" spans="1:17" ht="12.6" customHeight="1" x14ac:dyDescent="0.3">
      <c r="A36" s="176" t="s">
        <v>46</v>
      </c>
      <c r="B36" s="177" t="s">
        <v>48</v>
      </c>
      <c r="C36" s="176"/>
      <c r="D36" s="176"/>
      <c r="E36" s="176"/>
      <c r="F36" s="176"/>
      <c r="G36" s="176"/>
      <c r="H36" s="176"/>
      <c r="I36" s="176"/>
      <c r="J36" s="176"/>
      <c r="K36" s="178" t="s">
        <v>216</v>
      </c>
      <c r="L36" s="179"/>
      <c r="M36" s="180" t="s">
        <v>8</v>
      </c>
      <c r="N36" s="180" t="s">
        <v>46</v>
      </c>
      <c r="O36" s="180" t="s">
        <v>217</v>
      </c>
      <c r="P36" s="180" t="s">
        <v>218</v>
      </c>
      <c r="Q36" s="180" t="s">
        <v>219</v>
      </c>
    </row>
    <row r="37" spans="1:17" ht="12.6" customHeight="1" x14ac:dyDescent="0.3">
      <c r="A37" s="173">
        <v>0</v>
      </c>
      <c r="B37" s="174" t="s">
        <v>249</v>
      </c>
      <c r="C37" s="175"/>
      <c r="D37" s="175"/>
      <c r="E37" s="175"/>
      <c r="F37" s="175"/>
      <c r="G37" s="175"/>
      <c r="H37" s="175"/>
      <c r="I37" s="175"/>
      <c r="J37" s="175"/>
      <c r="K37" s="172" t="s">
        <v>209</v>
      </c>
      <c r="L37" s="181"/>
      <c r="M37" s="182">
        <v>9</v>
      </c>
      <c r="N37" s="182">
        <v>0</v>
      </c>
      <c r="O37" s="182" t="s">
        <v>220</v>
      </c>
      <c r="P37" s="182" t="s">
        <v>221</v>
      </c>
      <c r="Q37" s="182" t="s">
        <v>222</v>
      </c>
    </row>
    <row r="38" spans="1:17" ht="12.6" customHeight="1" x14ac:dyDescent="0.3">
      <c r="A38" s="173" t="s">
        <v>251</v>
      </c>
      <c r="B38" s="186" t="s">
        <v>250</v>
      </c>
      <c r="C38" s="187"/>
      <c r="D38" s="187"/>
      <c r="E38" s="187"/>
      <c r="F38" s="187"/>
      <c r="G38" s="187"/>
      <c r="H38" s="187"/>
      <c r="I38" s="187"/>
      <c r="J38" s="187"/>
      <c r="K38" s="183" t="s">
        <v>261</v>
      </c>
      <c r="L38" s="184"/>
      <c r="M38" s="185">
        <v>8</v>
      </c>
      <c r="N38" s="185">
        <v>1</v>
      </c>
      <c r="O38" s="185" t="s">
        <v>220</v>
      </c>
      <c r="P38" s="185" t="s">
        <v>221</v>
      </c>
      <c r="Q38" s="185" t="s">
        <v>222</v>
      </c>
    </row>
    <row r="39" spans="1:17" ht="12.6" customHeight="1" x14ac:dyDescent="0.3">
      <c r="A39" s="173" t="s">
        <v>252</v>
      </c>
      <c r="B39" s="188" t="s">
        <v>253</v>
      </c>
      <c r="C39" s="175"/>
      <c r="D39" s="175"/>
      <c r="E39" s="175"/>
      <c r="F39" s="175"/>
      <c r="G39" s="175"/>
      <c r="H39" s="175"/>
      <c r="I39" s="175"/>
      <c r="J39" s="175"/>
      <c r="K39" s="172" t="s">
        <v>210</v>
      </c>
      <c r="L39" s="181"/>
      <c r="M39" s="182">
        <v>7</v>
      </c>
      <c r="N39" s="182">
        <v>2</v>
      </c>
      <c r="O39" s="182" t="s">
        <v>220</v>
      </c>
      <c r="P39" s="182" t="s">
        <v>221</v>
      </c>
      <c r="Q39" s="182" t="s">
        <v>222</v>
      </c>
    </row>
    <row r="40" spans="1:17" ht="12.6" customHeight="1" x14ac:dyDescent="0.3">
      <c r="A40" s="173">
        <v>1</v>
      </c>
      <c r="B40" s="186" t="s">
        <v>254</v>
      </c>
      <c r="C40" s="186"/>
      <c r="D40" s="186"/>
      <c r="E40" s="186"/>
      <c r="F40" s="186"/>
      <c r="G40" s="186"/>
      <c r="H40" s="186"/>
      <c r="I40" s="186"/>
      <c r="J40" s="186"/>
      <c r="K40" s="183" t="s">
        <v>211</v>
      </c>
      <c r="L40" s="184"/>
      <c r="M40" s="185">
        <v>6</v>
      </c>
      <c r="N40" s="185">
        <v>2</v>
      </c>
      <c r="O40" s="185" t="s">
        <v>220</v>
      </c>
      <c r="P40" s="185" t="s">
        <v>221</v>
      </c>
      <c r="Q40" s="185" t="s">
        <v>222</v>
      </c>
    </row>
    <row r="41" spans="1:17" ht="12.6" customHeight="1" x14ac:dyDescent="0.3">
      <c r="A41" s="173">
        <v>2</v>
      </c>
      <c r="B41" s="188" t="s">
        <v>256</v>
      </c>
      <c r="C41" s="175"/>
      <c r="D41" s="175"/>
      <c r="E41" s="175"/>
      <c r="F41" s="175"/>
      <c r="G41" s="175"/>
      <c r="H41" s="175"/>
      <c r="I41" s="175"/>
      <c r="J41" s="175"/>
      <c r="K41" s="172" t="s">
        <v>212</v>
      </c>
      <c r="L41" s="181"/>
      <c r="M41" s="182">
        <v>5</v>
      </c>
      <c r="N41" s="182">
        <v>2</v>
      </c>
      <c r="O41" s="182" t="s">
        <v>222</v>
      </c>
      <c r="P41" s="182" t="s">
        <v>221</v>
      </c>
      <c r="Q41" s="182" t="s">
        <v>221</v>
      </c>
    </row>
    <row r="42" spans="1:17" ht="12.6" customHeight="1" x14ac:dyDescent="0.3">
      <c r="A42" s="173">
        <v>3</v>
      </c>
      <c r="B42" s="186" t="s">
        <v>255</v>
      </c>
      <c r="C42" s="186"/>
      <c r="D42" s="186"/>
      <c r="E42" s="186"/>
      <c r="F42" s="186"/>
      <c r="G42" s="186"/>
      <c r="H42" s="186"/>
      <c r="I42" s="186"/>
      <c r="J42" s="186"/>
      <c r="K42" s="183" t="s">
        <v>214</v>
      </c>
      <c r="L42" s="184"/>
      <c r="M42" s="185">
        <v>4</v>
      </c>
      <c r="N42" s="185">
        <v>3</v>
      </c>
      <c r="O42" s="185" t="s">
        <v>221</v>
      </c>
      <c r="P42" s="185" t="s">
        <v>221</v>
      </c>
      <c r="Q42" s="185" t="s">
        <v>47</v>
      </c>
    </row>
    <row r="43" spans="1:17" ht="12.6" customHeight="1" x14ac:dyDescent="0.3">
      <c r="A43" s="173"/>
      <c r="B43" s="189"/>
      <c r="C43" s="190"/>
      <c r="D43" s="190"/>
      <c r="E43" s="190"/>
      <c r="F43" s="175"/>
      <c r="G43" s="190"/>
      <c r="H43" s="190"/>
      <c r="I43" s="190"/>
      <c r="J43" s="191"/>
      <c r="K43" s="172" t="s">
        <v>215</v>
      </c>
      <c r="L43" s="181"/>
      <c r="M43" s="182">
        <v>3</v>
      </c>
      <c r="N43" s="182">
        <v>3</v>
      </c>
      <c r="O43" s="182" t="s">
        <v>221</v>
      </c>
      <c r="P43" s="182" t="s">
        <v>221</v>
      </c>
      <c r="Q43" s="182" t="s">
        <v>47</v>
      </c>
    </row>
    <row r="44" spans="1:17" ht="12.6" customHeight="1" x14ac:dyDescent="0.3">
      <c r="A44" s="175" t="s">
        <v>258</v>
      </c>
      <c r="B44" s="189"/>
      <c r="C44" s="190"/>
      <c r="D44" s="190"/>
      <c r="E44" s="190"/>
      <c r="F44" s="192"/>
      <c r="G44" s="190"/>
      <c r="H44" s="190"/>
      <c r="I44" s="190"/>
      <c r="J44" s="191"/>
      <c r="K44" s="183" t="s">
        <v>262</v>
      </c>
      <c r="L44" s="184"/>
      <c r="M44" s="185">
        <v>2</v>
      </c>
      <c r="N44" s="185">
        <v>3</v>
      </c>
      <c r="O44" s="185" t="s">
        <v>221</v>
      </c>
      <c r="P44" s="185" t="s">
        <v>221</v>
      </c>
      <c r="Q44" s="185" t="s">
        <v>47</v>
      </c>
    </row>
    <row r="45" spans="1:17" ht="12.6" customHeight="1" x14ac:dyDescent="0.3">
      <c r="A45" s="175" t="s">
        <v>257</v>
      </c>
      <c r="B45" s="189"/>
      <c r="C45" s="190"/>
      <c r="D45" s="190"/>
      <c r="E45" s="190"/>
      <c r="F45" s="190"/>
      <c r="G45" s="190"/>
      <c r="H45" s="190"/>
      <c r="I45" s="190"/>
      <c r="J45" s="191"/>
      <c r="K45" s="172" t="s">
        <v>213</v>
      </c>
      <c r="L45" s="181"/>
      <c r="M45" s="182">
        <v>-1</v>
      </c>
      <c r="N45" s="182">
        <v>2</v>
      </c>
      <c r="O45" s="182"/>
      <c r="P45" s="182"/>
      <c r="Q45" s="182"/>
    </row>
    <row r="46" spans="1:17" ht="12.6" customHeight="1" x14ac:dyDescent="0.3">
      <c r="A46" s="175" t="s">
        <v>259</v>
      </c>
      <c r="B46" s="189"/>
      <c r="C46" s="190"/>
      <c r="D46" s="190"/>
      <c r="E46" s="190"/>
      <c r="F46" s="190"/>
      <c r="G46" s="190"/>
      <c r="H46" s="190"/>
      <c r="I46" s="190"/>
      <c r="J46" s="191"/>
      <c r="K46" s="183" t="s">
        <v>263</v>
      </c>
      <c r="L46" s="184"/>
      <c r="M46" s="185">
        <v>-2</v>
      </c>
      <c r="N46" s="185">
        <v>3</v>
      </c>
      <c r="O46" s="185" t="s">
        <v>264</v>
      </c>
      <c r="P46" s="185"/>
      <c r="Q46" s="185"/>
    </row>
    <row r="47" spans="1:17" ht="12.6" customHeight="1" x14ac:dyDescent="0.3">
      <c r="A47" s="175" t="s">
        <v>260</v>
      </c>
      <c r="B47" s="190"/>
      <c r="C47" s="190"/>
      <c r="D47" s="190"/>
      <c r="E47" s="190"/>
      <c r="F47" s="190"/>
      <c r="G47" s="190"/>
      <c r="H47" s="190"/>
      <c r="I47" s="190"/>
      <c r="J47" s="191"/>
      <c r="K47" s="175"/>
      <c r="L47" s="175"/>
      <c r="M47" s="175"/>
      <c r="N47" s="175"/>
      <c r="O47" s="175"/>
      <c r="P47" s="175"/>
      <c r="Q47" s="193"/>
    </row>
    <row r="48" spans="1:17" ht="12.6" customHeight="1" x14ac:dyDescent="0.3">
      <c r="A48" s="194"/>
      <c r="B48" s="195"/>
      <c r="C48" s="175"/>
      <c r="D48" s="175"/>
      <c r="E48" s="175"/>
      <c r="F48" s="175"/>
      <c r="G48" s="175"/>
      <c r="H48" s="175"/>
      <c r="I48" s="175"/>
      <c r="J48" s="175"/>
      <c r="K48" s="175"/>
      <c r="L48" s="175"/>
      <c r="M48" s="175"/>
      <c r="N48" s="175"/>
      <c r="O48" s="175"/>
      <c r="P48" s="175"/>
      <c r="Q48" s="193" t="s">
        <v>207</v>
      </c>
    </row>
    <row r="49" spans="1:1" ht="12.6" customHeight="1" x14ac:dyDescent="0.3"/>
    <row r="50" spans="1:1" ht="12.6" customHeight="1" x14ac:dyDescent="0.3"/>
    <row r="51" spans="1:1" ht="17.399999999999999" customHeight="1" x14ac:dyDescent="0.3">
      <c r="A51" s="28"/>
    </row>
    <row r="52" spans="1:1" ht="17.399999999999999" customHeight="1" x14ac:dyDescent="0.3">
      <c r="A52" s="28"/>
    </row>
    <row r="53" spans="1:1" ht="17.399999999999999" customHeight="1" x14ac:dyDescent="0.3">
      <c r="A53" s="28"/>
    </row>
    <row r="54" spans="1:1" ht="17.399999999999999" customHeight="1" x14ac:dyDescent="0.3">
      <c r="A54" s="29"/>
    </row>
    <row r="55" spans="1:1" ht="17.399999999999999" customHeight="1" x14ac:dyDescent="0.3">
      <c r="A55" s="8"/>
    </row>
    <row r="56" spans="1:1" ht="17.399999999999999" customHeight="1" x14ac:dyDescent="0.3"/>
    <row r="57" spans="1:1" ht="17.399999999999999" customHeight="1" x14ac:dyDescent="0.3"/>
    <row r="58" spans="1:1" ht="17.399999999999999" customHeight="1" x14ac:dyDescent="0.3"/>
    <row r="59" spans="1:1" ht="17.399999999999999" customHeight="1" x14ac:dyDescent="0.3"/>
    <row r="60" spans="1:1" ht="17.399999999999999" customHeight="1" x14ac:dyDescent="0.3"/>
    <row r="61" spans="1:1" ht="17.399999999999999" customHeight="1" x14ac:dyDescent="0.3"/>
    <row r="62" spans="1:1" ht="17.399999999999999" customHeight="1" x14ac:dyDescent="0.3"/>
    <row r="63" spans="1:1" ht="17.399999999999999" customHeight="1" x14ac:dyDescent="0.3"/>
    <row r="64" spans="1:1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2025-12-18T18:20:10Z</cp:lastPrinted>
  <dcterms:created xsi:type="dcterms:W3CDTF">2025-12-03T19:05:58Z</dcterms:created>
  <dcterms:modified xsi:type="dcterms:W3CDTF">2025-12-18T18:46:56Z</dcterms:modified>
</cp:coreProperties>
</file>