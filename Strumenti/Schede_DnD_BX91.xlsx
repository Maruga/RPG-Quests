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3C8C1BF5-4F0B-40B6-A63B-3C179421A62F}" xr6:coauthVersionLast="47" xr6:coauthVersionMax="47" xr10:uidLastSave="{00000000-0000-0000-0000-000000000000}"/>
  <bookViews>
    <workbookView xWindow="17748" yWindow="1260" windowWidth="33252" windowHeight="15240" xr2:uid="{FC328CB3-F1C2-4520-956D-C4D288DB9EEB}"/>
  </bookViews>
  <sheets>
    <sheet name="Halfling" sheetId="8" r:id="rId1"/>
    <sheet name="Retro A" sheetId="19" r:id="rId2"/>
    <sheet name="Elf" sheetId="7" r:id="rId3"/>
    <sheet name="Retro E" sheetId="16" r:id="rId4"/>
    <sheet name="Dwarf" sheetId="6" r:id="rId5"/>
    <sheet name="Retro N" sheetId="17" r:id="rId6"/>
    <sheet name="Thief" sheetId="5" r:id="rId7"/>
    <sheet name="Retro L" sheetId="18" r:id="rId8"/>
    <sheet name="Mage" sheetId="4" r:id="rId9"/>
    <sheet name="Retro M" sheetId="15" r:id="rId10"/>
    <sheet name="Fighter" sheetId="3" r:id="rId11"/>
    <sheet name="Retro F" sheetId="14" r:id="rId12"/>
    <sheet name="Cleric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8" l="1"/>
  <c r="K17" i="8"/>
  <c r="K16" i="8"/>
  <c r="K18" i="7"/>
  <c r="K17" i="7"/>
  <c r="K16" i="7"/>
  <c r="K18" i="6"/>
  <c r="K17" i="6"/>
  <c r="K16" i="6"/>
  <c r="K18" i="4"/>
  <c r="K17" i="4"/>
  <c r="K16" i="4"/>
  <c r="K18" i="3"/>
  <c r="K17" i="3"/>
  <c r="K16" i="3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2" i="8"/>
  <c r="E42" i="8" s="1"/>
  <c r="F42" i="8" s="1"/>
  <c r="G42" i="8" s="1"/>
  <c r="H42" i="8" s="1"/>
  <c r="I42" i="8" s="1"/>
  <c r="J42" i="8" s="1"/>
  <c r="K42" i="8" s="1"/>
  <c r="L42" i="8" s="1"/>
  <c r="D41" i="8"/>
  <c r="E41" i="8" s="1"/>
  <c r="F41" i="8" s="1"/>
  <c r="G41" i="8" s="1"/>
  <c r="H41" i="8" s="1"/>
  <c r="I41" i="8" s="1"/>
  <c r="J41" i="8" s="1"/>
  <c r="K41" i="8" s="1"/>
  <c r="L41" i="8" s="1"/>
  <c r="D40" i="8"/>
  <c r="E40" i="8" s="1"/>
  <c r="F40" i="8" s="1"/>
  <c r="G40" i="8" s="1"/>
  <c r="H40" i="8" s="1"/>
  <c r="I40" i="8" s="1"/>
  <c r="J40" i="8" s="1"/>
  <c r="K40" i="8" s="1"/>
  <c r="L40" i="8" s="1"/>
  <c r="E39" i="8"/>
  <c r="F39" i="8" s="1"/>
  <c r="G39" i="8" s="1"/>
  <c r="H39" i="8" s="1"/>
  <c r="I39" i="8" s="1"/>
  <c r="J39" i="8" s="1"/>
  <c r="K39" i="8" s="1"/>
  <c r="L39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D43" i="7"/>
  <c r="E43" i="7" s="1"/>
  <c r="F43" i="7" s="1"/>
  <c r="G43" i="7" s="1"/>
  <c r="H43" i="7" s="1"/>
  <c r="I43" i="7" s="1"/>
  <c r="J43" i="7" s="1"/>
  <c r="K43" i="7" s="1"/>
  <c r="L43" i="7" s="1"/>
  <c r="D42" i="7"/>
  <c r="E42" i="7" s="1"/>
  <c r="F42" i="7" s="1"/>
  <c r="G42" i="7" s="1"/>
  <c r="H42" i="7" s="1"/>
  <c r="I42" i="7" s="1"/>
  <c r="J42" i="7" s="1"/>
  <c r="K42" i="7" s="1"/>
  <c r="L42" i="7" s="1"/>
  <c r="D41" i="7"/>
  <c r="E41" i="7" s="1"/>
  <c r="F41" i="7" s="1"/>
  <c r="G41" i="7" s="1"/>
  <c r="H41" i="7" s="1"/>
  <c r="I41" i="7" s="1"/>
  <c r="J41" i="7" s="1"/>
  <c r="K41" i="7" s="1"/>
  <c r="L41" i="7" s="1"/>
  <c r="E40" i="7"/>
  <c r="F40" i="7" s="1"/>
  <c r="G40" i="7" s="1"/>
  <c r="H40" i="7" s="1"/>
  <c r="I40" i="7" s="1"/>
  <c r="J40" i="7" s="1"/>
  <c r="K40" i="7" s="1"/>
  <c r="L40" i="7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J18" i="6"/>
  <c r="I18" i="6"/>
  <c r="J17" i="6"/>
  <c r="I17" i="6" s="1"/>
  <c r="J16" i="6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J14" i="4"/>
  <c r="I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K18" i="5" l="1"/>
  <c r="K16" i="5"/>
  <c r="K17" i="5"/>
  <c r="E27" i="19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<sst xmlns="http://schemas.openxmlformats.org/spreadsheetml/2006/main" count="2567" uniqueCount="682">
  <si>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</si>
  <si>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</si>
  <si>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</si>
  <si>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</si>
  <si>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</si>
  <si>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</si>
  <si>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</si>
  <si>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</si>
  <si>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</si>
  <si>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</si>
  <si>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</si>
  <si>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</si>
  <si>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</si>
  <si>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</si>
  <si>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</si>
  <si>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</si>
  <si>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</si>
  <si>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</si>
  <si>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</si>
  <si>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</si>
  <si>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</si>
  <si>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</si>
  <si>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</si>
  <si>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</si>
  <si>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</si>
  <si>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</si>
  <si>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</si>
  <si>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</si>
  <si>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</si>
  <si>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</si>
  <si>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</si>
  <si>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</si>
  <si>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</si>
  <si>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</si>
  <si>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</si>
  <si>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</si>
  <si>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</si>
  <si>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</si>
  <si>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</si>
  <si>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</si>
  <si>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</si>
  <si>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</si>
  <si>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</si>
  <si>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</si>
  <si>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</si>
  <si>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</si>
  <si>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</si>
  <si>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</si>
  <si>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</si>
  <si>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</si>
  <si>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</si>
  <si>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</si>
  <si>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</si>
  <si>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</si>
  <si>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</si>
  <si>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</si>
  <si>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</si>
  <si>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</si>
  <si>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</si>
  <si>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</si>
  <si>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</si>
  <si>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</si>
  <si>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</si>
  <si>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</si>
  <si>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</si>
  <si>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</si>
  <si>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</si>
  <si>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</si>
  <si>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</si>
  <si>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</si>
  <si>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</si>
  <si>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</si>
  <si>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</si>
  <si>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</si>
  <si>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</si>
  <si>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</si>
  <si>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</si>
  <si>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</si>
  <si>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</si>
  <si>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</si>
  <si>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</si>
  <si>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</si>
  <si>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</si>
  <si>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</si>
  <si>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</si>
  <si>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</si>
  <si>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</si>
  <si>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</si>
  <si>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</si>
  <si>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</si>
  <si>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</si>
  <si>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</si>
  <si>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</si>
  <si>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</si>
  <si>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</si>
  <si>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</si>
  <si>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</si>
  <si>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</si>
  <si>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</si>
  <si>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</si>
  <si>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</si>
  <si>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</si>
  <si>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</si>
  <si>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</si>
  <si>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</si>
  <si>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</si>
  <si>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</si>
  <si>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</si>
  <si>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</si>
  <si>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</si>
  <si>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</si>
  <si>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</si>
  <si>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</si>
  <si>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</si>
  <si>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</si>
  <si>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</si>
  <si>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</si>
  <si>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</si>
  <si>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</si>
  <si>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</si>
  <si>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</si>
  <si>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</si>
  <si>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</si>
  <si>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</si>
  <si>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</si>
  <si>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</si>
  <si>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</si>
  <si>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</si>
  <si>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</si>
  <si>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</si>
  <si>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</si>
  <si>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</si>
  <si>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</si>
  <si>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</si>
  <si>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</si>
  <si>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</si>
  <si>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</si>
  <si>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</si>
  <si>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</si>
  <si>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</si>
  <si>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</si>
  <si>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</si>
  <si>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</si>
  <si>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</si>
  <si>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</si>
  <si>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</si>
  <si>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</si>
  <si>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</si>
  <si>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</si>
  <si>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</si>
  <si>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</si>
  <si>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</si>
  <si>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</si>
  <si>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</si>
  <si>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</si>
  <si>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</si>
  <si>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</si>
  <si>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</si>
  <si>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</si>
  <si>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</si>
  <si>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</si>
  <si>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</si>
  <si>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</si>
  <si>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</si>
  <si>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</si>
  <si>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</si>
  <si>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</si>
  <si>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</si>
  <si>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</si>
  <si>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</si>
  <si>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</si>
  <si>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</si>
  <si>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</si>
  <si>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</si>
  <si>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</si>
  <si>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</si>
  <si>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</si>
  <si>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</si>
  <si>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</si>
  <si>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</si>
  <si>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</si>
  <si>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</si>
  <si>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</si>
  <si>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</si>
  <si>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</si>
  <si>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</si>
  <si>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</si>
  <si>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</si>
  <si>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</si>
  <si>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</si>
  <si>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</si>
  <si>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</si>
  <si>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</si>
  <si>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</si>
  <si>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</si>
  <si>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</si>
  <si>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</si>
  <si>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</si>
  <si>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</si>
  <si>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</si>
  <si>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</si>
  <si>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</si>
  <si>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</si>
  <si>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</si>
  <si>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</si>
  <si>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</si>
  <si>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</si>
  <si>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</si>
  <si>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</si>
  <si>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</si>
  <si>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</si>
  <si>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melee lenta</t>
  </si>
  <si>
    <t>Sovraccarico</t>
  </si>
  <si>
    <t>Slot Totali</t>
  </si>
  <si>
    <t>Slot Occupati</t>
  </si>
  <si>
    <t>Slot Bonus</t>
  </si>
  <si>
    <t>Banca</t>
  </si>
  <si>
    <t>Trasportati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</si>
  <si>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</si>
  <si>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</si>
  <si>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</si>
  <si>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</si>
  <si>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</si>
  <si>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</si>
  <si>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</si>
  <si>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</si>
  <si>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</si>
  <si>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</si>
  <si>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</si>
  <si>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</si>
  <si>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</si>
  <si>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</si>
  <si>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</si>
  <si>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</si>
  <si>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</si>
  <si>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</si>
  <si>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</si>
  <si>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</si>
  <si>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</si>
  <si>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</si>
  <si>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</si>
  <si>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</si>
  <si>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</si>
  <si>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</si>
  <si>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</si>
  <si>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</si>
  <si>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</si>
  <si>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</si>
  <si>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</si>
  <si>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</si>
  <si>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</si>
  <si>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</si>
  <si>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</si>
  <si>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</si>
  <si>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</si>
  <si>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</si>
  <si>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</si>
  <si>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</si>
  <si>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</si>
  <si>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</si>
  <si>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</si>
  <si>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</si>
  <si>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</si>
  <si>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</si>
  <si>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</si>
  <si>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</si>
  <si>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</si>
  <si>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</si>
  <si>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</si>
  <si>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</si>
  <si>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</si>
  <si>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</si>
  <si>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</si>
  <si>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</si>
  <si>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</si>
  <si>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</si>
  <si>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</si>
  <si>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</si>
  <si>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</si>
  <si>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</si>
  <si>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</si>
  <si>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</si>
  <si>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</si>
  <si>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</si>
  <si>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</si>
  <si>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</si>
  <si>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</si>
  <si>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</si>
  <si>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</si>
  <si>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</si>
  <si>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</si>
  <si>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</si>
  <si>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</si>
  <si>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</si>
  <si>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</si>
  <si>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</si>
  <si>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</si>
  <si>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</si>
  <si>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</si>
  <si>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</si>
  <si>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</si>
  <si>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</si>
  <si>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</si>
  <si>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</si>
  <si>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</si>
  <si>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</si>
  <si>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</si>
  <si>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</si>
  <si>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</si>
  <si>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</si>
  <si>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</si>
  <si>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</si>
  <si>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</si>
  <si>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</si>
  <si>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</si>
  <si>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</si>
  <si>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</si>
  <si>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</si>
  <si>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</si>
  <si>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</si>
  <si>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</si>
  <si>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</si>
  <si>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</si>
  <si>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</si>
  <si>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</si>
  <si>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</si>
  <si>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</si>
  <si>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</si>
  <si>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</si>
  <si>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</si>
  <si>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</si>
  <si>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</si>
  <si>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</si>
  <si>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</si>
  <si>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</si>
  <si>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</si>
  <si>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</si>
  <si>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</si>
  <si>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</si>
  <si>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</si>
  <si>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</si>
  <si>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</si>
  <si>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</si>
  <si>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</si>
  <si>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</si>
  <si>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</si>
  <si>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</si>
  <si>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</si>
  <si>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</si>
  <si>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</si>
  <si>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</si>
  <si>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</si>
  <si>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</si>
  <si>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</si>
  <si>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</si>
  <si>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</si>
  <si>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</si>
  <si>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</si>
  <si>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</si>
  <si>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</si>
  <si>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</si>
  <si>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</si>
  <si>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</si>
  <si>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</si>
  <si>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</si>
  <si>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</si>
  <si>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</si>
  <si>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</si>
  <si>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</si>
  <si>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</si>
  <si>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</si>
  <si>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</si>
  <si>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</si>
  <si>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</si>
  <si>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</si>
  <si>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</si>
  <si>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</si>
  <si>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</si>
  <si>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</si>
  <si>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</si>
  <si>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</si>
  <si>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</si>
  <si>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</si>
  <si>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</si>
  <si>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</si>
  <si>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</si>
  <si>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</si>
  <si>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</si>
  <si>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</si>
  <si>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</si>
  <si>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</si>
  <si>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</si>
  <si>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</si>
  <si>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</si>
  <si>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</si>
  <si>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</si>
  <si>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</si>
  <si>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</si>
  <si>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</si>
  <si>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</si>
  <si>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</si>
  <si>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</si>
  <si>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</si>
  <si>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</si>
  <si>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</si>
  <si>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</si>
  <si>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</si>
  <si>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</si>
  <si>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</si>
  <si>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</si>
  <si>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</si>
  <si>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</si>
  <si>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</si>
  <si>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</si>
  <si>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</si>
  <si>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</si>
  <si>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</si>
  <si>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</si>
  <si>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</si>
  <si>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</si>
  <si>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</si>
  <si>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</si>
  <si>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</si>
  <si>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</si>
  <si>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</si>
  <si>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</si>
  <si>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</si>
  <si>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CA 7 [12].</t>
  </si>
  <si>
    <t>Armatura di cuoio</t>
  </si>
  <si>
    <t>20 mo</t>
  </si>
  <si>
    <t>CA +1. Una mano occupata.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</si>
  <si>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</si>
  <si>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</si>
  <si>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</si>
  <si>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</si>
  <si>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</si>
  <si>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</si>
  <si>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</si>
  <si>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</si>
  <si>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</si>
  <si>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</si>
  <si>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</si>
  <si>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</si>
  <si>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</si>
  <si>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</si>
  <si>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</si>
  <si>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</si>
  <si>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</si>
  <si>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</si>
  <si>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</si>
  <si>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</si>
  <si>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</si>
  <si>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</si>
  <si>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</si>
  <si>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</si>
  <si>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</si>
  <si>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</si>
  <si>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</si>
  <si>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</si>
  <si>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</si>
  <si>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CA 5 [14].</t>
  </si>
  <si>
    <t>Elmo</t>
  </si>
  <si>
    <t>Protegge da colpi critici alla testa (opzionale).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</si>
  <si>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</si>
  <si>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</si>
  <si>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</si>
  <si>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</si>
  <si>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</si>
  <si>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</si>
  <si>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</si>
  <si>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</si>
  <si>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</si>
  <si>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</si>
  <si>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</si>
  <si>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</si>
  <si>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</si>
  <si>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</si>
  <si>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</si>
  <si>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</si>
  <si>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</si>
  <si>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</si>
  <si>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</si>
  <si>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</si>
  <si>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Armatura a scaglie</t>
  </si>
  <si>
    <t>45 mo</t>
  </si>
  <si>
    <t>CA 4 [15].</t>
  </si>
  <si>
    <t>Armatura a bande</t>
  </si>
  <si>
    <t>90 mo</t>
  </si>
  <si>
    <t>CA 3 [16].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</si>
  <si>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</si>
  <si>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</si>
  <si>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</si>
  <si>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</si>
  <si>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</si>
  <si>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</si>
  <si>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</si>
  <si>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</si>
  <si>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</si>
  <si>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</si>
  <si>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</si>
  <si>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</si>
  <si>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</si>
  <si>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</si>
  <si>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</si>
  <si>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</si>
  <si>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</si>
  <si>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</si>
  <si>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</si>
  <si>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</si>
  <si>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</si>
  <si>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</si>
  <si>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</si>
  <si>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</si>
  <si>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</si>
  <si>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</si>
  <si>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</si>
  <si>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</si>
  <si>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</si>
  <si>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</si>
  <si>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</si>
  <si>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</si>
  <si>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</si>
  <si>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</si>
  <si>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</si>
  <si>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</si>
  <si>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</si>
  <si>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</si>
  <si>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</si>
  <si>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</si>
  <si>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</si>
  <si>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</si>
  <si>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</si>
  <si>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</si>
  <si>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</si>
  <si>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</si>
  <si>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</si>
  <si>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</si>
  <si>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</si>
  <si>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</si>
  <si>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</si>
  <si>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</si>
  <si>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</si>
  <si>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</si>
  <si>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</si>
  <si>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</si>
  <si>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</si>
  <si>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</si>
  <si>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</si>
  <si>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</si>
  <si>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</si>
  <si>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</si>
  <si>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</si>
  <si>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</si>
  <si>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</si>
  <si>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</si>
  <si>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</si>
  <si>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</si>
  <si>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</si>
  <si>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</si>
  <si>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</si>
  <si>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</si>
  <si>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</si>
  <si>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</si>
  <si>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</si>
  <si>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</si>
  <si>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</si>
  <si>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</si>
  <si>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</si>
  <si>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</si>
  <si>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</si>
  <si>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</si>
  <si>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</si>
  <si>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</si>
  <si>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</si>
  <si>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</si>
  <si>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</si>
  <si>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</si>
  <si>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</si>
  <si>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</si>
  <si>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</si>
  <si>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</si>
  <si>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</si>
  <si>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</si>
  <si>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</si>
  <si>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</si>
  <si>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</si>
  <si>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</si>
  <si>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</si>
  <si>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</si>
  <si>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</si>
  <si>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</si>
  <si>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</si>
  <si>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</si>
  <si>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</si>
  <si>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</si>
  <si>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</si>
  <si>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</si>
  <si>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</si>
  <si>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</si>
  <si>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</si>
  <si>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</si>
  <si>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</si>
  <si>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</si>
  <si>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</si>
  <si>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</si>
  <si>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</si>
  <si>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</si>
  <si>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</si>
  <si>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</si>
  <si>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</si>
  <si>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</si>
  <si>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</si>
  <si>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</si>
  <si>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</si>
  <si>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</si>
  <si>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</si>
  <si>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</si>
  <si>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</si>
  <si>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</si>
  <si>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</si>
  <si>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</si>
  <si>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</si>
  <si>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</si>
  <si>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</si>
  <si>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</si>
  <si>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</si>
  <si>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</si>
  <si>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</si>
  <si>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</si>
  <si>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</si>
  <si>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</si>
  <si>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</si>
  <si>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</si>
  <si>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</si>
  <si>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</si>
  <si>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</si>
  <si>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</si>
  <si>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</si>
  <si>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</si>
  <si>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</si>
  <si>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</si>
  <si>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</si>
  <si>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</si>
  <si>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</si>
  <si>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</si>
  <si>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</si>
  <si>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</si>
  <si>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</si>
  <si>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</si>
  <si>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</si>
  <si>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</si>
  <si>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</si>
  <si>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</si>
  <si>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</si>
  <si>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</si>
  <si>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</si>
  <si>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</si>
  <si>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</si>
  <si>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</si>
  <si>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</si>
  <si>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</si>
  <si>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</si>
  <si>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</si>
  <si>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</si>
  <si>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</si>
  <si>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</si>
  <si>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</si>
  <si>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</si>
  <si>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</si>
  <si>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</si>
  <si>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</si>
  <si>
    <t>Carica +2TxC +2CA min.4□ | Ritirata difensiva ½Mv nega attacco nemico | Difesa totale -2CA ½Mv</t>
  </si>
  <si>
    <t>Spinta 1d20+mod.FOR vs +1□ | Disarmo -4TxC | Parare(F) -4CA ½Mv | Colpo potente(F) -5TxC +5PF</t>
  </si>
  <si>
    <t>Afferrrare TxC vs CA, Liberarsi da presa 1d20+mod.FOR vs, Azione Pronta inter. turno nemico</t>
  </si>
  <si>
    <t xml:space="preserve">Scambiare Posizione ½Mv | Attraversare alleati +1□ | Passare oggetto: chi passa usa azione </t>
  </si>
  <si>
    <t>Combattimento in fila: 2* fila armi lunghe | Preparare per carica Dannox2</t>
  </si>
  <si>
    <t>Prone: +2 TxC nemici, ½Mv per alzarsi | Raccolgiere arma: Mov.+Racc. o Racc.+Att.  </t>
  </si>
  <si>
    <t>Copertura: Parziale -2TxC +2CA, Quasi Tot. -4TxC +4CA | Area: Parz. +2 TS, Quasi Tot. +4 TS</t>
  </si>
  <si>
    <t>Tiro oltre 1* PG/Mostri: -2TxC Lancio/-4TxC Tiro, 1/1-2 Colpito Alleato</t>
  </si>
  <si>
    <t>20 pietre</t>
  </si>
  <si>
    <t>Palla di Fuoco 5d6 G48□ R4□</t>
  </si>
  <si>
    <t>TxC Distanza: corta +1, normale 0, lunga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</si>
</sst>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8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8" fillId="4" borderId="15" xfId="0" applyFont="1" applyFill="1" applyBorder="1" applyAlignment="1">
      <alignment vertical="center"/>
    </xf>
    <xf numFmtId="0" fontId="27" fillId="0" borderId="1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vertical="center"/>
    </xf>
    <xf numFmtId="0" fontId="28" fillId="0" borderId="18" xfId="0" applyFont="1" applyBorder="1" applyAlignment="1">
      <alignment horizontal="center" vertical="center"/>
    </xf>
    <xf numFmtId="164" fontId="27" fillId="0" borderId="16" xfId="1" applyNumberFormat="1" applyFont="1" applyBorder="1" applyAlignment="1">
      <alignment horizontal="center"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8" fillId="0" borderId="18" xfId="0" applyFont="1" applyBorder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2" borderId="0" xfId="0" applyFont="1" applyFill="1"/>
    <xf numFmtId="0" fontId="20" fillId="12" borderId="0" xfId="0" applyFont="1" applyFill="1" applyAlignment="1">
      <alignment horizontal="left"/>
    </xf>
    <xf numFmtId="0" fontId="20" fillId="11" borderId="0" xfId="0" applyFont="1" applyFill="1" applyAlignment="1">
      <alignment horizontal="left" vertical="center"/>
    </xf>
    <xf numFmtId="0" fontId="20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left"/>
    </xf>
    <xf numFmtId="0" fontId="0" fillId="10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/>
    </xf>
    <xf numFmtId="0" fontId="28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9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left" vertical="center"/>
    </xf>
    <xf numFmtId="0" fontId="34" fillId="13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right" vertical="center"/>
    </xf>
    <xf numFmtId="0" fontId="0" fillId="10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24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4" fillId="14" borderId="0" xfId="0" applyFont="1" applyFill="1" applyAlignment="1">
      <alignment horizontal="left" vertical="center" wrapText="1"/>
    </xf>
    <xf numFmtId="0" fontId="34" fillId="14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7" borderId="0" xfId="0" applyFont="1" applyFill="1" applyAlignment="1">
      <alignment horizontal="left" vertical="center" wrapText="1"/>
    </xf>
    <xf numFmtId="0" fontId="36" fillId="7" borderId="0" xfId="0" applyFont="1" applyFill="1" applyAlignment="1">
      <alignment horizontal="center" vertical="center" wrapText="1"/>
    </xf>
    <xf numFmtId="0" fontId="36" fillId="7" borderId="0" xfId="0" applyFont="1" applyFill="1" applyAlignment="1">
      <alignment horizontal="left" vertical="center" wrapText="1"/>
    </xf>
    <xf numFmtId="0" fontId="35" fillId="7" borderId="0" xfId="0" applyFont="1" applyFill="1" applyAlignment="1">
      <alignment horizontal="center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4" borderId="15" xfId="0" applyFill="1" applyBorder="1" applyAlignment="1">
      <alignment vertical="center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15" borderId="16" xfId="0" applyFont="1" applyFill="1" applyBorder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39" fillId="13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center" vertical="center" wrapText="1"/>
    </xf>
    <xf numFmtId="0" fontId="35" fillId="3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right" vertical="center" wrapText="1"/>
    </xf>
    <xf numFmtId="0" fontId="0" fillId="0" borderId="0" xfId="0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vertical="center"/>
    </xf>
    <xf numFmtId="164" fontId="27" fillId="0" borderId="0" xfId="1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14" fillId="0" borderId="0" xfId="0" applyFont="1" applyBorder="1" applyAlignment="1">
      <alignment horizontal="center" vertical="center"/>
    </xf>
    <xf numFmtId="0" fontId="28" fillId="4" borderId="0" xfId="0" applyFont="1" applyFill="1" applyBorder="1" applyAlignment="1">
      <alignment vertical="center"/>
    </xf>
    <xf numFmtId="0" fontId="27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vertical="center"/>
    </xf>
    <xf numFmtId="0" fontId="11" fillId="0" borderId="0" xfId="0" applyFont="1" applyBorder="1"/>
    <xf numFmtId="0" fontId="11" fillId="0" borderId="0" xfId="0" applyFont="1" applyBorder="1" applyAlignment="1">
      <alignment vertical="center"/>
    </xf>
    <xf numFmtId="0" fontId="0" fillId="0" borderId="0" xfId="0" applyBorder="1" applyAlignment="1">
      <alignment horizontal="left"/>
    </xf>
    <xf numFmtId="0" fontId="1" fillId="0" borderId="0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1" fillId="0" borderId="0" xfId="0" applyFont="1" applyBorder="1" applyAlignment="1">
      <alignment horizontal="left" vertical="top" wrapText="1"/>
    </xf>
    <xf numFmtId="0" fontId="27" fillId="4" borderId="0" xfId="0" applyFont="1" applyFill="1" applyBorder="1" applyAlignment="1">
      <alignment horizontal="left" vertical="center"/>
    </xf>
    <xf numFmtId="0" fontId="28" fillId="4" borderId="0" xfId="0" applyFont="1" applyFill="1" applyBorder="1" applyAlignment="1">
      <alignment horizontal="left" vertical="center"/>
    </xf>
    <xf numFmtId="0" fontId="28" fillId="0" borderId="0" xfId="0" applyFont="1" applyBorder="1" applyAlignment="1">
      <alignment horizontal="left" vertical="center"/>
    </xf>
    <xf numFmtId="0" fontId="0" fillId="10" borderId="6" xfId="0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42" fillId="0" borderId="25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0" fillId="0" borderId="27" xfId="0" applyBorder="1" applyAlignment="1">
      <alignment vertical="center"/>
    </xf>
    <xf numFmtId="0" fontId="42" fillId="0" borderId="25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56591" y="3555030"/>
          <a:ext cx="2814954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56591" y="3773621"/>
          <a:ext cx="2814954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56591" y="4429396"/>
          <a:ext cx="2814954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56591" y="4647989"/>
          <a:ext cx="2814954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56591" y="3992213"/>
          <a:ext cx="2814954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56591" y="4210805"/>
          <a:ext cx="2814954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56591" y="3336438"/>
          <a:ext cx="2814954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56591" y="3117846"/>
          <a:ext cx="2814954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56591" y="2902885"/>
          <a:ext cx="2814954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235</xdr:row>
      <xdr:rowOff>78317</xdr:rowOff>
    </xdr:from>
    <xdr:to>
      <xdr:col>0</xdr:col>
      <xdr:colOff>571500</xdr:colOff>
      <xdr:row>238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235</xdr:row>
      <xdr:rowOff>78317</xdr:rowOff>
    </xdr:from>
    <xdr:to>
      <xdr:col>0</xdr:col>
      <xdr:colOff>1205230</xdr:colOff>
      <xdr:row>238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235</xdr:row>
      <xdr:rowOff>78317</xdr:rowOff>
    </xdr:from>
    <xdr:to>
      <xdr:col>0</xdr:col>
      <xdr:colOff>1838960</xdr:colOff>
      <xdr:row>238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235</xdr:row>
      <xdr:rowOff>78317</xdr:rowOff>
    </xdr:from>
    <xdr:to>
      <xdr:col>2</xdr:col>
      <xdr:colOff>186690</xdr:colOff>
      <xdr:row>238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235</xdr:row>
      <xdr:rowOff>78317</xdr:rowOff>
    </xdr:from>
    <xdr:to>
      <xdr:col>3</xdr:col>
      <xdr:colOff>204470</xdr:colOff>
      <xdr:row>238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235</xdr:row>
      <xdr:rowOff>78317</xdr:rowOff>
    </xdr:from>
    <xdr:to>
      <xdr:col>4</xdr:col>
      <xdr:colOff>406400</xdr:colOff>
      <xdr:row>238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235</xdr:row>
      <xdr:rowOff>78317</xdr:rowOff>
    </xdr:from>
    <xdr:to>
      <xdr:col>4</xdr:col>
      <xdr:colOff>1040130</xdr:colOff>
      <xdr:row>238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235</xdr:row>
      <xdr:rowOff>78317</xdr:rowOff>
    </xdr:from>
    <xdr:to>
      <xdr:col>4</xdr:col>
      <xdr:colOff>1673860</xdr:colOff>
      <xdr:row>238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235</xdr:row>
      <xdr:rowOff>78317</xdr:rowOff>
    </xdr:from>
    <xdr:to>
      <xdr:col>4</xdr:col>
      <xdr:colOff>2307590</xdr:colOff>
      <xdr:row>238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235</xdr:row>
      <xdr:rowOff>78317</xdr:rowOff>
    </xdr:from>
    <xdr:to>
      <xdr:col>4</xdr:col>
      <xdr:colOff>2941320</xdr:colOff>
      <xdr:row>238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235</xdr:row>
      <xdr:rowOff>78317</xdr:rowOff>
    </xdr:from>
    <xdr:to>
      <xdr:col>4</xdr:col>
      <xdr:colOff>3575050</xdr:colOff>
      <xdr:row>238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2"/>
  <sheetViews>
    <sheetView tabSelected="1" zoomScale="120" zoomScaleNormal="120" workbookViewId="0">
      <selection activeCell="S10" sqref="S10"/>
    </sheetView>
  </sheetViews>
  <sheetFormatPr defaultRowHeight="14.4" x14ac:dyDescent="0.3"/>
  <cols>
    <col min="1" max="1" width="11.109375" style="240" customWidth="1"/>
    <col min="2" max="2" width="11.109375" style="2" customWidth="1"/>
    <col min="3" max="3" width="5.6640625" style="2" customWidth="1"/>
    <col min="4" max="12" width="4.77734375" style="2" customWidth="1"/>
    <col min="13" max="13" width="5.664062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187</v>
      </c>
      <c r="C1" s="30"/>
      <c r="D1" s="259"/>
      <c r="E1" s="29"/>
      <c r="F1" s="262"/>
      <c r="G1" s="263" t="s">
        <v>160</v>
      </c>
      <c r="H1" s="30"/>
      <c r="I1" s="262"/>
      <c r="J1" s="260"/>
      <c r="K1" s="29" t="s">
        <v>34</v>
      </c>
      <c r="L1" s="30"/>
      <c r="M1" s="30"/>
      <c r="N1" s="264" t="s">
        <v>94</v>
      </c>
      <c r="O1" s="30"/>
      <c r="P1" s="30"/>
      <c r="Q1" s="240"/>
    </row>
    <row r="2" spans="1:17" ht="20.399999999999999" customHeight="1" x14ac:dyDescent="0.3">
      <c r="A2" s="261" t="s">
        <v>93</v>
      </c>
      <c r="B2" s="30" t="s">
        <v>188</v>
      </c>
      <c r="C2" s="30"/>
      <c r="D2" s="98"/>
      <c r="E2" s="29" t="s">
        <v>33</v>
      </c>
      <c r="F2" s="30"/>
      <c r="G2" s="30" t="s">
        <v>188</v>
      </c>
      <c r="H2" s="30"/>
      <c r="I2" s="258" t="s">
        <v>125</v>
      </c>
      <c r="J2" s="98"/>
      <c r="K2" s="261" t="s">
        <v>1</v>
      </c>
      <c r="L2" s="28"/>
      <c r="M2" s="28"/>
      <c r="N2" s="30" t="s">
        <v>50</v>
      </c>
      <c r="O2" s="30"/>
      <c r="P2" s="30"/>
      <c r="Q2" s="240"/>
    </row>
    <row r="3" spans="1:17" ht="9.6" customHeight="1" x14ac:dyDescent="0.3">
      <c r="A3" s="23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239"/>
      <c r="Q3" s="240"/>
    </row>
    <row r="4" spans="1:17" ht="18.600000000000001" customHeight="1" x14ac:dyDescent="0.3">
      <c r="A4" s="249" t="s">
        <v>8</v>
      </c>
      <c r="B4" s="101">
        <v>3</v>
      </c>
      <c r="C4" s="1"/>
      <c r="E4" s="102" t="s">
        <v>46</v>
      </c>
      <c r="F4" s="103">
        <v>20</v>
      </c>
      <c r="G4" s="199" t="s">
        <v>163</v>
      </c>
      <c r="H4" s="200" t="s">
        <v>665</v>
      </c>
      <c r="I4" s="1"/>
      <c r="J4" s="104"/>
      <c r="L4" s="105" t="s">
        <v>92</v>
      </c>
      <c r="M4" s="103">
        <v>2</v>
      </c>
      <c r="N4" s="1"/>
      <c r="O4" s="102" t="s">
        <v>9</v>
      </c>
      <c r="P4" s="241">
        <v>25</v>
      </c>
      <c r="Q4" s="240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240"/>
    </row>
    <row r="6" spans="1:17" ht="32.4" customHeight="1" x14ac:dyDescent="0.3">
      <c r="A6" s="250">
        <v>14</v>
      </c>
      <c r="B6" s="106" t="s">
        <v>2</v>
      </c>
      <c r="C6" s="210" t="s">
        <v>164</v>
      </c>
      <c r="D6" s="210"/>
      <c r="E6" s="210"/>
      <c r="F6" s="210"/>
      <c r="G6" s="210"/>
      <c r="H6" s="210"/>
      <c r="I6" s="210"/>
      <c r="J6" s="107">
        <v>1</v>
      </c>
      <c r="K6" s="107"/>
      <c r="M6" s="211" t="s">
        <v>347</v>
      </c>
      <c r="N6" s="211"/>
      <c r="O6" s="211"/>
      <c r="P6" s="242">
        <v>6</v>
      </c>
      <c r="Q6" s="240"/>
    </row>
    <row r="7" spans="1:17" ht="32.4" customHeight="1" x14ac:dyDescent="0.3">
      <c r="A7" s="250">
        <v>14</v>
      </c>
      <c r="B7" s="106" t="s">
        <v>3</v>
      </c>
      <c r="C7" s="210" t="s">
        <v>113</v>
      </c>
      <c r="D7" s="210"/>
      <c r="E7" s="210"/>
      <c r="F7" s="210"/>
      <c r="G7" s="210"/>
      <c r="H7" s="210"/>
      <c r="I7" s="210"/>
      <c r="J7" s="107">
        <v>1</v>
      </c>
      <c r="K7" s="107"/>
      <c r="M7" s="211" t="s">
        <v>11</v>
      </c>
      <c r="N7" s="211"/>
      <c r="O7" s="211"/>
      <c r="P7" s="242">
        <v>7</v>
      </c>
      <c r="Q7" s="240"/>
    </row>
    <row r="8" spans="1:17" ht="32.4" customHeight="1" x14ac:dyDescent="0.3">
      <c r="A8" s="250">
        <v>9</v>
      </c>
      <c r="B8" s="106" t="s">
        <v>4</v>
      </c>
      <c r="C8" s="210" t="s">
        <v>86</v>
      </c>
      <c r="D8" s="210"/>
      <c r="E8" s="210"/>
      <c r="F8" s="210"/>
      <c r="G8" s="210"/>
      <c r="H8" s="210"/>
      <c r="I8" s="210"/>
      <c r="J8" s="107">
        <v>0</v>
      </c>
      <c r="K8" s="107"/>
      <c r="M8" s="211" t="s">
        <v>14</v>
      </c>
      <c r="N8" s="211"/>
      <c r="O8" s="211"/>
      <c r="P8" s="242">
        <v>8</v>
      </c>
      <c r="Q8" s="240"/>
    </row>
    <row r="9" spans="1:17" ht="32.4" customHeight="1" x14ac:dyDescent="0.3">
      <c r="A9" s="250">
        <v>13</v>
      </c>
      <c r="B9" s="106" t="s">
        <v>5</v>
      </c>
      <c r="C9" s="210" t="s">
        <v>128</v>
      </c>
      <c r="D9" s="210"/>
      <c r="E9" s="210"/>
      <c r="F9" s="210"/>
      <c r="G9" s="210"/>
      <c r="H9" s="210"/>
      <c r="I9" s="210"/>
      <c r="J9" s="107">
        <v>1</v>
      </c>
      <c r="K9" s="107"/>
      <c r="M9" s="211" t="s">
        <v>12</v>
      </c>
      <c r="N9" s="211"/>
      <c r="O9" s="211"/>
      <c r="P9" s="242">
        <v>10</v>
      </c>
      <c r="Q9" s="240"/>
    </row>
    <row r="10" spans="1:17" ht="32.4" customHeight="1" x14ac:dyDescent="0.3">
      <c r="A10" s="250">
        <v>12</v>
      </c>
      <c r="B10" s="106" t="s">
        <v>6</v>
      </c>
      <c r="C10" s="210" t="s">
        <v>86</v>
      </c>
      <c r="D10" s="210"/>
      <c r="E10" s="210"/>
      <c r="F10" s="210"/>
      <c r="G10" s="210"/>
      <c r="H10" s="210"/>
      <c r="I10" s="210"/>
      <c r="J10" s="107">
        <v>0</v>
      </c>
      <c r="K10" s="107"/>
      <c r="M10" s="211" t="s">
        <v>13</v>
      </c>
      <c r="N10" s="211"/>
      <c r="O10" s="211"/>
      <c r="P10" s="242">
        <v>10</v>
      </c>
      <c r="Q10" s="240"/>
    </row>
    <row r="11" spans="1:17" ht="32.4" customHeight="1" x14ac:dyDescent="0.3">
      <c r="A11" s="250">
        <v>11</v>
      </c>
      <c r="B11" s="106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43"/>
      <c r="Q11" s="240"/>
    </row>
    <row r="12" spans="1:17" ht="8.4" customHeight="1" x14ac:dyDescent="0.3">
      <c r="P12" s="240"/>
      <c r="Q12" s="240"/>
    </row>
    <row r="13" spans="1:17" s="3" customFormat="1" ht="15.6" customHeight="1" x14ac:dyDescent="0.3">
      <c r="A13" s="22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22"/>
      <c r="Q13" s="239"/>
    </row>
    <row r="14" spans="1:17" s="3" customFormat="1" ht="15.6" customHeight="1" x14ac:dyDescent="0.3">
      <c r="A14" s="266" t="s">
        <v>167</v>
      </c>
      <c r="B14" s="266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3" t="s">
        <v>346</v>
      </c>
      <c r="L14" s="162" t="s">
        <v>47</v>
      </c>
      <c r="N14" s="3" t="s">
        <v>182</v>
      </c>
      <c r="P14" s="239"/>
      <c r="Q14" s="239"/>
    </row>
    <row r="15" spans="1:17" s="3" customFormat="1" ht="15.6" customHeight="1" x14ac:dyDescent="0.3">
      <c r="A15" s="266"/>
      <c r="B15" s="266"/>
      <c r="D15" s="111" t="s">
        <v>37</v>
      </c>
      <c r="E15" s="111"/>
      <c r="F15" s="112"/>
      <c r="G15" s="113" t="s">
        <v>71</v>
      </c>
      <c r="H15" s="114">
        <f>H14*3</f>
        <v>60</v>
      </c>
      <c r="I15" s="114">
        <f>J15*1.5</f>
        <v>18</v>
      </c>
      <c r="J15" s="114">
        <f t="shared" ref="J15:J18" si="0">H15/5</f>
        <v>12</v>
      </c>
      <c r="K15" s="164" t="s">
        <v>47</v>
      </c>
      <c r="L15" s="165" t="s">
        <v>47</v>
      </c>
      <c r="N15" s="3" t="s">
        <v>132</v>
      </c>
      <c r="P15" s="239"/>
      <c r="Q15" s="239"/>
    </row>
    <row r="16" spans="1:17" s="3" customFormat="1" ht="15.6" customHeight="1" x14ac:dyDescent="0.3">
      <c r="A16" s="266"/>
      <c r="B16" s="266"/>
      <c r="D16" s="108" t="s">
        <v>18</v>
      </c>
      <c r="E16" s="108"/>
      <c r="G16" s="81" t="s">
        <v>70</v>
      </c>
      <c r="H16" s="110">
        <f>H14*3</f>
        <v>60</v>
      </c>
      <c r="I16" s="1">
        <f>J16*1.5</f>
        <v>18</v>
      </c>
      <c r="J16" s="1">
        <f t="shared" si="0"/>
        <v>12</v>
      </c>
      <c r="K16" s="163">
        <f>J16+(J16/2)</f>
        <v>18</v>
      </c>
      <c r="L16" s="214" t="s">
        <v>344</v>
      </c>
      <c r="N16" s="3" t="s">
        <v>189</v>
      </c>
      <c r="P16" s="239"/>
      <c r="Q16" s="239"/>
    </row>
    <row r="17" spans="1:17" s="3" customFormat="1" ht="15.6" customHeight="1" x14ac:dyDescent="0.3">
      <c r="A17" s="251" t="s">
        <v>196</v>
      </c>
      <c r="B17" s="267"/>
      <c r="D17" s="111" t="s">
        <v>35</v>
      </c>
      <c r="E17" s="111"/>
      <c r="F17" s="112"/>
      <c r="G17" s="113" t="s">
        <v>70</v>
      </c>
      <c r="H17" s="114">
        <f>H14/2</f>
        <v>10</v>
      </c>
      <c r="I17" s="114">
        <f>J17*1.5</f>
        <v>3</v>
      </c>
      <c r="J17" s="114">
        <f t="shared" si="0"/>
        <v>2</v>
      </c>
      <c r="K17" s="164">
        <f t="shared" ref="K17:K18" si="1">J17+(J17/2)</f>
        <v>3</v>
      </c>
      <c r="L17" s="214"/>
      <c r="N17" s="3" t="s">
        <v>59</v>
      </c>
      <c r="P17" s="239"/>
      <c r="Q17" s="239"/>
    </row>
    <row r="18" spans="1:17" s="3" customFormat="1" ht="15.6" customHeight="1" x14ac:dyDescent="0.3">
      <c r="A18" s="251" t="s">
        <v>95</v>
      </c>
      <c r="B18" s="268"/>
      <c r="D18" s="108" t="s">
        <v>36</v>
      </c>
      <c r="E18" s="108"/>
      <c r="G18" s="81" t="s">
        <v>70</v>
      </c>
      <c r="H18" s="110">
        <f>H14/2</f>
        <v>10</v>
      </c>
      <c r="I18" s="1">
        <f>J18*1.5</f>
        <v>3</v>
      </c>
      <c r="J18" s="1">
        <f t="shared" si="0"/>
        <v>2</v>
      </c>
      <c r="K18" s="163">
        <f t="shared" si="1"/>
        <v>3</v>
      </c>
      <c r="L18" s="214"/>
      <c r="N18" s="3" t="s">
        <v>58</v>
      </c>
      <c r="P18" s="239"/>
      <c r="Q18" s="239"/>
    </row>
    <row r="19" spans="1:17" s="3" customFormat="1" ht="15.6" customHeight="1" x14ac:dyDescent="0.3">
      <c r="A19" s="247"/>
      <c r="B19" s="269"/>
      <c r="D19" s="111" t="s">
        <v>22</v>
      </c>
      <c r="E19" s="111"/>
      <c r="F19" s="112"/>
      <c r="G19" s="113" t="s">
        <v>72</v>
      </c>
      <c r="H19" s="117" t="s">
        <v>142</v>
      </c>
      <c r="I19" s="117" t="s">
        <v>68</v>
      </c>
      <c r="J19" s="117"/>
      <c r="K19" s="164" t="s">
        <v>47</v>
      </c>
      <c r="L19" s="165" t="s">
        <v>47</v>
      </c>
      <c r="N19" s="3" t="s">
        <v>663</v>
      </c>
      <c r="P19" s="239"/>
      <c r="Q19" s="239"/>
    </row>
    <row r="20" spans="1:17" s="3" customFormat="1" ht="15.6" customHeight="1" x14ac:dyDescent="0.3">
      <c r="A20" s="252"/>
      <c r="B20" s="18"/>
      <c r="N20" s="215" t="s">
        <v>171</v>
      </c>
      <c r="O20" s="215"/>
      <c r="P20" s="244"/>
      <c r="Q20" s="239"/>
    </row>
    <row r="21" spans="1:17" s="3" customFormat="1" ht="15.6" customHeight="1" x14ac:dyDescent="0.3">
      <c r="A21" s="253" t="s">
        <v>671</v>
      </c>
      <c r="B21" s="21"/>
      <c r="D21" s="118"/>
      <c r="O21" s="144"/>
      <c r="P21" s="245"/>
      <c r="Q21" s="239"/>
    </row>
    <row r="22" spans="1:17" ht="15.6" customHeight="1" x14ac:dyDescent="0.3">
      <c r="A22" s="253" t="s">
        <v>672</v>
      </c>
      <c r="B22" s="21"/>
      <c r="D22" s="118"/>
      <c r="N22" s="119"/>
      <c r="O22" s="119" t="s">
        <v>46</v>
      </c>
      <c r="P22" s="246">
        <v>8</v>
      </c>
      <c r="Q22" s="240"/>
    </row>
    <row r="23" spans="1:17" ht="15.6" customHeight="1" x14ac:dyDescent="0.3">
      <c r="A23" s="253" t="s">
        <v>673</v>
      </c>
      <c r="B23" s="21"/>
      <c r="D23" s="118"/>
      <c r="M23" s="108"/>
      <c r="N23" s="120"/>
      <c r="O23" s="21"/>
      <c r="P23" s="247"/>
      <c r="Q23" s="240"/>
    </row>
    <row r="24" spans="1:17" ht="15.6" customHeight="1" x14ac:dyDescent="0.3">
      <c r="A24" s="253" t="s">
        <v>674</v>
      </c>
      <c r="B24" s="21"/>
      <c r="D24" s="118"/>
      <c r="M24" s="108"/>
      <c r="N24" s="34"/>
      <c r="O24" s="34" t="s">
        <v>216</v>
      </c>
      <c r="P24" s="34" t="s">
        <v>217</v>
      </c>
      <c r="Q24" s="240"/>
    </row>
    <row r="25" spans="1:17" ht="15.6" customHeight="1" x14ac:dyDescent="0.3">
      <c r="A25" s="253" t="s">
        <v>675</v>
      </c>
      <c r="B25" s="21"/>
      <c r="C25" s="145"/>
      <c r="D25" s="118"/>
      <c r="N25" s="121" t="s">
        <v>42</v>
      </c>
      <c r="O25" s="21"/>
      <c r="P25" s="248"/>
      <c r="Q25" s="240"/>
    </row>
    <row r="26" spans="1:17" ht="15.6" customHeight="1" x14ac:dyDescent="0.3">
      <c r="A26" s="254" t="s">
        <v>676</v>
      </c>
      <c r="B26" s="21"/>
      <c r="C26" s="145"/>
      <c r="D26" s="122"/>
      <c r="N26" s="121" t="s">
        <v>39</v>
      </c>
      <c r="O26" s="21"/>
      <c r="P26" s="248">
        <v>500</v>
      </c>
      <c r="Q26" s="240"/>
    </row>
    <row r="27" spans="1:17" ht="15.6" customHeight="1" x14ac:dyDescent="0.3">
      <c r="A27" s="254" t="s">
        <v>677</v>
      </c>
      <c r="D27" s="122"/>
      <c r="N27" s="147" t="s">
        <v>43</v>
      </c>
      <c r="O27" s="21"/>
      <c r="P27" s="248"/>
      <c r="Q27" s="240"/>
    </row>
    <row r="28" spans="1:17" ht="15.6" customHeight="1" x14ac:dyDescent="0.3">
      <c r="A28" s="255" t="s">
        <v>678</v>
      </c>
      <c r="D28" s="123"/>
      <c r="N28" s="147" t="s">
        <v>40</v>
      </c>
      <c r="O28" s="21"/>
      <c r="P28" s="248"/>
      <c r="Q28" s="240"/>
    </row>
    <row r="29" spans="1:17" ht="15.6" customHeight="1" x14ac:dyDescent="0.3">
      <c r="A29" s="255" t="s">
        <v>681</v>
      </c>
      <c r="D29" s="123"/>
      <c r="N29" s="124"/>
      <c r="O29" s="119" t="s">
        <v>46</v>
      </c>
      <c r="P29" s="246">
        <v>5</v>
      </c>
      <c r="Q29" s="240"/>
    </row>
    <row r="30" spans="1:17" x14ac:dyDescent="0.3">
      <c r="D30" s="123"/>
      <c r="P30" s="240"/>
      <c r="Q30" s="240"/>
    </row>
    <row r="31" spans="1:17" ht="15.6" customHeight="1" x14ac:dyDescent="0.3">
      <c r="E31" s="118"/>
      <c r="P31" s="240"/>
      <c r="Q31" s="240"/>
    </row>
    <row r="32" spans="1:17" ht="15.6" customHeight="1" x14ac:dyDescent="0.3">
      <c r="A32" s="256"/>
      <c r="B32" s="142"/>
      <c r="C32" s="145"/>
      <c r="E32" s="118"/>
      <c r="G32" s="110"/>
      <c r="I32" s="110"/>
      <c r="N32" s="22" t="s">
        <v>29</v>
      </c>
      <c r="O32" s="24"/>
      <c r="P32" s="24"/>
      <c r="Q32" s="240"/>
    </row>
    <row r="33" spans="1:27" ht="15.6" customHeight="1" x14ac:dyDescent="0.3">
      <c r="A33" s="257" t="s">
        <v>193</v>
      </c>
      <c r="B33" s="5"/>
      <c r="C33" s="145"/>
      <c r="N33" s="2" t="s">
        <v>53</v>
      </c>
      <c r="P33" s="240"/>
      <c r="Q33" s="240"/>
    </row>
    <row r="34" spans="1:27" ht="15.6" customHeight="1" x14ac:dyDescent="0.3">
      <c r="A34" s="257" t="s">
        <v>191</v>
      </c>
      <c r="B34" s="5"/>
      <c r="C34" s="145"/>
      <c r="N34" s="2" t="s">
        <v>194</v>
      </c>
      <c r="P34" s="240"/>
      <c r="Q34" s="240"/>
    </row>
    <row r="35" spans="1:27" x14ac:dyDescent="0.3">
      <c r="A35" s="257" t="s">
        <v>192</v>
      </c>
      <c r="B35" s="5"/>
      <c r="C35" s="145"/>
      <c r="N35" s="2" t="s">
        <v>54</v>
      </c>
      <c r="P35" s="240"/>
      <c r="Q35" s="240"/>
    </row>
    <row r="36" spans="1:27" x14ac:dyDescent="0.3">
      <c r="P36" s="240"/>
      <c r="Q36" s="240"/>
    </row>
    <row r="37" spans="1:27" x14ac:dyDescent="0.3">
      <c r="Q37" s="240"/>
    </row>
    <row r="38" spans="1:27" x14ac:dyDescent="0.3">
      <c r="L38" s="125" t="s">
        <v>195</v>
      </c>
      <c r="Q38" s="240"/>
    </row>
    <row r="39" spans="1:27" ht="15.6" x14ac:dyDescent="0.3">
      <c r="A39" s="265" t="s">
        <v>15</v>
      </c>
      <c r="B39" s="19" t="s">
        <v>19</v>
      </c>
      <c r="C39" s="26" t="s">
        <v>20</v>
      </c>
      <c r="D39" s="4">
        <v>8</v>
      </c>
      <c r="E39" s="26">
        <f>D39-1</f>
        <v>7</v>
      </c>
      <c r="F39" s="4">
        <f t="shared" ref="F39:L39" si="2">E39-1</f>
        <v>6</v>
      </c>
      <c r="G39" s="26">
        <f t="shared" si="2"/>
        <v>5</v>
      </c>
      <c r="H39" s="4">
        <f t="shared" si="2"/>
        <v>4</v>
      </c>
      <c r="I39" s="26">
        <f t="shared" si="2"/>
        <v>3</v>
      </c>
      <c r="J39" s="4">
        <f t="shared" si="2"/>
        <v>2</v>
      </c>
      <c r="K39" s="26">
        <f t="shared" si="2"/>
        <v>1</v>
      </c>
      <c r="L39" s="4">
        <f t="shared" si="2"/>
        <v>0</v>
      </c>
      <c r="M39" s="217" t="s">
        <v>26</v>
      </c>
      <c r="N39" s="217"/>
      <c r="O39" s="22" t="s">
        <v>27</v>
      </c>
      <c r="P39" s="24"/>
      <c r="Q39" s="240"/>
      <c r="AA39"/>
    </row>
    <row r="40" spans="1:27" ht="18" x14ac:dyDescent="0.3">
      <c r="A40" s="257" t="s">
        <v>190</v>
      </c>
      <c r="B40" s="1" t="s">
        <v>23</v>
      </c>
      <c r="C40" s="126">
        <v>6</v>
      </c>
      <c r="D40" s="127">
        <f>C40+1</f>
        <v>7</v>
      </c>
      <c r="E40" s="126">
        <f t="shared" ref="E40:L40" si="3">D40+1</f>
        <v>8</v>
      </c>
      <c r="F40" s="127">
        <f t="shared" si="3"/>
        <v>9</v>
      </c>
      <c r="G40" s="126">
        <f t="shared" si="3"/>
        <v>10</v>
      </c>
      <c r="H40" s="127">
        <f t="shared" si="3"/>
        <v>11</v>
      </c>
      <c r="I40" s="126">
        <f t="shared" si="3"/>
        <v>12</v>
      </c>
      <c r="J40" s="127">
        <f t="shared" si="3"/>
        <v>13</v>
      </c>
      <c r="K40" s="126">
        <f t="shared" si="3"/>
        <v>14</v>
      </c>
      <c r="L40" s="127">
        <f t="shared" si="3"/>
        <v>15</v>
      </c>
      <c r="M40" s="218" t="s">
        <v>664</v>
      </c>
      <c r="N40" s="218"/>
      <c r="P40" s="240"/>
      <c r="Q40" s="240"/>
    </row>
    <row r="41" spans="1:27" ht="18" x14ac:dyDescent="0.3">
      <c r="A41" s="257" t="s">
        <v>24</v>
      </c>
      <c r="B41" s="1" t="s">
        <v>23</v>
      </c>
      <c r="C41" s="126">
        <v>7</v>
      </c>
      <c r="D41" s="127">
        <f t="shared" ref="D41:L42" si="4">C41+1</f>
        <v>8</v>
      </c>
      <c r="E41" s="126">
        <f t="shared" si="4"/>
        <v>9</v>
      </c>
      <c r="F41" s="127">
        <f t="shared" si="4"/>
        <v>10</v>
      </c>
      <c r="G41" s="126">
        <f t="shared" si="4"/>
        <v>11</v>
      </c>
      <c r="H41" s="127">
        <f t="shared" si="4"/>
        <v>12</v>
      </c>
      <c r="I41" s="126">
        <f t="shared" si="4"/>
        <v>13</v>
      </c>
      <c r="J41" s="127">
        <f t="shared" si="4"/>
        <v>14</v>
      </c>
      <c r="K41" s="126">
        <f t="shared" si="4"/>
        <v>15</v>
      </c>
      <c r="L41" s="127">
        <f t="shared" si="4"/>
        <v>16</v>
      </c>
      <c r="M41" s="219" t="s">
        <v>170</v>
      </c>
      <c r="N41" s="219"/>
      <c r="O41" s="3" t="s">
        <v>115</v>
      </c>
      <c r="P41" s="240"/>
    </row>
    <row r="42" spans="1:27" ht="18" x14ac:dyDescent="0.3">
      <c r="A42" s="257" t="s">
        <v>52</v>
      </c>
      <c r="B42" s="235" t="s">
        <v>79</v>
      </c>
      <c r="C42" s="236">
        <v>6</v>
      </c>
      <c r="D42" s="237">
        <f t="shared" si="4"/>
        <v>7</v>
      </c>
      <c r="E42" s="236">
        <f t="shared" si="4"/>
        <v>8</v>
      </c>
      <c r="F42" s="237">
        <f t="shared" si="4"/>
        <v>9</v>
      </c>
      <c r="G42" s="236">
        <f t="shared" si="4"/>
        <v>10</v>
      </c>
      <c r="H42" s="237">
        <f t="shared" si="4"/>
        <v>11</v>
      </c>
      <c r="I42" s="236">
        <f t="shared" si="4"/>
        <v>12</v>
      </c>
      <c r="J42" s="237">
        <f t="shared" si="4"/>
        <v>13</v>
      </c>
      <c r="K42" s="236">
        <f t="shared" si="4"/>
        <v>14</v>
      </c>
      <c r="L42" s="237">
        <f t="shared" si="4"/>
        <v>15</v>
      </c>
      <c r="M42" s="238" t="s">
        <v>83</v>
      </c>
      <c r="N42" s="238"/>
      <c r="O42" s="239" t="s">
        <v>679</v>
      </c>
      <c r="P42" s="240"/>
    </row>
  </sheetData>
  <mergeCells count="19">
    <mergeCell ref="M41:N41"/>
    <mergeCell ref="M42:N42"/>
    <mergeCell ref="N20:P20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49"/>
  <sheetViews>
    <sheetView zoomScale="160" zoomScaleNormal="160" workbookViewId="0">
      <selection activeCell="S10" sqref="S1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Halfling!F4</f>
        <v>20</v>
      </c>
      <c r="E1" s="2" t="s">
        <v>212</v>
      </c>
      <c r="G1" s="198" t="str">
        <f>Halfling!G4</f>
        <v>+7</v>
      </c>
      <c r="I1" s="2" t="s">
        <v>215</v>
      </c>
      <c r="K1" s="14"/>
      <c r="M1" s="2" t="s">
        <v>214</v>
      </c>
      <c r="O1" s="201">
        <f>Halfling!P22+Halfling!P29</f>
        <v>13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5" t="s">
        <v>359</v>
      </c>
      <c r="K14" s="276"/>
      <c r="L14" s="276"/>
      <c r="M14" s="276"/>
      <c r="N14" s="276"/>
      <c r="O14" s="276"/>
      <c r="P14" s="276"/>
      <c r="Q14" s="277"/>
      <c r="R14" s="274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61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161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61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161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61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161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61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169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4"/>
  <sheetViews>
    <sheetView topLeftCell="A20" zoomScale="90" zoomScaleNormal="90" workbookViewId="0">
      <selection activeCell="G48" sqref="G48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173</v>
      </c>
      <c r="C1" s="30"/>
      <c r="D1" s="259"/>
      <c r="E1" s="29"/>
      <c r="F1" s="262"/>
      <c r="G1" s="263" t="s">
        <v>183</v>
      </c>
      <c r="H1" s="30"/>
      <c r="I1" s="262"/>
      <c r="J1" s="260"/>
      <c r="K1" s="29" t="s">
        <v>34</v>
      </c>
      <c r="L1" s="30"/>
      <c r="M1" s="30"/>
      <c r="N1" s="264" t="s">
        <v>175</v>
      </c>
      <c r="O1" s="30"/>
      <c r="P1" s="30"/>
      <c r="Q1" s="240"/>
    </row>
    <row r="2" spans="1:17" ht="20.399999999999999" customHeight="1" x14ac:dyDescent="0.3">
      <c r="A2" s="29" t="s">
        <v>93</v>
      </c>
      <c r="B2" s="30" t="s">
        <v>174</v>
      </c>
      <c r="C2" s="30"/>
      <c r="D2" s="98"/>
      <c r="E2" s="29" t="s">
        <v>33</v>
      </c>
      <c r="F2" s="30"/>
      <c r="G2" s="30" t="s">
        <v>174</v>
      </c>
      <c r="H2" s="30"/>
      <c r="I2" s="258" t="s">
        <v>125</v>
      </c>
      <c r="J2" s="98"/>
      <c r="K2" s="29" t="s">
        <v>1</v>
      </c>
      <c r="L2" s="30"/>
      <c r="M2" s="30"/>
      <c r="N2" s="30" t="s">
        <v>50</v>
      </c>
      <c r="O2" s="30"/>
      <c r="P2" s="30"/>
      <c r="Q2" s="240"/>
    </row>
    <row r="3" spans="1:17" ht="9.6" customHeight="1" x14ac:dyDescent="0.3">
      <c r="A3" s="239"/>
      <c r="B3" s="239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239"/>
      <c r="Q3" s="240"/>
    </row>
    <row r="4" spans="1:17" ht="18.600000000000001" customHeight="1" x14ac:dyDescent="0.3">
      <c r="A4" s="249" t="s">
        <v>8</v>
      </c>
      <c r="B4" s="282">
        <v>4</v>
      </c>
      <c r="C4" s="1"/>
      <c r="E4" s="102" t="s">
        <v>46</v>
      </c>
      <c r="F4" s="103">
        <v>24</v>
      </c>
      <c r="G4" s="199" t="s">
        <v>109</v>
      </c>
      <c r="H4" s="200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241">
        <v>30</v>
      </c>
      <c r="Q4" s="240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240"/>
    </row>
    <row r="6" spans="1:17" ht="32.4" customHeight="1" x14ac:dyDescent="0.3">
      <c r="A6" s="250">
        <v>16</v>
      </c>
      <c r="B6" s="283" t="s">
        <v>2</v>
      </c>
      <c r="C6" s="210" t="s">
        <v>112</v>
      </c>
      <c r="D6" s="210"/>
      <c r="E6" s="210"/>
      <c r="F6" s="210"/>
      <c r="G6" s="210"/>
      <c r="H6" s="210"/>
      <c r="I6" s="210"/>
      <c r="J6" s="107">
        <v>2</v>
      </c>
      <c r="K6" s="107"/>
      <c r="M6" s="211" t="s">
        <v>347</v>
      </c>
      <c r="N6" s="211"/>
      <c r="O6" s="211"/>
      <c r="P6" s="242">
        <v>10</v>
      </c>
      <c r="Q6" s="240"/>
    </row>
    <row r="7" spans="1:17" ht="32.4" customHeight="1" x14ac:dyDescent="0.3">
      <c r="A7" s="250">
        <v>12</v>
      </c>
      <c r="B7" s="283" t="s">
        <v>3</v>
      </c>
      <c r="C7" s="210" t="s">
        <v>86</v>
      </c>
      <c r="D7" s="210"/>
      <c r="E7" s="210"/>
      <c r="F7" s="210"/>
      <c r="G7" s="210"/>
      <c r="H7" s="210"/>
      <c r="I7" s="210"/>
      <c r="J7" s="107">
        <v>0</v>
      </c>
      <c r="K7" s="107"/>
      <c r="M7" s="211" t="s">
        <v>11</v>
      </c>
      <c r="N7" s="211"/>
      <c r="O7" s="211"/>
      <c r="P7" s="242">
        <v>11</v>
      </c>
      <c r="Q7" s="240"/>
    </row>
    <row r="8" spans="1:17" ht="32.4" customHeight="1" x14ac:dyDescent="0.3">
      <c r="A8" s="250">
        <v>13</v>
      </c>
      <c r="B8" s="283" t="s">
        <v>4</v>
      </c>
      <c r="C8" s="210" t="s">
        <v>127</v>
      </c>
      <c r="D8" s="210"/>
      <c r="E8" s="210"/>
      <c r="F8" s="210"/>
      <c r="G8" s="210"/>
      <c r="H8" s="210"/>
      <c r="I8" s="210"/>
      <c r="J8" s="107">
        <v>1</v>
      </c>
      <c r="K8" s="107"/>
      <c r="M8" s="211" t="s">
        <v>14</v>
      </c>
      <c r="N8" s="211"/>
      <c r="O8" s="211"/>
      <c r="P8" s="242">
        <v>11</v>
      </c>
      <c r="Q8" s="240"/>
    </row>
    <row r="9" spans="1:17" ht="32.4" customHeight="1" x14ac:dyDescent="0.3">
      <c r="A9" s="250">
        <v>17</v>
      </c>
      <c r="B9" s="283" t="s">
        <v>5</v>
      </c>
      <c r="C9" s="210" t="s">
        <v>128</v>
      </c>
      <c r="D9" s="210"/>
      <c r="E9" s="210"/>
      <c r="F9" s="210"/>
      <c r="G9" s="210"/>
      <c r="H9" s="210"/>
      <c r="I9" s="210"/>
      <c r="J9" s="107">
        <v>2</v>
      </c>
      <c r="K9" s="107"/>
      <c r="M9" s="211" t="s">
        <v>12</v>
      </c>
      <c r="N9" s="211"/>
      <c r="O9" s="211"/>
      <c r="P9" s="242">
        <v>13</v>
      </c>
      <c r="Q9" s="240"/>
    </row>
    <row r="10" spans="1:17" ht="32.4" customHeight="1" x14ac:dyDescent="0.3">
      <c r="A10" s="250">
        <v>11</v>
      </c>
      <c r="B10" s="283" t="s">
        <v>6</v>
      </c>
      <c r="C10" s="210" t="s">
        <v>86</v>
      </c>
      <c r="D10" s="210"/>
      <c r="E10" s="210"/>
      <c r="F10" s="210"/>
      <c r="G10" s="210"/>
      <c r="H10" s="210"/>
      <c r="I10" s="210"/>
      <c r="J10" s="107">
        <v>0</v>
      </c>
      <c r="K10" s="107"/>
      <c r="M10" s="211" t="s">
        <v>13</v>
      </c>
      <c r="N10" s="211"/>
      <c r="O10" s="211"/>
      <c r="P10" s="242">
        <v>12</v>
      </c>
      <c r="Q10" s="240"/>
    </row>
    <row r="11" spans="1:17" ht="32.4" customHeight="1" x14ac:dyDescent="0.3">
      <c r="A11" s="250">
        <v>10</v>
      </c>
      <c r="B11" s="283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43"/>
      <c r="Q11" s="240"/>
    </row>
    <row r="12" spans="1:17" ht="8.4" customHeight="1" x14ac:dyDescent="0.3">
      <c r="A12" s="240"/>
      <c r="B12" s="240"/>
      <c r="P12" s="240"/>
      <c r="Q12" s="240"/>
    </row>
    <row r="13" spans="1:17" s="3" customFormat="1" ht="15.6" customHeight="1" x14ac:dyDescent="0.3">
      <c r="A13" s="22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22"/>
      <c r="Q13" s="239"/>
    </row>
    <row r="14" spans="1:17" s="3" customFormat="1" ht="15.6" customHeight="1" x14ac:dyDescent="0.3">
      <c r="A14" s="266" t="s">
        <v>167</v>
      </c>
      <c r="B14" s="266"/>
      <c r="D14" s="108" t="s">
        <v>21</v>
      </c>
      <c r="E14" s="108"/>
      <c r="G14" s="81" t="s">
        <v>70</v>
      </c>
      <c r="H14" s="110">
        <v>30</v>
      </c>
      <c r="I14" s="1">
        <f>J14*1.5</f>
        <v>9</v>
      </c>
      <c r="J14" s="1">
        <f>H14/5</f>
        <v>6</v>
      </c>
      <c r="K14" s="163" t="s">
        <v>670</v>
      </c>
      <c r="L14" s="162" t="s">
        <v>47</v>
      </c>
      <c r="N14" s="3" t="s">
        <v>182</v>
      </c>
      <c r="P14" s="239"/>
      <c r="Q14" s="239"/>
    </row>
    <row r="15" spans="1:17" s="3" customFormat="1" ht="15.6" customHeight="1" x14ac:dyDescent="0.3">
      <c r="A15" s="266"/>
      <c r="B15" s="266"/>
      <c r="D15" s="111" t="s">
        <v>37</v>
      </c>
      <c r="E15" s="111"/>
      <c r="F15" s="112"/>
      <c r="G15" s="113" t="s">
        <v>71</v>
      </c>
      <c r="H15" s="114">
        <f>H14*3</f>
        <v>90</v>
      </c>
      <c r="I15" s="114">
        <f>J15*1.5</f>
        <v>27</v>
      </c>
      <c r="J15" s="114">
        <f t="shared" ref="J15:J18" si="0">H15/5</f>
        <v>18</v>
      </c>
      <c r="K15" s="164" t="s">
        <v>47</v>
      </c>
      <c r="L15" s="165" t="s">
        <v>47</v>
      </c>
      <c r="N15" s="3" t="s">
        <v>132</v>
      </c>
      <c r="P15" s="239"/>
      <c r="Q15" s="239"/>
    </row>
    <row r="16" spans="1:17" s="3" customFormat="1" ht="15.6" customHeight="1" x14ac:dyDescent="0.3">
      <c r="A16" s="266"/>
      <c r="B16" s="266"/>
      <c r="D16" s="108" t="s">
        <v>18</v>
      </c>
      <c r="E16" s="108"/>
      <c r="G16" s="81" t="s">
        <v>70</v>
      </c>
      <c r="H16" s="110">
        <f>H14*3</f>
        <v>90</v>
      </c>
      <c r="I16" s="1">
        <f>J16*1.5</f>
        <v>27</v>
      </c>
      <c r="J16" s="1">
        <f t="shared" si="0"/>
        <v>18</v>
      </c>
      <c r="K16" s="163">
        <f>J16+(J16/2)</f>
        <v>27</v>
      </c>
      <c r="L16" s="214" t="s">
        <v>344</v>
      </c>
      <c r="N16" s="3" t="s">
        <v>657</v>
      </c>
      <c r="P16" s="239"/>
      <c r="Q16" s="239"/>
    </row>
    <row r="17" spans="1:17" s="3" customFormat="1" ht="15.6" customHeight="1" x14ac:dyDescent="0.3">
      <c r="A17" s="251" t="s">
        <v>196</v>
      </c>
      <c r="B17" s="267"/>
      <c r="D17" s="111" t="s">
        <v>35</v>
      </c>
      <c r="E17" s="111"/>
      <c r="F17" s="112"/>
      <c r="G17" s="113" t="s">
        <v>70</v>
      </c>
      <c r="H17" s="114">
        <f>H14/2</f>
        <v>15</v>
      </c>
      <c r="I17" s="114">
        <f>J17*1.5</f>
        <v>4.5</v>
      </c>
      <c r="J17" s="114">
        <f t="shared" si="0"/>
        <v>3</v>
      </c>
      <c r="K17" s="164">
        <f t="shared" ref="K17:K18" si="1">J17+(J17/2)</f>
        <v>4.5</v>
      </c>
      <c r="L17" s="214"/>
      <c r="N17" s="3" t="s">
        <v>111</v>
      </c>
      <c r="P17" s="239"/>
      <c r="Q17" s="239"/>
    </row>
    <row r="18" spans="1:17" s="3" customFormat="1" ht="15.6" customHeight="1" x14ac:dyDescent="0.3">
      <c r="A18" s="251" t="s">
        <v>95</v>
      </c>
      <c r="B18" s="268"/>
      <c r="D18" s="108" t="s">
        <v>36</v>
      </c>
      <c r="E18" s="108"/>
      <c r="G18" s="81" t="s">
        <v>70</v>
      </c>
      <c r="H18" s="110">
        <f>H14/2</f>
        <v>15</v>
      </c>
      <c r="I18" s="1">
        <f>J18*1.5</f>
        <v>4.5</v>
      </c>
      <c r="J18" s="1">
        <f t="shared" si="0"/>
        <v>3</v>
      </c>
      <c r="K18" s="163">
        <f t="shared" si="1"/>
        <v>4.5</v>
      </c>
      <c r="L18" s="214"/>
      <c r="N18" s="3" t="s">
        <v>59</v>
      </c>
      <c r="P18" s="239"/>
      <c r="Q18" s="239"/>
    </row>
    <row r="19" spans="1:17" s="3" customFormat="1" ht="15.6" customHeight="1" x14ac:dyDescent="0.3">
      <c r="A19" s="247"/>
      <c r="B19" s="269"/>
      <c r="D19" s="111" t="s">
        <v>22</v>
      </c>
      <c r="E19" s="111"/>
      <c r="F19" s="112"/>
      <c r="G19" s="113" t="s">
        <v>72</v>
      </c>
      <c r="H19" s="117" t="s">
        <v>185</v>
      </c>
      <c r="I19" s="117" t="s">
        <v>186</v>
      </c>
      <c r="J19" s="117"/>
      <c r="K19" s="164" t="s">
        <v>47</v>
      </c>
      <c r="L19" s="165" t="s">
        <v>47</v>
      </c>
      <c r="N19" s="3" t="s">
        <v>133</v>
      </c>
      <c r="P19" s="239"/>
      <c r="Q19" s="239"/>
    </row>
    <row r="20" spans="1:17" s="3" customFormat="1" ht="15.6" customHeight="1" x14ac:dyDescent="0.3">
      <c r="A20" s="252"/>
      <c r="B20" s="252"/>
      <c r="N20" s="215" t="s">
        <v>117</v>
      </c>
      <c r="O20" s="215"/>
      <c r="P20" s="244"/>
      <c r="Q20" s="239"/>
    </row>
    <row r="21" spans="1:17" s="3" customFormat="1" ht="15.6" customHeight="1" x14ac:dyDescent="0.3">
      <c r="A21" s="253" t="s">
        <v>671</v>
      </c>
      <c r="B21" s="247"/>
      <c r="D21" s="118"/>
      <c r="N21" s="3" t="s">
        <v>171</v>
      </c>
      <c r="P21" s="245"/>
      <c r="Q21" s="239"/>
    </row>
    <row r="22" spans="1:17" ht="15.6" customHeight="1" x14ac:dyDescent="0.3">
      <c r="A22" s="253" t="s">
        <v>672</v>
      </c>
      <c r="B22" s="247"/>
      <c r="D22" s="118"/>
      <c r="N22" s="119"/>
      <c r="O22" s="119" t="s">
        <v>46</v>
      </c>
      <c r="P22" s="246">
        <v>12</v>
      </c>
      <c r="Q22" s="240"/>
    </row>
    <row r="23" spans="1:17" ht="15.6" customHeight="1" x14ac:dyDescent="0.3">
      <c r="A23" s="253" t="s">
        <v>673</v>
      </c>
      <c r="B23" s="247"/>
      <c r="D23" s="118"/>
      <c r="M23" s="108"/>
      <c r="N23" s="120"/>
      <c r="O23" s="21"/>
      <c r="P23" s="247"/>
      <c r="Q23" s="240"/>
    </row>
    <row r="24" spans="1:17" ht="15.6" customHeight="1" x14ac:dyDescent="0.3">
      <c r="A24" s="253" t="s">
        <v>674</v>
      </c>
      <c r="B24" s="247"/>
      <c r="D24" s="118"/>
      <c r="M24" s="108"/>
      <c r="N24" s="34"/>
      <c r="O24" s="34" t="s">
        <v>216</v>
      </c>
      <c r="P24" s="34" t="s">
        <v>217</v>
      </c>
      <c r="Q24" s="240"/>
    </row>
    <row r="25" spans="1:17" ht="15.6" customHeight="1" x14ac:dyDescent="0.3">
      <c r="A25" s="253" t="s">
        <v>675</v>
      </c>
      <c r="B25" s="247"/>
      <c r="D25" s="118"/>
      <c r="N25" s="121" t="s">
        <v>42</v>
      </c>
      <c r="O25" s="21"/>
      <c r="P25" s="248"/>
      <c r="Q25" s="240"/>
    </row>
    <row r="26" spans="1:17" ht="15.6" customHeight="1" x14ac:dyDescent="0.3">
      <c r="A26" s="254" t="s">
        <v>676</v>
      </c>
      <c r="B26" s="247"/>
      <c r="D26" s="122"/>
      <c r="N26" s="121" t="s">
        <v>39</v>
      </c>
      <c r="O26" s="21"/>
      <c r="P26" s="248">
        <v>500</v>
      </c>
      <c r="Q26" s="240"/>
    </row>
    <row r="27" spans="1:17" ht="15.6" customHeight="1" x14ac:dyDescent="0.3">
      <c r="A27" s="254" t="s">
        <v>677</v>
      </c>
      <c r="B27" s="240"/>
      <c r="D27" s="122"/>
      <c r="N27" s="121" t="s">
        <v>43</v>
      </c>
      <c r="O27" s="21"/>
      <c r="P27" s="248"/>
      <c r="Q27" s="240"/>
    </row>
    <row r="28" spans="1:17" ht="15.6" customHeight="1" x14ac:dyDescent="0.3">
      <c r="A28" s="255" t="s">
        <v>678</v>
      </c>
      <c r="B28" s="240"/>
      <c r="D28" s="123"/>
      <c r="N28" s="121" t="s">
        <v>40</v>
      </c>
      <c r="O28" s="21"/>
      <c r="P28" s="248"/>
      <c r="Q28" s="240"/>
    </row>
    <row r="29" spans="1:17" ht="15.6" customHeight="1" x14ac:dyDescent="0.3">
      <c r="A29" s="255" t="s">
        <v>681</v>
      </c>
      <c r="B29" s="240"/>
      <c r="D29" s="123"/>
      <c r="N29" s="124"/>
      <c r="O29" s="119" t="s">
        <v>46</v>
      </c>
      <c r="P29" s="246">
        <v>5</v>
      </c>
      <c r="Q29" s="240"/>
    </row>
    <row r="30" spans="1:17" x14ac:dyDescent="0.3">
      <c r="A30" s="240"/>
      <c r="B30" s="240"/>
      <c r="D30" s="123"/>
      <c r="P30" s="240"/>
      <c r="Q30" s="240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/>
      <c r="J31" s="24"/>
      <c r="K31" s="24"/>
      <c r="N31" s="22" t="s">
        <v>29</v>
      </c>
      <c r="O31" s="24"/>
      <c r="P31" s="24"/>
      <c r="Q31" s="240"/>
    </row>
    <row r="32" spans="1:17" x14ac:dyDescent="0.3">
      <c r="A32" s="260" t="s">
        <v>30</v>
      </c>
      <c r="B32" s="240" t="s">
        <v>180</v>
      </c>
      <c r="N32" s="2" t="s">
        <v>176</v>
      </c>
      <c r="P32" s="240"/>
      <c r="Q32" s="240"/>
    </row>
    <row r="33" spans="1:27" x14ac:dyDescent="0.3">
      <c r="A33" s="260" t="s">
        <v>31</v>
      </c>
      <c r="B33" s="240" t="s">
        <v>181</v>
      </c>
      <c r="N33" s="2" t="s">
        <v>32</v>
      </c>
      <c r="P33" s="240"/>
      <c r="Q33" s="240"/>
    </row>
    <row r="34" spans="1:27" x14ac:dyDescent="0.3">
      <c r="A34" s="260" t="s">
        <v>38</v>
      </c>
      <c r="B34" s="240" t="s">
        <v>179</v>
      </c>
      <c r="N34" s="2" t="s">
        <v>184</v>
      </c>
      <c r="P34" s="240"/>
      <c r="Q34" s="240"/>
    </row>
    <row r="35" spans="1:27" x14ac:dyDescent="0.3">
      <c r="A35" s="240"/>
      <c r="B35" s="240"/>
      <c r="N35" s="2" t="s">
        <v>177</v>
      </c>
      <c r="P35" s="240"/>
      <c r="Q35" s="240"/>
    </row>
    <row r="36" spans="1:27" x14ac:dyDescent="0.3">
      <c r="Q36" s="240"/>
    </row>
    <row r="37" spans="1:27" x14ac:dyDescent="0.3">
      <c r="Q37" s="240"/>
    </row>
    <row r="38" spans="1:27" x14ac:dyDescent="0.3">
      <c r="Q38" s="240"/>
    </row>
    <row r="39" spans="1:27" x14ac:dyDescent="0.3">
      <c r="A39" s="240"/>
      <c r="B39" s="240"/>
      <c r="L39" s="125" t="s">
        <v>195</v>
      </c>
      <c r="P39" s="240"/>
      <c r="Q39" s="240"/>
      <c r="AA39"/>
    </row>
    <row r="40" spans="1:27" ht="15.6" x14ac:dyDescent="0.3">
      <c r="A40" s="265" t="s">
        <v>15</v>
      </c>
      <c r="B40" s="19" t="s">
        <v>19</v>
      </c>
      <c r="C40" s="26" t="s">
        <v>20</v>
      </c>
      <c r="D40" s="4">
        <v>8</v>
      </c>
      <c r="E40" s="26">
        <f>D40-1</f>
        <v>7</v>
      </c>
      <c r="F40" s="4">
        <f t="shared" ref="F40:L40" si="2">E40-1</f>
        <v>6</v>
      </c>
      <c r="G40" s="26">
        <f t="shared" si="2"/>
        <v>5</v>
      </c>
      <c r="H40" s="4">
        <f t="shared" si="2"/>
        <v>4</v>
      </c>
      <c r="I40" s="26">
        <f t="shared" si="2"/>
        <v>3</v>
      </c>
      <c r="J40" s="4">
        <f t="shared" si="2"/>
        <v>2</v>
      </c>
      <c r="K40" s="26">
        <f t="shared" si="2"/>
        <v>1</v>
      </c>
      <c r="L40" s="4">
        <f t="shared" si="2"/>
        <v>0</v>
      </c>
      <c r="M40" s="217" t="s">
        <v>26</v>
      </c>
      <c r="N40" s="217"/>
      <c r="O40" s="22" t="s">
        <v>27</v>
      </c>
      <c r="P40" s="24"/>
      <c r="Q40" s="240"/>
    </row>
    <row r="41" spans="1:27" ht="18" x14ac:dyDescent="0.3">
      <c r="A41" s="257" t="s">
        <v>143</v>
      </c>
      <c r="B41" s="235" t="s">
        <v>23</v>
      </c>
      <c r="C41" s="126">
        <v>5</v>
      </c>
      <c r="D41" s="127">
        <f>C41+1</f>
        <v>6</v>
      </c>
      <c r="E41" s="126">
        <f t="shared" ref="E41:L41" si="3">D41+1</f>
        <v>7</v>
      </c>
      <c r="F41" s="127">
        <f t="shared" si="3"/>
        <v>8</v>
      </c>
      <c r="G41" s="126">
        <f t="shared" si="3"/>
        <v>9</v>
      </c>
      <c r="H41" s="127">
        <f t="shared" si="3"/>
        <v>10</v>
      </c>
      <c r="I41" s="126">
        <f t="shared" si="3"/>
        <v>11</v>
      </c>
      <c r="J41" s="127">
        <f t="shared" si="3"/>
        <v>12</v>
      </c>
      <c r="K41" s="126">
        <f t="shared" si="3"/>
        <v>13</v>
      </c>
      <c r="L41" s="127">
        <f t="shared" si="3"/>
        <v>14</v>
      </c>
      <c r="M41" s="218" t="s">
        <v>106</v>
      </c>
      <c r="N41" s="218"/>
      <c r="P41" s="240"/>
      <c r="Q41" s="240"/>
    </row>
    <row r="42" spans="1:27" ht="18" x14ac:dyDescent="0.3">
      <c r="A42" s="257" t="s">
        <v>24</v>
      </c>
      <c r="B42" s="235" t="s">
        <v>23</v>
      </c>
      <c r="C42" s="126">
        <v>6</v>
      </c>
      <c r="D42" s="127">
        <f t="shared" ref="D42:L43" si="4">C42+1</f>
        <v>7</v>
      </c>
      <c r="E42" s="126">
        <f t="shared" si="4"/>
        <v>8</v>
      </c>
      <c r="F42" s="127">
        <f t="shared" si="4"/>
        <v>9</v>
      </c>
      <c r="G42" s="126">
        <f t="shared" si="4"/>
        <v>10</v>
      </c>
      <c r="H42" s="127">
        <f t="shared" si="4"/>
        <v>11</v>
      </c>
      <c r="I42" s="126">
        <f t="shared" si="4"/>
        <v>12</v>
      </c>
      <c r="J42" s="127">
        <f t="shared" si="4"/>
        <v>13</v>
      </c>
      <c r="K42" s="126">
        <f t="shared" si="4"/>
        <v>14</v>
      </c>
      <c r="L42" s="127">
        <f t="shared" si="4"/>
        <v>15</v>
      </c>
      <c r="M42" s="219" t="s">
        <v>107</v>
      </c>
      <c r="N42" s="219"/>
      <c r="O42" s="3" t="s">
        <v>115</v>
      </c>
      <c r="P42" s="240"/>
      <c r="Q42" s="240"/>
    </row>
    <row r="43" spans="1:27" ht="18" x14ac:dyDescent="0.3">
      <c r="A43" s="257" t="s">
        <v>25</v>
      </c>
      <c r="B43" s="235" t="s">
        <v>108</v>
      </c>
      <c r="C43" s="236">
        <v>8</v>
      </c>
      <c r="D43" s="237">
        <f t="shared" si="4"/>
        <v>9</v>
      </c>
      <c r="E43" s="236">
        <f t="shared" si="4"/>
        <v>10</v>
      </c>
      <c r="F43" s="237">
        <f t="shared" si="4"/>
        <v>11</v>
      </c>
      <c r="G43" s="236">
        <f t="shared" si="4"/>
        <v>12</v>
      </c>
      <c r="H43" s="237">
        <f t="shared" si="4"/>
        <v>13</v>
      </c>
      <c r="I43" s="236">
        <f t="shared" si="4"/>
        <v>14</v>
      </c>
      <c r="J43" s="237">
        <f t="shared" si="4"/>
        <v>15</v>
      </c>
      <c r="K43" s="236">
        <f t="shared" si="4"/>
        <v>16</v>
      </c>
      <c r="L43" s="237">
        <f t="shared" si="4"/>
        <v>17</v>
      </c>
      <c r="M43" s="238" t="s">
        <v>28</v>
      </c>
      <c r="N43" s="238"/>
      <c r="O43" s="239"/>
      <c r="P43" s="240"/>
      <c r="Q43" s="240"/>
    </row>
    <row r="44" spans="1:27" x14ac:dyDescent="0.3">
      <c r="A44" s="240"/>
      <c r="B44" s="240"/>
    </row>
  </sheetData>
  <mergeCells count="19">
    <mergeCell ref="M42:N42"/>
    <mergeCell ref="M43:N43"/>
    <mergeCell ref="N20:P20"/>
    <mergeCell ref="M40:N40"/>
    <mergeCell ref="M41:N41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ageMargins left="0" right="0" top="0" bottom="0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49"/>
  <sheetViews>
    <sheetView zoomScale="120" zoomScaleNormal="120" workbookViewId="0">
      <selection activeCell="J3" sqref="J3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Elf!F4</f>
        <v>24</v>
      </c>
      <c r="E1" s="2" t="s">
        <v>212</v>
      </c>
      <c r="G1" s="198" t="str">
        <f>Elf!G4</f>
        <v>+8</v>
      </c>
      <c r="I1" s="2" t="s">
        <v>215</v>
      </c>
      <c r="K1" s="198"/>
      <c r="M1" s="2" t="s">
        <v>214</v>
      </c>
      <c r="O1" s="201">
        <f>Elf!P22+Elf!P29</f>
        <v>17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20" zoomScale="120" zoomScaleNormal="120" workbookViewId="0">
      <selection activeCell="G47" sqref="G47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161</v>
      </c>
      <c r="C1" s="36"/>
      <c r="D1" s="37"/>
      <c r="E1" s="38"/>
      <c r="F1" s="39"/>
      <c r="G1" s="40" t="s">
        <v>172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162</v>
      </c>
      <c r="C2" s="28"/>
      <c r="D2" s="98"/>
      <c r="E2" s="29" t="s">
        <v>33</v>
      </c>
      <c r="F2" s="30"/>
      <c r="G2" s="30" t="s">
        <v>162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02" t="s">
        <v>46</v>
      </c>
      <c r="F4" s="103">
        <v>22</v>
      </c>
      <c r="G4" s="199" t="s">
        <v>163</v>
      </c>
      <c r="H4" s="200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75">
        <v>44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13</v>
      </c>
      <c r="B6" s="106" t="s">
        <v>2</v>
      </c>
      <c r="C6" s="210" t="s">
        <v>164</v>
      </c>
      <c r="D6" s="210"/>
      <c r="E6" s="210"/>
      <c r="F6" s="210"/>
      <c r="G6" s="210"/>
      <c r="H6" s="210"/>
      <c r="I6" s="210"/>
      <c r="J6" s="107">
        <v>1</v>
      </c>
      <c r="K6" s="107"/>
      <c r="L6" s="166"/>
      <c r="M6" s="211" t="s">
        <v>347</v>
      </c>
      <c r="N6" s="211"/>
      <c r="O6" s="211"/>
      <c r="P6" s="52">
        <v>6</v>
      </c>
    </row>
    <row r="7" spans="1:16" ht="32.4" customHeight="1" x14ac:dyDescent="0.3">
      <c r="A7" s="51">
        <v>10</v>
      </c>
      <c r="B7" s="106" t="s">
        <v>3</v>
      </c>
      <c r="C7" s="210" t="s">
        <v>86</v>
      </c>
      <c r="D7" s="210"/>
      <c r="E7" s="210"/>
      <c r="F7" s="210"/>
      <c r="G7" s="210"/>
      <c r="H7" s="210"/>
      <c r="I7" s="210"/>
      <c r="J7" s="107">
        <v>0</v>
      </c>
      <c r="K7" s="107"/>
      <c r="M7" s="211" t="s">
        <v>11</v>
      </c>
      <c r="N7" s="211"/>
      <c r="O7" s="211"/>
      <c r="P7" s="52">
        <v>7</v>
      </c>
    </row>
    <row r="8" spans="1:16" ht="32.4" customHeight="1" x14ac:dyDescent="0.3">
      <c r="A8" s="51">
        <v>16</v>
      </c>
      <c r="B8" s="106" t="s">
        <v>4</v>
      </c>
      <c r="C8" s="210" t="s">
        <v>127</v>
      </c>
      <c r="D8" s="210"/>
      <c r="E8" s="210"/>
      <c r="F8" s="210"/>
      <c r="G8" s="210"/>
      <c r="H8" s="210"/>
      <c r="I8" s="210"/>
      <c r="J8" s="107">
        <v>2</v>
      </c>
      <c r="K8" s="107"/>
      <c r="M8" s="211" t="s">
        <v>14</v>
      </c>
      <c r="N8" s="211"/>
      <c r="O8" s="211"/>
      <c r="P8" s="52">
        <v>8</v>
      </c>
    </row>
    <row r="9" spans="1:16" ht="32.4" customHeight="1" x14ac:dyDescent="0.3">
      <c r="A9" s="51">
        <v>10</v>
      </c>
      <c r="B9" s="106" t="s">
        <v>5</v>
      </c>
      <c r="C9" s="210" t="s">
        <v>165</v>
      </c>
      <c r="D9" s="210"/>
      <c r="E9" s="210"/>
      <c r="F9" s="210"/>
      <c r="G9" s="210"/>
      <c r="H9" s="210"/>
      <c r="I9" s="210"/>
      <c r="J9" s="107">
        <v>0</v>
      </c>
      <c r="K9" s="107"/>
      <c r="M9" s="211" t="s">
        <v>12</v>
      </c>
      <c r="N9" s="211"/>
      <c r="O9" s="211"/>
      <c r="P9" s="52">
        <v>10</v>
      </c>
    </row>
    <row r="10" spans="1:16" ht="32.4" customHeight="1" x14ac:dyDescent="0.3">
      <c r="A10" s="51">
        <v>13</v>
      </c>
      <c r="B10" s="106" t="s">
        <v>6</v>
      </c>
      <c r="C10" s="210" t="s">
        <v>166</v>
      </c>
      <c r="D10" s="210"/>
      <c r="E10" s="210"/>
      <c r="F10" s="210"/>
      <c r="G10" s="210"/>
      <c r="H10" s="210"/>
      <c r="I10" s="210"/>
      <c r="J10" s="107">
        <v>1</v>
      </c>
      <c r="K10" s="107"/>
      <c r="M10" s="211" t="s">
        <v>13</v>
      </c>
      <c r="N10" s="211"/>
      <c r="O10" s="211"/>
      <c r="P10" s="52">
        <v>9</v>
      </c>
    </row>
    <row r="11" spans="1:16" ht="32.4" customHeight="1" x14ac:dyDescent="0.3">
      <c r="A11" s="51">
        <v>11</v>
      </c>
      <c r="B11" s="106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13"/>
    </row>
    <row r="12" spans="1:16" ht="9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206" t="s">
        <v>167</v>
      </c>
      <c r="B14" s="207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3" t="s">
        <v>346</v>
      </c>
      <c r="L14" s="162" t="s">
        <v>47</v>
      </c>
      <c r="N14" s="3" t="s">
        <v>56</v>
      </c>
      <c r="P14" s="48"/>
    </row>
    <row r="15" spans="1:16" s="3" customFormat="1" ht="15.6" customHeight="1" x14ac:dyDescent="0.3">
      <c r="A15" s="208"/>
      <c r="B15" s="209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4" t="s">
        <v>47</v>
      </c>
      <c r="L15" s="165" t="s">
        <v>47</v>
      </c>
      <c r="N15" s="3" t="s">
        <v>132</v>
      </c>
      <c r="P15" s="48"/>
    </row>
    <row r="16" spans="1:16" s="3" customFormat="1" ht="15.6" customHeight="1" x14ac:dyDescent="0.3">
      <c r="A16" s="208"/>
      <c r="B16" s="209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3">
        <f>J16+(J16/2)</f>
        <v>18</v>
      </c>
      <c r="L16" s="214" t="s">
        <v>344</v>
      </c>
      <c r="N16" s="3" t="s">
        <v>147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4">
        <f t="shared" ref="K17:K18" si="1">J17+(J17/2)</f>
        <v>3</v>
      </c>
      <c r="L17" s="214"/>
      <c r="N17" s="3" t="s">
        <v>59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3">
        <f t="shared" si="1"/>
        <v>3</v>
      </c>
      <c r="L18" s="214"/>
      <c r="N18" s="3" t="s">
        <v>661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69</v>
      </c>
      <c r="I19" s="117" t="s">
        <v>68</v>
      </c>
      <c r="J19" s="117"/>
      <c r="K19" s="164" t="s">
        <v>47</v>
      </c>
      <c r="L19" s="165" t="s">
        <v>47</v>
      </c>
      <c r="N19" s="3" t="s">
        <v>171</v>
      </c>
      <c r="P19" s="48"/>
    </row>
    <row r="20" spans="1:16" s="3" customFormat="1" ht="15.6" customHeight="1" x14ac:dyDescent="0.3">
      <c r="A20" s="18"/>
      <c r="B20" s="18"/>
      <c r="N20" s="215" t="s">
        <v>117</v>
      </c>
      <c r="O20" s="215"/>
      <c r="P20" s="216"/>
    </row>
    <row r="21" spans="1:16" s="3" customFormat="1" ht="15.6" customHeight="1" x14ac:dyDescent="0.3">
      <c r="A21" s="178" t="s">
        <v>671</v>
      </c>
      <c r="B21" s="21"/>
      <c r="D21" s="118"/>
      <c r="O21" s="144"/>
      <c r="P21" s="59"/>
    </row>
    <row r="22" spans="1:16" ht="15.6" customHeight="1" x14ac:dyDescent="0.3">
      <c r="A22" s="178" t="s">
        <v>672</v>
      </c>
      <c r="B22" s="21"/>
      <c r="D22" s="118"/>
      <c r="N22" s="119"/>
      <c r="O22" s="119" t="s">
        <v>46</v>
      </c>
      <c r="P22" s="60">
        <v>11</v>
      </c>
    </row>
    <row r="23" spans="1:16" ht="15.6" customHeight="1" x14ac:dyDescent="0.3">
      <c r="A23" s="178" t="s">
        <v>673</v>
      </c>
      <c r="B23" s="21"/>
      <c r="D23" s="118"/>
      <c r="M23" s="108"/>
      <c r="N23" s="120"/>
      <c r="O23" s="21"/>
      <c r="P23" s="61"/>
    </row>
    <row r="24" spans="1:16" ht="15.6" customHeight="1" x14ac:dyDescent="0.3">
      <c r="A24" s="178" t="s">
        <v>674</v>
      </c>
      <c r="B24" s="21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78" t="s">
        <v>675</v>
      </c>
      <c r="B25" s="21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1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D27" s="122"/>
      <c r="N27" s="121" t="s">
        <v>43</v>
      </c>
      <c r="O27" s="21"/>
      <c r="P27" s="63"/>
    </row>
    <row r="28" spans="1:16" ht="15.6" customHeight="1" x14ac:dyDescent="0.3">
      <c r="A28" s="179" t="s">
        <v>678</v>
      </c>
      <c r="D28" s="123"/>
      <c r="N28" s="121" t="s">
        <v>40</v>
      </c>
      <c r="O28" s="21"/>
      <c r="P28" s="63"/>
    </row>
    <row r="29" spans="1:16" ht="15.6" customHeight="1" x14ac:dyDescent="0.3">
      <c r="A29" s="179" t="s">
        <v>681</v>
      </c>
      <c r="D29" s="123"/>
      <c r="N29" s="124"/>
      <c r="O29" s="119" t="s">
        <v>46</v>
      </c>
      <c r="P29" s="60">
        <v>5</v>
      </c>
    </row>
    <row r="30" spans="1:16" x14ac:dyDescent="0.3">
      <c r="A30" s="54"/>
      <c r="D30" s="123"/>
      <c r="P30" s="53"/>
    </row>
    <row r="31" spans="1:16" ht="15.6" customHeight="1" x14ac:dyDescent="0.3">
      <c r="A31" s="73" t="s">
        <v>122</v>
      </c>
      <c r="B31" s="142"/>
      <c r="C31" s="142" t="s">
        <v>8</v>
      </c>
      <c r="E31" s="118"/>
      <c r="N31" s="22" t="s">
        <v>29</v>
      </c>
      <c r="O31" s="24"/>
      <c r="P31" s="50"/>
    </row>
    <row r="32" spans="1:16" ht="15.6" x14ac:dyDescent="0.3">
      <c r="A32" s="64" t="s">
        <v>121</v>
      </c>
      <c r="B32" s="5"/>
      <c r="C32" s="143">
        <v>2</v>
      </c>
      <c r="E32" s="118"/>
      <c r="N32" s="2" t="s">
        <v>53</v>
      </c>
      <c r="P32" s="53"/>
    </row>
    <row r="33" spans="1:27" x14ac:dyDescent="0.3">
      <c r="A33" s="64" t="s">
        <v>119</v>
      </c>
      <c r="B33" s="5"/>
      <c r="C33" s="5">
        <v>3</v>
      </c>
      <c r="E33" s="118"/>
      <c r="N33" s="2" t="s">
        <v>32</v>
      </c>
      <c r="P33" s="53"/>
    </row>
    <row r="34" spans="1:27" x14ac:dyDescent="0.3">
      <c r="A34" s="64" t="s">
        <v>144</v>
      </c>
      <c r="B34" s="5"/>
      <c r="C34" s="5">
        <v>3</v>
      </c>
      <c r="N34" s="2" t="s">
        <v>54</v>
      </c>
      <c r="P34" s="53"/>
    </row>
    <row r="35" spans="1:27" x14ac:dyDescent="0.3">
      <c r="A35" s="64" t="s">
        <v>24</v>
      </c>
      <c r="B35" s="5"/>
      <c r="C35" s="5">
        <v>3</v>
      </c>
      <c r="N35" s="2" t="s">
        <v>168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217" t="s">
        <v>26</v>
      </c>
      <c r="N37" s="217"/>
      <c r="O37" s="22" t="s">
        <v>27</v>
      </c>
      <c r="P37" s="50"/>
    </row>
    <row r="38" spans="1:27" ht="18" x14ac:dyDescent="0.3">
      <c r="A38" s="65" t="s">
        <v>105</v>
      </c>
      <c r="B38" s="1" t="s">
        <v>211</v>
      </c>
      <c r="C38" s="126">
        <v>6</v>
      </c>
      <c r="D38" s="127">
        <f>C38+1</f>
        <v>7</v>
      </c>
      <c r="E38" s="126">
        <f t="shared" ref="E38:L38" si="3">D38+1</f>
        <v>8</v>
      </c>
      <c r="F38" s="127">
        <f t="shared" si="3"/>
        <v>9</v>
      </c>
      <c r="G38" s="126">
        <f t="shared" si="3"/>
        <v>10</v>
      </c>
      <c r="H38" s="127">
        <f t="shared" si="3"/>
        <v>11</v>
      </c>
      <c r="I38" s="126">
        <f t="shared" si="3"/>
        <v>12</v>
      </c>
      <c r="J38" s="127">
        <f t="shared" si="3"/>
        <v>13</v>
      </c>
      <c r="K38" s="126">
        <f t="shared" si="3"/>
        <v>14</v>
      </c>
      <c r="L38" s="127">
        <f t="shared" si="3"/>
        <v>15</v>
      </c>
      <c r="M38" s="218" t="s">
        <v>178</v>
      </c>
      <c r="N38" s="218"/>
      <c r="O38" s="2" t="s">
        <v>662</v>
      </c>
      <c r="P38" s="53"/>
    </row>
    <row r="39" spans="1:27" ht="18" x14ac:dyDescent="0.3">
      <c r="A39" s="65" t="s">
        <v>24</v>
      </c>
      <c r="B39" s="1" t="s">
        <v>23</v>
      </c>
      <c r="C39" s="126">
        <v>7</v>
      </c>
      <c r="D39" s="127">
        <f t="shared" ref="D39:L40" si="4">C39+1</f>
        <v>8</v>
      </c>
      <c r="E39" s="126">
        <f t="shared" si="4"/>
        <v>9</v>
      </c>
      <c r="F39" s="127">
        <f t="shared" si="4"/>
        <v>10</v>
      </c>
      <c r="G39" s="126">
        <f t="shared" si="4"/>
        <v>11</v>
      </c>
      <c r="H39" s="127">
        <f t="shared" si="4"/>
        <v>12</v>
      </c>
      <c r="I39" s="126">
        <f t="shared" si="4"/>
        <v>13</v>
      </c>
      <c r="J39" s="127">
        <f t="shared" si="4"/>
        <v>14</v>
      </c>
      <c r="K39" s="126">
        <f t="shared" si="4"/>
        <v>15</v>
      </c>
      <c r="L39" s="127">
        <f t="shared" si="4"/>
        <v>16</v>
      </c>
      <c r="M39" s="219" t="s">
        <v>170</v>
      </c>
      <c r="N39" s="219"/>
      <c r="O39" s="3" t="s">
        <v>115</v>
      </c>
      <c r="P39" s="53"/>
      <c r="AA39"/>
    </row>
    <row r="40" spans="1:27" ht="18.600000000000001" thickBot="1" x14ac:dyDescent="0.35">
      <c r="A40" s="67" t="s">
        <v>144</v>
      </c>
      <c r="B40" s="68" t="s">
        <v>169</v>
      </c>
      <c r="C40" s="69">
        <v>8</v>
      </c>
      <c r="D40" s="70">
        <f t="shared" si="4"/>
        <v>9</v>
      </c>
      <c r="E40" s="69">
        <f t="shared" si="4"/>
        <v>10</v>
      </c>
      <c r="F40" s="70">
        <f t="shared" si="4"/>
        <v>11</v>
      </c>
      <c r="G40" s="69">
        <f t="shared" si="4"/>
        <v>12</v>
      </c>
      <c r="H40" s="70">
        <f t="shared" si="4"/>
        <v>13</v>
      </c>
      <c r="I40" s="69">
        <f t="shared" si="4"/>
        <v>14</v>
      </c>
      <c r="J40" s="70">
        <f t="shared" si="4"/>
        <v>15</v>
      </c>
      <c r="K40" s="69">
        <f t="shared" si="4"/>
        <v>16</v>
      </c>
      <c r="L40" s="70">
        <f t="shared" si="4"/>
        <v>17</v>
      </c>
      <c r="M40" s="220" t="s">
        <v>28</v>
      </c>
      <c r="N40" s="220"/>
      <c r="O40" s="71" t="s">
        <v>116</v>
      </c>
      <c r="P40" s="72"/>
    </row>
  </sheetData>
  <mergeCells count="19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49"/>
  <sheetViews>
    <sheetView zoomScale="120" zoomScaleNormal="120" workbookViewId="0">
      <selection activeCell="J3" sqref="J3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Dwarf!F4</f>
        <v>22</v>
      </c>
      <c r="E1" s="2" t="s">
        <v>212</v>
      </c>
      <c r="G1" s="198" t="str">
        <f>Dwarf!G4</f>
        <v>+7</v>
      </c>
      <c r="I1" s="2" t="s">
        <v>215</v>
      </c>
      <c r="K1" s="14"/>
      <c r="M1" s="2" t="s">
        <v>214</v>
      </c>
      <c r="O1" s="201">
        <f>Dwarf!P22+Dwarf!P29</f>
        <v>16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26" zoomScale="120" zoomScaleNormal="120" workbookViewId="0">
      <selection activeCell="J54" sqref="J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141</v>
      </c>
      <c r="C1" s="36"/>
      <c r="D1" s="37"/>
      <c r="E1" s="38"/>
      <c r="F1" s="39"/>
      <c r="G1" s="40" t="s">
        <v>160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140</v>
      </c>
      <c r="H2" s="30"/>
      <c r="I2" s="31" t="s">
        <v>101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4</v>
      </c>
      <c r="C4" s="1"/>
      <c r="E4" s="102" t="s">
        <v>46</v>
      </c>
      <c r="F4" s="103">
        <v>20</v>
      </c>
      <c r="G4" s="199" t="s">
        <v>62</v>
      </c>
      <c r="H4" s="200" t="s">
        <v>665</v>
      </c>
      <c r="I4" s="1"/>
      <c r="J4" s="104"/>
      <c r="L4" s="105" t="s">
        <v>92</v>
      </c>
      <c r="M4" s="103">
        <v>2</v>
      </c>
      <c r="N4" s="1"/>
      <c r="O4" s="102" t="s">
        <v>9</v>
      </c>
      <c r="P4" s="75">
        <v>26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9</v>
      </c>
      <c r="B6" s="106" t="s">
        <v>2</v>
      </c>
      <c r="C6" s="210" t="s">
        <v>84</v>
      </c>
      <c r="D6" s="210"/>
      <c r="E6" s="210"/>
      <c r="F6" s="210"/>
      <c r="G6" s="210"/>
      <c r="H6" s="210"/>
      <c r="I6" s="210"/>
      <c r="J6" s="107">
        <v>0</v>
      </c>
      <c r="K6" s="107"/>
      <c r="L6" s="166"/>
      <c r="M6" s="211" t="s">
        <v>347</v>
      </c>
      <c r="N6" s="211"/>
      <c r="O6" s="211"/>
      <c r="P6" s="52">
        <v>12</v>
      </c>
    </row>
    <row r="7" spans="1:16" ht="32.4" customHeight="1" x14ac:dyDescent="0.3">
      <c r="A7" s="51">
        <v>16</v>
      </c>
      <c r="B7" s="106" t="s">
        <v>3</v>
      </c>
      <c r="C7" s="210" t="s">
        <v>113</v>
      </c>
      <c r="D7" s="210"/>
      <c r="E7" s="210"/>
      <c r="F7" s="210"/>
      <c r="G7" s="210"/>
      <c r="H7" s="210"/>
      <c r="I7" s="210"/>
      <c r="J7" s="107">
        <v>2</v>
      </c>
      <c r="K7" s="107"/>
      <c r="M7" s="211" t="s">
        <v>11</v>
      </c>
      <c r="N7" s="211"/>
      <c r="O7" s="211"/>
      <c r="P7" s="52">
        <v>13</v>
      </c>
    </row>
    <row r="8" spans="1:16" ht="32.4" customHeight="1" x14ac:dyDescent="0.3">
      <c r="A8" s="51">
        <v>13</v>
      </c>
      <c r="B8" s="106" t="s">
        <v>4</v>
      </c>
      <c r="C8" s="210" t="s">
        <v>127</v>
      </c>
      <c r="D8" s="210"/>
      <c r="E8" s="210"/>
      <c r="F8" s="210"/>
      <c r="G8" s="210"/>
      <c r="H8" s="210"/>
      <c r="I8" s="210"/>
      <c r="J8" s="107">
        <v>1</v>
      </c>
      <c r="K8" s="107"/>
      <c r="M8" s="211" t="s">
        <v>14</v>
      </c>
      <c r="N8" s="211"/>
      <c r="O8" s="211"/>
      <c r="P8" s="52">
        <v>11</v>
      </c>
    </row>
    <row r="9" spans="1:16" ht="32.4" customHeight="1" x14ac:dyDescent="0.3">
      <c r="A9" s="51">
        <v>14</v>
      </c>
      <c r="B9" s="106" t="s">
        <v>5</v>
      </c>
      <c r="C9" s="210" t="s">
        <v>128</v>
      </c>
      <c r="D9" s="210"/>
      <c r="E9" s="210"/>
      <c r="F9" s="210"/>
      <c r="G9" s="210"/>
      <c r="H9" s="210"/>
      <c r="I9" s="210"/>
      <c r="J9" s="107">
        <v>1</v>
      </c>
      <c r="K9" s="107"/>
      <c r="M9" s="211" t="s">
        <v>12</v>
      </c>
      <c r="N9" s="211"/>
      <c r="O9" s="211"/>
      <c r="P9" s="52">
        <v>14</v>
      </c>
    </row>
    <row r="10" spans="1:16" ht="32.4" customHeight="1" x14ac:dyDescent="0.3">
      <c r="A10" s="51">
        <v>6</v>
      </c>
      <c r="B10" s="106" t="s">
        <v>6</v>
      </c>
      <c r="C10" s="210" t="s">
        <v>114</v>
      </c>
      <c r="D10" s="210"/>
      <c r="E10" s="210"/>
      <c r="F10" s="210"/>
      <c r="G10" s="210"/>
      <c r="H10" s="210"/>
      <c r="I10" s="210"/>
      <c r="J10" s="107">
        <v>-1</v>
      </c>
      <c r="K10" s="107"/>
      <c r="M10" s="211" t="s">
        <v>13</v>
      </c>
      <c r="N10" s="211"/>
      <c r="O10" s="211"/>
      <c r="P10" s="52">
        <v>12</v>
      </c>
    </row>
    <row r="11" spans="1:16" ht="32.4" customHeight="1" x14ac:dyDescent="0.3">
      <c r="A11" s="51">
        <v>10</v>
      </c>
      <c r="B11" s="106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13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206" t="s">
        <v>167</v>
      </c>
      <c r="B14" s="207"/>
      <c r="D14" s="108" t="s">
        <v>21</v>
      </c>
      <c r="E14" s="108"/>
      <c r="G14" s="81" t="s">
        <v>70</v>
      </c>
      <c r="H14" s="110">
        <v>40</v>
      </c>
      <c r="I14" s="1">
        <f>J14*1.5</f>
        <v>12</v>
      </c>
      <c r="J14" s="1">
        <f>H14/5</f>
        <v>8</v>
      </c>
      <c r="K14" s="163" t="s">
        <v>669</v>
      </c>
      <c r="L14" s="162" t="s">
        <v>47</v>
      </c>
      <c r="N14" s="3" t="s">
        <v>146</v>
      </c>
      <c r="P14" s="48"/>
    </row>
    <row r="15" spans="1:16" s="3" customFormat="1" ht="15.6" customHeight="1" x14ac:dyDescent="0.3">
      <c r="A15" s="208"/>
      <c r="B15" s="209"/>
      <c r="D15" s="111" t="s">
        <v>37</v>
      </c>
      <c r="E15" s="111"/>
      <c r="F15" s="112"/>
      <c r="G15" s="113" t="s">
        <v>71</v>
      </c>
      <c r="H15" s="114">
        <f>H14*3</f>
        <v>120</v>
      </c>
      <c r="I15" s="114">
        <f>J15*1.5</f>
        <v>36</v>
      </c>
      <c r="J15" s="114">
        <f t="shared" ref="J15:J18" si="0">H15/5</f>
        <v>24</v>
      </c>
      <c r="K15" s="164" t="s">
        <v>47</v>
      </c>
      <c r="L15" s="165" t="s">
        <v>47</v>
      </c>
      <c r="N15" s="3" t="s">
        <v>132</v>
      </c>
      <c r="P15" s="48"/>
    </row>
    <row r="16" spans="1:16" s="3" customFormat="1" ht="15.6" customHeight="1" x14ac:dyDescent="0.3">
      <c r="A16" s="208"/>
      <c r="B16" s="209"/>
      <c r="D16" s="108" t="s">
        <v>18</v>
      </c>
      <c r="E16" s="108"/>
      <c r="G16" s="81" t="s">
        <v>70</v>
      </c>
      <c r="H16" s="110">
        <f>H14*3</f>
        <v>120</v>
      </c>
      <c r="I16" s="1">
        <f>J16*1.5</f>
        <v>36</v>
      </c>
      <c r="J16" s="1">
        <f t="shared" si="0"/>
        <v>24</v>
      </c>
      <c r="K16" s="163">
        <f>J16+(J16/2)</f>
        <v>36</v>
      </c>
      <c r="L16" s="214" t="s">
        <v>344</v>
      </c>
      <c r="N16" s="3" t="s">
        <v>147</v>
      </c>
      <c r="P16" s="48"/>
    </row>
    <row r="17" spans="1:21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20</v>
      </c>
      <c r="I17" s="114">
        <f>J17*1.5</f>
        <v>6</v>
      </c>
      <c r="J17" s="114">
        <f t="shared" si="0"/>
        <v>4</v>
      </c>
      <c r="K17" s="164">
        <f t="shared" ref="K17:K18" si="1">J17+(J17/2)</f>
        <v>6</v>
      </c>
      <c r="L17" s="214"/>
      <c r="N17" s="3" t="s">
        <v>59</v>
      </c>
      <c r="P17" s="48"/>
    </row>
    <row r="18" spans="1:21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20</v>
      </c>
      <c r="I18" s="1">
        <f>J18*1.5</f>
        <v>6</v>
      </c>
      <c r="J18" s="1">
        <f t="shared" si="0"/>
        <v>4</v>
      </c>
      <c r="K18" s="163">
        <f t="shared" si="1"/>
        <v>6</v>
      </c>
      <c r="L18" s="214"/>
      <c r="N18" s="3" t="s">
        <v>148</v>
      </c>
      <c r="P18" s="48"/>
    </row>
    <row r="19" spans="1:21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131</v>
      </c>
      <c r="I19" s="117" t="s">
        <v>130</v>
      </c>
      <c r="J19" s="117"/>
      <c r="K19" s="164" t="s">
        <v>47</v>
      </c>
      <c r="L19" s="165" t="s">
        <v>47</v>
      </c>
      <c r="N19" s="3" t="s">
        <v>149</v>
      </c>
      <c r="P19" s="48"/>
    </row>
    <row r="20" spans="1:21" s="3" customFormat="1" ht="15.6" customHeight="1" x14ac:dyDescent="0.3">
      <c r="B20" s="18"/>
      <c r="N20" s="215" t="s">
        <v>117</v>
      </c>
      <c r="O20" s="215"/>
      <c r="P20" s="216"/>
    </row>
    <row r="21" spans="1:21" s="3" customFormat="1" ht="15.6" customHeight="1" x14ac:dyDescent="0.3">
      <c r="A21" s="178" t="s">
        <v>671</v>
      </c>
      <c r="B21" s="21"/>
      <c r="D21" s="118"/>
      <c r="O21" s="144"/>
      <c r="P21" s="59"/>
    </row>
    <row r="22" spans="1:21" ht="15.6" customHeight="1" x14ac:dyDescent="0.3">
      <c r="A22" s="178" t="s">
        <v>672</v>
      </c>
      <c r="B22" s="21"/>
      <c r="D22" s="118"/>
      <c r="N22" s="119"/>
      <c r="O22" s="119" t="s">
        <v>46</v>
      </c>
      <c r="P22" s="60">
        <v>9</v>
      </c>
      <c r="U22" s="18"/>
    </row>
    <row r="23" spans="1:21" ht="15.6" customHeight="1" x14ac:dyDescent="0.3">
      <c r="A23" s="178" t="s">
        <v>673</v>
      </c>
      <c r="B23" s="21"/>
      <c r="D23" s="118"/>
      <c r="M23" s="108"/>
      <c r="N23" s="120"/>
      <c r="O23" s="21"/>
      <c r="P23" s="61"/>
      <c r="U23" s="20"/>
    </row>
    <row r="24" spans="1:21" ht="15.6" customHeight="1" x14ac:dyDescent="0.3">
      <c r="A24" s="178" t="s">
        <v>674</v>
      </c>
      <c r="B24" s="21"/>
      <c r="D24" s="118"/>
      <c r="M24" s="108"/>
      <c r="N24" s="34"/>
      <c r="O24" s="34" t="s">
        <v>216</v>
      </c>
      <c r="P24" s="62" t="s">
        <v>217</v>
      </c>
      <c r="T24" s="18"/>
      <c r="U24" s="18"/>
    </row>
    <row r="25" spans="1:21" ht="15.6" customHeight="1" x14ac:dyDescent="0.3">
      <c r="A25" s="178" t="s">
        <v>675</v>
      </c>
      <c r="B25" s="21"/>
      <c r="D25" s="118"/>
      <c r="N25" s="121" t="s">
        <v>42</v>
      </c>
      <c r="O25" s="21"/>
      <c r="P25" s="63"/>
      <c r="T25" s="18"/>
      <c r="U25" s="18"/>
    </row>
    <row r="26" spans="1:21" ht="15.6" customHeight="1" x14ac:dyDescent="0.3">
      <c r="A26" s="94" t="s">
        <v>676</v>
      </c>
      <c r="B26" s="21"/>
      <c r="D26" s="122"/>
      <c r="N26" s="121" t="s">
        <v>39</v>
      </c>
      <c r="O26" s="21"/>
      <c r="P26" s="63">
        <v>500</v>
      </c>
      <c r="T26" s="21"/>
      <c r="U26" s="21"/>
    </row>
    <row r="27" spans="1:21" ht="15.6" customHeight="1" x14ac:dyDescent="0.3">
      <c r="A27" s="94" t="s">
        <v>677</v>
      </c>
      <c r="D27" s="122"/>
      <c r="N27" s="121" t="s">
        <v>43</v>
      </c>
      <c r="O27" s="21"/>
      <c r="P27" s="63"/>
      <c r="T27" s="21"/>
      <c r="U27" s="21"/>
    </row>
    <row r="28" spans="1:21" ht="15.6" customHeight="1" x14ac:dyDescent="0.3">
      <c r="A28" s="179" t="s">
        <v>678</v>
      </c>
      <c r="D28" s="123"/>
      <c r="N28" s="121" t="s">
        <v>40</v>
      </c>
      <c r="O28" s="21"/>
      <c r="P28" s="63"/>
      <c r="T28" s="21"/>
      <c r="U28" s="21"/>
    </row>
    <row r="29" spans="1:21" ht="15.6" customHeight="1" x14ac:dyDescent="0.3">
      <c r="A29" s="179" t="s">
        <v>681</v>
      </c>
      <c r="D29" s="123"/>
      <c r="N29" s="124"/>
      <c r="O29" s="119" t="s">
        <v>46</v>
      </c>
      <c r="P29" s="60">
        <v>5</v>
      </c>
      <c r="T29" s="21"/>
      <c r="U29" s="21"/>
    </row>
    <row r="30" spans="1:21" x14ac:dyDescent="0.3">
      <c r="P30" s="53"/>
      <c r="T30" s="21"/>
      <c r="U30" s="21"/>
    </row>
    <row r="31" spans="1:21" ht="15.6" customHeight="1" x14ac:dyDescent="0.3">
      <c r="P31" s="53"/>
      <c r="T31" s="21"/>
      <c r="U31" s="21"/>
    </row>
    <row r="32" spans="1:21" x14ac:dyDescent="0.3">
      <c r="A32" s="47" t="s">
        <v>152</v>
      </c>
      <c r="C32" s="145">
        <v>0.45</v>
      </c>
      <c r="E32" s="204" t="s">
        <v>155</v>
      </c>
      <c r="F32" s="5"/>
      <c r="J32" s="145">
        <v>0.92</v>
      </c>
      <c r="N32" s="22" t="s">
        <v>29</v>
      </c>
      <c r="O32" s="24"/>
      <c r="P32" s="50"/>
    </row>
    <row r="33" spans="1:27" x14ac:dyDescent="0.3">
      <c r="A33" s="47" t="s">
        <v>157</v>
      </c>
      <c r="C33" s="145">
        <v>0.4</v>
      </c>
      <c r="E33" s="204" t="s">
        <v>156</v>
      </c>
      <c r="F33" s="5"/>
      <c r="J33" s="145">
        <v>0.36</v>
      </c>
      <c r="N33" s="2" t="s">
        <v>53</v>
      </c>
      <c r="P33" s="53"/>
    </row>
    <row r="34" spans="1:27" x14ac:dyDescent="0.3">
      <c r="A34" s="64" t="s">
        <v>153</v>
      </c>
      <c r="B34" s="142"/>
      <c r="C34" s="145">
        <v>0.45</v>
      </c>
      <c r="E34" s="204" t="s">
        <v>158</v>
      </c>
      <c r="F34" s="5"/>
      <c r="J34" s="145">
        <v>0.8</v>
      </c>
      <c r="N34" s="2" t="s">
        <v>150</v>
      </c>
      <c r="P34" s="53"/>
    </row>
    <row r="35" spans="1:27" x14ac:dyDescent="0.3">
      <c r="A35" s="64" t="s">
        <v>154</v>
      </c>
      <c r="B35" s="5"/>
      <c r="C35" s="145">
        <v>0.45</v>
      </c>
      <c r="E35" s="146" t="s">
        <v>159</v>
      </c>
      <c r="N35" s="2" t="s">
        <v>151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217" t="s">
        <v>26</v>
      </c>
      <c r="N37" s="217"/>
      <c r="O37" s="22" t="s">
        <v>27</v>
      </c>
      <c r="P37" s="50"/>
    </row>
    <row r="38" spans="1:27" ht="18" x14ac:dyDescent="0.3">
      <c r="A38" s="65" t="s">
        <v>143</v>
      </c>
      <c r="B38" s="1" t="s">
        <v>23</v>
      </c>
      <c r="C38" s="126">
        <v>8</v>
      </c>
      <c r="D38" s="127">
        <f>C38+1</f>
        <v>9</v>
      </c>
      <c r="E38" s="126">
        <f t="shared" ref="E38:L38" si="3">D38+1</f>
        <v>10</v>
      </c>
      <c r="F38" s="127">
        <f t="shared" si="3"/>
        <v>11</v>
      </c>
      <c r="G38" s="126">
        <f t="shared" si="3"/>
        <v>12</v>
      </c>
      <c r="H38" s="127">
        <f t="shared" si="3"/>
        <v>13</v>
      </c>
      <c r="I38" s="126">
        <f t="shared" si="3"/>
        <v>14</v>
      </c>
      <c r="J38" s="127">
        <f t="shared" si="3"/>
        <v>15</v>
      </c>
      <c r="K38" s="126">
        <f t="shared" si="3"/>
        <v>16</v>
      </c>
      <c r="L38" s="127">
        <f t="shared" si="3"/>
        <v>17</v>
      </c>
      <c r="M38" s="218" t="s">
        <v>81</v>
      </c>
      <c r="N38" s="218"/>
      <c r="P38" s="53"/>
    </row>
    <row r="39" spans="1:27" ht="18" x14ac:dyDescent="0.3">
      <c r="A39" s="65" t="s">
        <v>24</v>
      </c>
      <c r="B39" s="1" t="s">
        <v>23</v>
      </c>
      <c r="C39" s="126">
        <v>8</v>
      </c>
      <c r="D39" s="127">
        <f t="shared" ref="D39:L40" si="4">C39+1</f>
        <v>9</v>
      </c>
      <c r="E39" s="126">
        <f t="shared" si="4"/>
        <v>10</v>
      </c>
      <c r="F39" s="127">
        <f t="shared" si="4"/>
        <v>11</v>
      </c>
      <c r="G39" s="126">
        <f t="shared" si="4"/>
        <v>12</v>
      </c>
      <c r="H39" s="127">
        <f t="shared" si="4"/>
        <v>13</v>
      </c>
      <c r="I39" s="126">
        <f t="shared" si="4"/>
        <v>14</v>
      </c>
      <c r="J39" s="127">
        <f t="shared" si="4"/>
        <v>15</v>
      </c>
      <c r="K39" s="126">
        <f t="shared" si="4"/>
        <v>16</v>
      </c>
      <c r="L39" s="127">
        <f t="shared" si="4"/>
        <v>17</v>
      </c>
      <c r="M39" s="219" t="s">
        <v>83</v>
      </c>
      <c r="N39" s="219"/>
      <c r="O39" s="3" t="s">
        <v>115</v>
      </c>
      <c r="P39" s="53"/>
      <c r="AA39"/>
    </row>
    <row r="40" spans="1:27" ht="18.600000000000001" thickBot="1" x14ac:dyDescent="0.35">
      <c r="A40" s="67" t="s">
        <v>144</v>
      </c>
      <c r="B40" s="68" t="s">
        <v>145</v>
      </c>
      <c r="C40" s="69">
        <v>6</v>
      </c>
      <c r="D40" s="70">
        <f t="shared" si="4"/>
        <v>7</v>
      </c>
      <c r="E40" s="69">
        <f t="shared" si="4"/>
        <v>8</v>
      </c>
      <c r="F40" s="70">
        <f t="shared" si="4"/>
        <v>9</v>
      </c>
      <c r="G40" s="69">
        <f t="shared" si="4"/>
        <v>10</v>
      </c>
      <c r="H40" s="70">
        <f t="shared" si="4"/>
        <v>11</v>
      </c>
      <c r="I40" s="69">
        <f t="shared" si="4"/>
        <v>12</v>
      </c>
      <c r="J40" s="70">
        <f t="shared" si="4"/>
        <v>13</v>
      </c>
      <c r="K40" s="69">
        <f t="shared" si="4"/>
        <v>14</v>
      </c>
      <c r="L40" s="70">
        <f t="shared" si="4"/>
        <v>15</v>
      </c>
      <c r="M40" s="220" t="s">
        <v>28</v>
      </c>
      <c r="N40" s="220"/>
      <c r="O40" s="71" t="s">
        <v>116</v>
      </c>
      <c r="P40" s="72"/>
    </row>
  </sheetData>
  <mergeCells count="19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49"/>
  <sheetViews>
    <sheetView zoomScale="120" zoomScaleNormal="120" workbookViewId="0">
      <selection activeCell="J14" sqref="J14:Q2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Thief!F4</f>
        <v>20</v>
      </c>
      <c r="E1" s="2" t="s">
        <v>212</v>
      </c>
      <c r="G1" s="198" t="str">
        <f>Thief!G4</f>
        <v>+6</v>
      </c>
      <c r="I1" s="2" t="s">
        <v>215</v>
      </c>
      <c r="K1" s="198"/>
      <c r="M1" s="2" t="s">
        <v>214</v>
      </c>
      <c r="O1" s="201">
        <f>Thief!P22+Thief!P29</f>
        <v>14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0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123</v>
      </c>
      <c r="C1" s="36"/>
      <c r="D1" s="37"/>
      <c r="E1" s="38"/>
      <c r="F1" s="39"/>
      <c r="G1" s="40" t="s">
        <v>139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124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8</v>
      </c>
      <c r="C4" s="1"/>
      <c r="E4" s="102" t="s">
        <v>46</v>
      </c>
      <c r="F4" s="103">
        <v>18</v>
      </c>
      <c r="G4" s="199" t="s">
        <v>238</v>
      </c>
      <c r="H4" s="200" t="s">
        <v>665</v>
      </c>
      <c r="I4" s="1"/>
      <c r="J4" s="104"/>
      <c r="L4" s="105" t="s">
        <v>92</v>
      </c>
      <c r="M4" s="103">
        <v>0</v>
      </c>
      <c r="N4" s="1"/>
      <c r="O4" s="102" t="s">
        <v>9</v>
      </c>
      <c r="P4" s="75">
        <v>21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8</v>
      </c>
      <c r="B6" s="106" t="s">
        <v>2</v>
      </c>
      <c r="C6" s="210" t="s">
        <v>126</v>
      </c>
      <c r="D6" s="210"/>
      <c r="E6" s="210"/>
      <c r="F6" s="210"/>
      <c r="G6" s="210"/>
      <c r="H6" s="210"/>
      <c r="I6" s="210"/>
      <c r="J6" s="107">
        <v>-1</v>
      </c>
      <c r="K6" s="107"/>
      <c r="M6" s="211" t="s">
        <v>347</v>
      </c>
      <c r="N6" s="211"/>
      <c r="O6" s="211"/>
      <c r="P6" s="52">
        <v>13</v>
      </c>
    </row>
    <row r="7" spans="1:16" ht="32.4" customHeight="1" x14ac:dyDescent="0.3">
      <c r="A7" s="51">
        <v>10</v>
      </c>
      <c r="B7" s="106" t="s">
        <v>3</v>
      </c>
      <c r="C7" s="210" t="s">
        <v>86</v>
      </c>
      <c r="D7" s="210"/>
      <c r="E7" s="210"/>
      <c r="F7" s="210"/>
      <c r="G7" s="210"/>
      <c r="H7" s="210"/>
      <c r="I7" s="210"/>
      <c r="J7" s="107">
        <v>0</v>
      </c>
      <c r="K7" s="107"/>
      <c r="M7" s="211" t="s">
        <v>11</v>
      </c>
      <c r="N7" s="211"/>
      <c r="O7" s="211"/>
      <c r="P7" s="52">
        <v>14</v>
      </c>
    </row>
    <row r="8" spans="1:16" ht="32.4" customHeight="1" x14ac:dyDescent="0.3">
      <c r="A8" s="51">
        <v>13</v>
      </c>
      <c r="B8" s="106" t="s">
        <v>4</v>
      </c>
      <c r="C8" s="210" t="s">
        <v>127</v>
      </c>
      <c r="D8" s="210"/>
      <c r="E8" s="210"/>
      <c r="F8" s="210"/>
      <c r="G8" s="210"/>
      <c r="H8" s="210"/>
      <c r="I8" s="210"/>
      <c r="J8" s="107">
        <v>1</v>
      </c>
      <c r="K8" s="107"/>
      <c r="M8" s="211" t="s">
        <v>14</v>
      </c>
      <c r="N8" s="211"/>
      <c r="O8" s="211"/>
      <c r="P8" s="52">
        <v>13</v>
      </c>
    </row>
    <row r="9" spans="1:16" ht="32.4" customHeight="1" x14ac:dyDescent="0.3">
      <c r="A9" s="51">
        <v>16</v>
      </c>
      <c r="B9" s="106" t="s">
        <v>5</v>
      </c>
      <c r="C9" s="210" t="s">
        <v>128</v>
      </c>
      <c r="D9" s="210"/>
      <c r="E9" s="210"/>
      <c r="F9" s="210"/>
      <c r="G9" s="210"/>
      <c r="H9" s="210"/>
      <c r="I9" s="210"/>
      <c r="J9" s="107">
        <v>2</v>
      </c>
      <c r="K9" s="107"/>
      <c r="M9" s="211" t="s">
        <v>12</v>
      </c>
      <c r="N9" s="211"/>
      <c r="O9" s="211"/>
      <c r="P9" s="52">
        <v>16</v>
      </c>
    </row>
    <row r="10" spans="1:16" ht="32.4" customHeight="1" x14ac:dyDescent="0.3">
      <c r="A10" s="51">
        <v>9</v>
      </c>
      <c r="B10" s="106" t="s">
        <v>6</v>
      </c>
      <c r="C10" s="210" t="s">
        <v>86</v>
      </c>
      <c r="D10" s="210"/>
      <c r="E10" s="210"/>
      <c r="F10" s="210"/>
      <c r="G10" s="210"/>
      <c r="H10" s="210"/>
      <c r="I10" s="210"/>
      <c r="J10" s="107">
        <v>0</v>
      </c>
      <c r="K10" s="107"/>
      <c r="M10" s="211" t="s">
        <v>13</v>
      </c>
      <c r="N10" s="211"/>
      <c r="O10" s="211"/>
      <c r="P10" s="52">
        <v>15</v>
      </c>
    </row>
    <row r="11" spans="1:16" ht="32.4" customHeight="1" x14ac:dyDescent="0.3">
      <c r="A11" s="51">
        <v>8</v>
      </c>
      <c r="B11" s="106" t="s">
        <v>7</v>
      </c>
      <c r="C11" s="210" t="s">
        <v>129</v>
      </c>
      <c r="D11" s="210"/>
      <c r="E11" s="210"/>
      <c r="F11" s="210"/>
      <c r="G11" s="210"/>
      <c r="H11" s="210"/>
      <c r="I11" s="210"/>
      <c r="J11" s="107">
        <v>-1</v>
      </c>
      <c r="K11" s="107"/>
      <c r="M11" s="212" t="s">
        <v>342</v>
      </c>
      <c r="N11" s="212"/>
      <c r="O11" s="212"/>
      <c r="P11" s="213"/>
    </row>
    <row r="12" spans="1:16" ht="8.4" customHeight="1" x14ac:dyDescent="0.3">
      <c r="A12" s="54"/>
      <c r="K12" s="202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206" t="s">
        <v>167</v>
      </c>
      <c r="B14" s="207"/>
      <c r="D14" s="108" t="s">
        <v>21</v>
      </c>
      <c r="E14" s="108"/>
      <c r="G14" s="81" t="s">
        <v>70</v>
      </c>
      <c r="H14" s="110">
        <v>40</v>
      </c>
      <c r="I14" s="1">
        <f>J14*1.5</f>
        <v>12</v>
      </c>
      <c r="J14" s="1">
        <f>H14/5</f>
        <v>8</v>
      </c>
      <c r="K14" s="163" t="s">
        <v>669</v>
      </c>
      <c r="L14" s="162" t="s">
        <v>47</v>
      </c>
      <c r="N14" s="3" t="s">
        <v>666</v>
      </c>
      <c r="P14" s="48"/>
    </row>
    <row r="15" spans="1:16" s="3" customFormat="1" ht="15.6" customHeight="1" x14ac:dyDescent="0.3">
      <c r="A15" s="208"/>
      <c r="B15" s="209"/>
      <c r="D15" s="111" t="s">
        <v>37</v>
      </c>
      <c r="E15" s="111"/>
      <c r="F15" s="112"/>
      <c r="G15" s="113" t="s">
        <v>71</v>
      </c>
      <c r="H15" s="114">
        <f>H14*3</f>
        <v>120</v>
      </c>
      <c r="I15" s="114">
        <f>J15*1.5</f>
        <v>36</v>
      </c>
      <c r="J15" s="114">
        <f t="shared" ref="J15:J18" si="0">H15/5</f>
        <v>24</v>
      </c>
      <c r="K15" s="164" t="s">
        <v>47</v>
      </c>
      <c r="L15" s="165" t="s">
        <v>47</v>
      </c>
      <c r="N15" s="3" t="s">
        <v>132</v>
      </c>
      <c r="P15" s="48"/>
    </row>
    <row r="16" spans="1:16" s="3" customFormat="1" ht="15.6" customHeight="1" x14ac:dyDescent="0.3">
      <c r="A16" s="208"/>
      <c r="B16" s="209"/>
      <c r="D16" s="108" t="s">
        <v>18</v>
      </c>
      <c r="E16" s="108"/>
      <c r="G16" s="81" t="s">
        <v>70</v>
      </c>
      <c r="H16" s="110">
        <f>H14*3</f>
        <v>120</v>
      </c>
      <c r="I16" s="1">
        <f>J16*1.5</f>
        <v>36</v>
      </c>
      <c r="J16" s="1">
        <f t="shared" si="0"/>
        <v>24</v>
      </c>
      <c r="K16" s="163">
        <f>J16+(J16/2)</f>
        <v>36</v>
      </c>
      <c r="L16" s="214" t="s">
        <v>344</v>
      </c>
      <c r="N16" s="3" t="s">
        <v>59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f>H14/2</f>
        <v>20</v>
      </c>
      <c r="I17" s="114">
        <f>J17*1.5</f>
        <v>6</v>
      </c>
      <c r="J17" s="114">
        <f t="shared" si="0"/>
        <v>4</v>
      </c>
      <c r="K17" s="164">
        <f t="shared" ref="K17:K18" si="1">J17+(J17/2)</f>
        <v>6</v>
      </c>
      <c r="L17" s="214"/>
      <c r="N17" s="3" t="s">
        <v>133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f>H14/2</f>
        <v>20</v>
      </c>
      <c r="I18" s="1">
        <f>J18*1.5</f>
        <v>6</v>
      </c>
      <c r="J18" s="1">
        <f t="shared" si="0"/>
        <v>4</v>
      </c>
      <c r="K18" s="163">
        <f t="shared" si="1"/>
        <v>6</v>
      </c>
      <c r="L18" s="214"/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131</v>
      </c>
      <c r="I19" s="117" t="s">
        <v>130</v>
      </c>
      <c r="J19" s="117"/>
      <c r="K19" s="164" t="s">
        <v>47</v>
      </c>
      <c r="L19" s="165" t="s">
        <v>47</v>
      </c>
      <c r="P19" s="48"/>
    </row>
    <row r="20" spans="1:16" s="3" customFormat="1" ht="15.6" customHeight="1" x14ac:dyDescent="0.3">
      <c r="A20" s="18"/>
      <c r="B20" s="18"/>
      <c r="N20" s="215"/>
      <c r="O20" s="215"/>
      <c r="P20" s="216"/>
    </row>
    <row r="21" spans="1:16" s="3" customFormat="1" ht="15.6" customHeight="1" x14ac:dyDescent="0.3">
      <c r="A21" s="178" t="s">
        <v>671</v>
      </c>
      <c r="B21" s="21"/>
      <c r="D21" s="118"/>
      <c r="O21" s="144"/>
      <c r="P21" s="59"/>
    </row>
    <row r="22" spans="1:16" ht="15.6" customHeight="1" x14ac:dyDescent="0.3">
      <c r="A22" s="178" t="s">
        <v>672</v>
      </c>
      <c r="B22" s="21"/>
      <c r="D22" s="118"/>
      <c r="N22" s="119"/>
      <c r="O22" s="119" t="s">
        <v>46</v>
      </c>
      <c r="P22" s="60">
        <v>4</v>
      </c>
    </row>
    <row r="23" spans="1:16" ht="15.6" customHeight="1" x14ac:dyDescent="0.3">
      <c r="A23" s="178" t="s">
        <v>673</v>
      </c>
      <c r="B23" s="21"/>
      <c r="D23" s="118"/>
      <c r="M23" s="108"/>
      <c r="N23" s="120"/>
      <c r="O23" s="21"/>
      <c r="P23" s="61"/>
    </row>
    <row r="24" spans="1:16" ht="15.6" customHeight="1" x14ac:dyDescent="0.3">
      <c r="A24" s="178" t="s">
        <v>674</v>
      </c>
      <c r="B24" s="21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78" t="s">
        <v>675</v>
      </c>
      <c r="B25" s="21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1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D27" s="122"/>
      <c r="N27" s="121" t="s">
        <v>43</v>
      </c>
      <c r="O27" s="21"/>
      <c r="P27" s="63"/>
    </row>
    <row r="28" spans="1:16" ht="15.6" customHeight="1" x14ac:dyDescent="0.3">
      <c r="A28" s="179" t="s">
        <v>678</v>
      </c>
      <c r="D28" s="123"/>
      <c r="N28" s="121" t="s">
        <v>40</v>
      </c>
      <c r="O28" s="21"/>
      <c r="P28" s="63"/>
    </row>
    <row r="29" spans="1:16" ht="15.6" customHeight="1" x14ac:dyDescent="0.3">
      <c r="A29" s="179" t="s">
        <v>681</v>
      </c>
      <c r="D29" s="123"/>
      <c r="N29" s="124"/>
      <c r="O29" s="119" t="s">
        <v>46</v>
      </c>
      <c r="P29" s="60">
        <v>5</v>
      </c>
    </row>
    <row r="30" spans="1:16" x14ac:dyDescent="0.3">
      <c r="D30" s="123"/>
      <c r="P30" s="53"/>
    </row>
    <row r="31" spans="1:16" ht="15.6" customHeight="1" x14ac:dyDescent="0.3">
      <c r="A31" s="54"/>
      <c r="P31" s="53"/>
    </row>
    <row r="32" spans="1:16" ht="15.6" x14ac:dyDescent="0.3">
      <c r="A32" s="55" t="s">
        <v>41</v>
      </c>
      <c r="B32" s="22"/>
      <c r="C32" s="27" t="s">
        <v>96</v>
      </c>
      <c r="D32" s="24"/>
      <c r="E32" s="27" t="s">
        <v>97</v>
      </c>
      <c r="F32" s="24"/>
      <c r="G32" s="27" t="s">
        <v>98</v>
      </c>
      <c r="H32" s="24"/>
      <c r="I32" s="27"/>
      <c r="J32" s="24"/>
      <c r="K32" s="24"/>
      <c r="N32" s="22" t="s">
        <v>29</v>
      </c>
      <c r="O32" s="24"/>
      <c r="P32" s="50"/>
    </row>
    <row r="33" spans="1:27" x14ac:dyDescent="0.3">
      <c r="A33" s="205" t="s">
        <v>30</v>
      </c>
      <c r="B33" s="2" t="s">
        <v>137</v>
      </c>
      <c r="N33" s="2" t="s">
        <v>53</v>
      </c>
      <c r="P33" s="53"/>
    </row>
    <row r="34" spans="1:27" x14ac:dyDescent="0.3">
      <c r="A34" s="205" t="s">
        <v>31</v>
      </c>
      <c r="B34" s="2" t="s">
        <v>138</v>
      </c>
      <c r="N34" s="2" t="s">
        <v>32</v>
      </c>
      <c r="P34" s="53"/>
    </row>
    <row r="35" spans="1:27" x14ac:dyDescent="0.3">
      <c r="A35" s="205" t="s">
        <v>38</v>
      </c>
      <c r="B35" s="2" t="s">
        <v>680</v>
      </c>
      <c r="N35" s="2" t="s">
        <v>54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217" t="s">
        <v>26</v>
      </c>
      <c r="N37" s="217"/>
      <c r="O37" s="22" t="s">
        <v>27</v>
      </c>
      <c r="P37" s="50"/>
    </row>
    <row r="38" spans="1:27" ht="18" x14ac:dyDescent="0.3">
      <c r="A38" s="65" t="s">
        <v>134</v>
      </c>
      <c r="B38" s="1" t="s">
        <v>23</v>
      </c>
      <c r="C38" s="126">
        <v>10</v>
      </c>
      <c r="D38" s="127">
        <f>C38+1</f>
        <v>11</v>
      </c>
      <c r="E38" s="126">
        <f t="shared" ref="E38:L38" si="3">D38+1</f>
        <v>12</v>
      </c>
      <c r="F38" s="127">
        <f t="shared" si="3"/>
        <v>13</v>
      </c>
      <c r="G38" s="126">
        <f t="shared" si="3"/>
        <v>14</v>
      </c>
      <c r="H38" s="127">
        <f t="shared" si="3"/>
        <v>15</v>
      </c>
      <c r="I38" s="126">
        <f t="shared" si="3"/>
        <v>16</v>
      </c>
      <c r="J38" s="127">
        <f t="shared" si="3"/>
        <v>17</v>
      </c>
      <c r="K38" s="126">
        <f t="shared" si="3"/>
        <v>18</v>
      </c>
      <c r="L38" s="127">
        <f t="shared" si="3"/>
        <v>19</v>
      </c>
      <c r="M38" s="218" t="s">
        <v>83</v>
      </c>
      <c r="N38" s="218"/>
      <c r="P38" s="53"/>
    </row>
    <row r="39" spans="1:27" ht="18" x14ac:dyDescent="0.3">
      <c r="A39" s="65" t="s">
        <v>24</v>
      </c>
      <c r="B39" s="1" t="s">
        <v>23</v>
      </c>
      <c r="C39" s="126">
        <v>11</v>
      </c>
      <c r="D39" s="127">
        <f t="shared" ref="D39:L40" si="4">C39+1</f>
        <v>12</v>
      </c>
      <c r="E39" s="126">
        <f t="shared" si="4"/>
        <v>13</v>
      </c>
      <c r="F39" s="127">
        <f t="shared" si="4"/>
        <v>14</v>
      </c>
      <c r="G39" s="126">
        <f t="shared" si="4"/>
        <v>15</v>
      </c>
      <c r="H39" s="127">
        <f t="shared" si="4"/>
        <v>16</v>
      </c>
      <c r="I39" s="126">
        <f t="shared" si="4"/>
        <v>17</v>
      </c>
      <c r="J39" s="127">
        <f t="shared" si="4"/>
        <v>18</v>
      </c>
      <c r="K39" s="126">
        <f t="shared" si="4"/>
        <v>19</v>
      </c>
      <c r="L39" s="127">
        <f t="shared" si="4"/>
        <v>20</v>
      </c>
      <c r="M39" s="219" t="s">
        <v>135</v>
      </c>
      <c r="N39" s="219"/>
      <c r="O39" s="3"/>
      <c r="P39" s="53"/>
      <c r="AA39"/>
    </row>
    <row r="40" spans="1:27" ht="18.600000000000001" thickBot="1" x14ac:dyDescent="0.35">
      <c r="A40" s="67" t="s">
        <v>24</v>
      </c>
      <c r="B40" s="68" t="s">
        <v>136</v>
      </c>
      <c r="C40" s="69">
        <v>10</v>
      </c>
      <c r="D40" s="70">
        <f t="shared" si="4"/>
        <v>11</v>
      </c>
      <c r="E40" s="69">
        <f t="shared" si="4"/>
        <v>12</v>
      </c>
      <c r="F40" s="70">
        <f t="shared" si="4"/>
        <v>13</v>
      </c>
      <c r="G40" s="69">
        <f t="shared" si="4"/>
        <v>14</v>
      </c>
      <c r="H40" s="70">
        <f t="shared" si="4"/>
        <v>15</v>
      </c>
      <c r="I40" s="69">
        <f t="shared" si="4"/>
        <v>16</v>
      </c>
      <c r="J40" s="70">
        <f t="shared" si="4"/>
        <v>17</v>
      </c>
      <c r="K40" s="69">
        <f t="shared" si="4"/>
        <v>18</v>
      </c>
      <c r="L40" s="70">
        <f t="shared" si="4"/>
        <v>19</v>
      </c>
      <c r="M40" s="220" t="s">
        <v>83</v>
      </c>
      <c r="N40" s="220"/>
      <c r="O40" s="71"/>
      <c r="P40" s="72"/>
    </row>
  </sheetData>
  <mergeCells count="19">
    <mergeCell ref="N20:P20"/>
    <mergeCell ref="M37:N37"/>
    <mergeCell ref="M38:N38"/>
    <mergeCell ref="M39:N39"/>
    <mergeCell ref="M40:N4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49"/>
  <sheetViews>
    <sheetView zoomScale="120" zoomScaleNormal="120" workbookViewId="0">
      <selection activeCell="J14" sqref="J14:Q2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Mage!F4</f>
        <v>18</v>
      </c>
      <c r="E1" s="2" t="s">
        <v>212</v>
      </c>
      <c r="G1" s="198" t="str">
        <f>Mage!G4</f>
        <v>+5</v>
      </c>
      <c r="I1" s="2" t="s">
        <v>215</v>
      </c>
      <c r="K1" s="198"/>
      <c r="M1" s="2" t="s">
        <v>214</v>
      </c>
      <c r="O1" s="201">
        <f>Mage!P22+Mage!P29</f>
        <v>9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20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103</v>
      </c>
      <c r="C1" s="36"/>
      <c r="D1" s="37"/>
      <c r="E1" s="38"/>
      <c r="F1" s="39"/>
      <c r="G1" s="40" t="s">
        <v>118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104</v>
      </c>
      <c r="H2" s="30"/>
      <c r="I2" s="31" t="s">
        <v>125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40" t="s">
        <v>46</v>
      </c>
      <c r="F4" s="103">
        <v>24</v>
      </c>
      <c r="G4" s="199" t="s">
        <v>109</v>
      </c>
      <c r="H4" s="200" t="s">
        <v>665</v>
      </c>
      <c r="I4" s="1"/>
      <c r="J4" s="104"/>
      <c r="K4" s="1"/>
      <c r="L4" s="105" t="s">
        <v>92</v>
      </c>
      <c r="M4" s="103">
        <v>1</v>
      </c>
      <c r="N4" s="1"/>
      <c r="O4" s="102" t="s">
        <v>9</v>
      </c>
      <c r="P4" s="75">
        <v>35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17</v>
      </c>
      <c r="B6" s="106" t="s">
        <v>2</v>
      </c>
      <c r="C6" s="210" t="s">
        <v>112</v>
      </c>
      <c r="D6" s="210"/>
      <c r="E6" s="210"/>
      <c r="F6" s="210"/>
      <c r="G6" s="210"/>
      <c r="H6" s="210"/>
      <c r="I6" s="210"/>
      <c r="J6" s="107">
        <v>2</v>
      </c>
      <c r="K6" s="107"/>
      <c r="L6" s="166"/>
      <c r="M6" s="211" t="s">
        <v>347</v>
      </c>
      <c r="N6" s="211"/>
      <c r="O6" s="211"/>
      <c r="P6" s="52">
        <v>10</v>
      </c>
    </row>
    <row r="7" spans="1:16" ht="32.4" customHeight="1" x14ac:dyDescent="0.3">
      <c r="A7" s="51">
        <v>14</v>
      </c>
      <c r="B7" s="106" t="s">
        <v>3</v>
      </c>
      <c r="C7" s="210" t="s">
        <v>113</v>
      </c>
      <c r="D7" s="210"/>
      <c r="E7" s="210"/>
      <c r="F7" s="210"/>
      <c r="G7" s="210"/>
      <c r="H7" s="210"/>
      <c r="I7" s="210"/>
      <c r="J7" s="107">
        <v>1</v>
      </c>
      <c r="K7" s="107"/>
      <c r="M7" s="211" t="s">
        <v>11</v>
      </c>
      <c r="N7" s="211"/>
      <c r="O7" s="211"/>
      <c r="P7" s="52">
        <v>11</v>
      </c>
    </row>
    <row r="8" spans="1:16" ht="32.4" customHeight="1" x14ac:dyDescent="0.3">
      <c r="A8" s="51">
        <v>11</v>
      </c>
      <c r="B8" s="106" t="s">
        <v>4</v>
      </c>
      <c r="C8" s="210" t="s">
        <v>86</v>
      </c>
      <c r="D8" s="210"/>
      <c r="E8" s="210"/>
      <c r="F8" s="210"/>
      <c r="G8" s="210"/>
      <c r="H8" s="210"/>
      <c r="I8" s="210"/>
      <c r="J8" s="107">
        <v>0</v>
      </c>
      <c r="K8" s="107"/>
      <c r="M8" s="211" t="s">
        <v>14</v>
      </c>
      <c r="N8" s="211"/>
      <c r="O8" s="211"/>
      <c r="P8" s="52">
        <v>12</v>
      </c>
    </row>
    <row r="9" spans="1:16" ht="32.4" customHeight="1" x14ac:dyDescent="0.3">
      <c r="A9" s="51">
        <v>7</v>
      </c>
      <c r="B9" s="106" t="s">
        <v>5</v>
      </c>
      <c r="C9" s="210" t="s">
        <v>87</v>
      </c>
      <c r="D9" s="210"/>
      <c r="E9" s="210"/>
      <c r="F9" s="210"/>
      <c r="G9" s="210"/>
      <c r="H9" s="210"/>
      <c r="I9" s="210"/>
      <c r="J9" s="107">
        <v>-1</v>
      </c>
      <c r="K9" s="107"/>
      <c r="M9" s="211" t="s">
        <v>12</v>
      </c>
      <c r="N9" s="211"/>
      <c r="O9" s="211"/>
      <c r="P9" s="52">
        <v>13</v>
      </c>
    </row>
    <row r="10" spans="1:16" ht="32.4" customHeight="1" x14ac:dyDescent="0.3">
      <c r="A10" s="51">
        <v>4</v>
      </c>
      <c r="B10" s="106" t="s">
        <v>6</v>
      </c>
      <c r="C10" s="210" t="s">
        <v>114</v>
      </c>
      <c r="D10" s="210"/>
      <c r="E10" s="210"/>
      <c r="F10" s="210"/>
      <c r="G10" s="210"/>
      <c r="H10" s="210"/>
      <c r="I10" s="210"/>
      <c r="J10" s="107">
        <v>-2</v>
      </c>
      <c r="K10" s="107"/>
      <c r="M10" s="211" t="s">
        <v>13</v>
      </c>
      <c r="N10" s="211"/>
      <c r="O10" s="211"/>
      <c r="P10" s="52">
        <v>16</v>
      </c>
    </row>
    <row r="11" spans="1:16" ht="32.4" customHeight="1" x14ac:dyDescent="0.3">
      <c r="A11" s="51">
        <v>10</v>
      </c>
      <c r="B11" s="106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13"/>
    </row>
    <row r="12" spans="1:16" ht="8.4" customHeight="1" x14ac:dyDescent="0.3">
      <c r="A12" s="54"/>
      <c r="P12" s="53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09" t="s">
        <v>65</v>
      </c>
      <c r="I13" s="109" t="s">
        <v>66</v>
      </c>
      <c r="J13" s="109" t="s">
        <v>67</v>
      </c>
      <c r="K13" s="163" t="s">
        <v>345</v>
      </c>
      <c r="L13" s="162" t="s">
        <v>343</v>
      </c>
      <c r="N13" s="22" t="s">
        <v>55</v>
      </c>
      <c r="O13" s="23"/>
      <c r="P13" s="56"/>
    </row>
    <row r="14" spans="1:16" s="3" customFormat="1" ht="15.6" customHeight="1" x14ac:dyDescent="0.3">
      <c r="A14" s="206" t="s">
        <v>167</v>
      </c>
      <c r="B14" s="207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3" t="s">
        <v>346</v>
      </c>
      <c r="L14" s="162" t="s">
        <v>47</v>
      </c>
      <c r="N14" s="3" t="s">
        <v>56</v>
      </c>
      <c r="P14" s="48"/>
    </row>
    <row r="15" spans="1:16" s="3" customFormat="1" ht="15.6" customHeight="1" x14ac:dyDescent="0.3">
      <c r="A15" s="208"/>
      <c r="B15" s="209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4" t="s">
        <v>47</v>
      </c>
      <c r="L15" s="165" t="s">
        <v>47</v>
      </c>
      <c r="N15" s="3" t="s">
        <v>110</v>
      </c>
      <c r="P15" s="48"/>
    </row>
    <row r="16" spans="1:16" s="3" customFormat="1" ht="15.6" customHeight="1" x14ac:dyDescent="0.3">
      <c r="A16" s="208"/>
      <c r="B16" s="209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3">
        <f>J16+(J16/2)</f>
        <v>18</v>
      </c>
      <c r="L16" s="214" t="s">
        <v>344</v>
      </c>
      <c r="N16" s="3" t="s">
        <v>111</v>
      </c>
      <c r="P16" s="48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4">
        <f t="shared" ref="K17:K18" si="1">J17+(J17/2)</f>
        <v>3</v>
      </c>
      <c r="L17" s="214"/>
      <c r="N17" s="3" t="s">
        <v>59</v>
      </c>
      <c r="P17" s="48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3">
        <f t="shared" si="1"/>
        <v>3</v>
      </c>
      <c r="L18" s="214"/>
      <c r="N18" s="3" t="s">
        <v>658</v>
      </c>
      <c r="P18" s="48"/>
    </row>
    <row r="19" spans="1:16" s="3" customFormat="1" ht="15.6" customHeight="1" x14ac:dyDescent="0.3">
      <c r="A19" s="58"/>
      <c r="B19" s="20"/>
      <c r="D19" s="111" t="s">
        <v>22</v>
      </c>
      <c r="E19" s="111"/>
      <c r="F19" s="112"/>
      <c r="G19" s="113" t="s">
        <v>72</v>
      </c>
      <c r="H19" s="117" t="s">
        <v>69</v>
      </c>
      <c r="I19" s="117" t="s">
        <v>68</v>
      </c>
      <c r="J19" s="117"/>
      <c r="K19" s="164" t="s">
        <v>47</v>
      </c>
      <c r="L19" s="165" t="s">
        <v>47</v>
      </c>
      <c r="N19" s="3" t="s">
        <v>117</v>
      </c>
      <c r="P19" s="48"/>
    </row>
    <row r="20" spans="1:16" s="3" customFormat="1" ht="15.6" customHeight="1" x14ac:dyDescent="0.3">
      <c r="A20" s="18"/>
      <c r="B20" s="18"/>
      <c r="E20" s="118"/>
      <c r="N20" s="215"/>
      <c r="O20" s="215"/>
      <c r="P20" s="216"/>
    </row>
    <row r="21" spans="1:16" s="3" customFormat="1" ht="15.6" customHeight="1" x14ac:dyDescent="0.3">
      <c r="A21" s="178" t="s">
        <v>671</v>
      </c>
      <c r="B21" s="21"/>
      <c r="D21" s="118"/>
      <c r="O21" s="119"/>
      <c r="P21" s="60"/>
    </row>
    <row r="22" spans="1:16" ht="15.6" customHeight="1" x14ac:dyDescent="0.3">
      <c r="A22" s="178" t="s">
        <v>672</v>
      </c>
      <c r="B22" s="21"/>
      <c r="D22" s="118"/>
      <c r="N22" s="3"/>
      <c r="O22" s="119" t="s">
        <v>46</v>
      </c>
      <c r="P22" s="60">
        <v>11</v>
      </c>
    </row>
    <row r="23" spans="1:16" ht="15.6" customHeight="1" x14ac:dyDescent="0.3">
      <c r="A23" s="178" t="s">
        <v>673</v>
      </c>
      <c r="B23" s="21"/>
      <c r="D23" s="118"/>
      <c r="M23" s="108"/>
      <c r="N23" s="141"/>
      <c r="P23" s="53"/>
    </row>
    <row r="24" spans="1:16" ht="15.6" customHeight="1" x14ac:dyDescent="0.3">
      <c r="A24" s="178" t="s">
        <v>674</v>
      </c>
      <c r="B24" s="21"/>
      <c r="D24" s="118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78" t="s">
        <v>675</v>
      </c>
      <c r="B25" s="21"/>
      <c r="D25" s="118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1"/>
      <c r="D26" s="122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D27" s="122"/>
      <c r="N27" s="121" t="s">
        <v>43</v>
      </c>
      <c r="O27" s="21"/>
      <c r="P27" s="63"/>
    </row>
    <row r="28" spans="1:16" ht="15.6" customHeight="1" x14ac:dyDescent="0.3">
      <c r="A28" s="179" t="s">
        <v>678</v>
      </c>
      <c r="D28" s="123"/>
      <c r="N28" s="121" t="s">
        <v>40</v>
      </c>
      <c r="O28" s="21"/>
      <c r="P28" s="63"/>
    </row>
    <row r="29" spans="1:16" ht="15.6" customHeight="1" x14ac:dyDescent="0.3">
      <c r="A29" s="179" t="s">
        <v>681</v>
      </c>
      <c r="D29" s="123"/>
      <c r="N29" s="124"/>
      <c r="O29" s="119" t="s">
        <v>46</v>
      </c>
      <c r="P29" s="60">
        <v>5</v>
      </c>
    </row>
    <row r="30" spans="1:16" x14ac:dyDescent="0.3">
      <c r="A30" s="54"/>
      <c r="D30" s="123"/>
      <c r="P30" s="53"/>
    </row>
    <row r="31" spans="1:16" ht="15.6" customHeight="1" x14ac:dyDescent="0.3">
      <c r="A31" s="73" t="s">
        <v>122</v>
      </c>
      <c r="B31" s="142"/>
      <c r="C31" s="142" t="s">
        <v>8</v>
      </c>
      <c r="E31" s="118"/>
      <c r="P31" s="53"/>
    </row>
    <row r="32" spans="1:16" ht="15.6" x14ac:dyDescent="0.3">
      <c r="A32" s="64" t="s">
        <v>121</v>
      </c>
      <c r="B32" s="5"/>
      <c r="C32" s="143">
        <v>1</v>
      </c>
      <c r="E32" s="118"/>
      <c r="N32" s="22" t="s">
        <v>29</v>
      </c>
      <c r="O32" s="24"/>
      <c r="P32" s="50"/>
    </row>
    <row r="33" spans="1:27" x14ac:dyDescent="0.3">
      <c r="A33" s="64" t="s">
        <v>667</v>
      </c>
      <c r="B33" s="5"/>
      <c r="C33" s="5">
        <v>2</v>
      </c>
      <c r="E33" s="118"/>
      <c r="N33" s="2" t="s">
        <v>53</v>
      </c>
      <c r="P33" s="53"/>
    </row>
    <row r="34" spans="1:27" x14ac:dyDescent="0.3">
      <c r="A34" s="64" t="s">
        <v>120</v>
      </c>
      <c r="B34" s="5"/>
      <c r="C34" s="5">
        <v>2</v>
      </c>
      <c r="E34" s="118"/>
      <c r="N34" s="2" t="s">
        <v>32</v>
      </c>
      <c r="P34" s="53"/>
    </row>
    <row r="35" spans="1:27" x14ac:dyDescent="0.3">
      <c r="A35" s="64" t="s">
        <v>24</v>
      </c>
      <c r="B35" s="5"/>
      <c r="C35" s="5">
        <v>2</v>
      </c>
      <c r="E35" s="118"/>
      <c r="N35" s="2" t="s">
        <v>54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217" t="s">
        <v>26</v>
      </c>
      <c r="N37" s="217"/>
      <c r="O37" s="22" t="s">
        <v>27</v>
      </c>
      <c r="P37" s="50"/>
    </row>
    <row r="38" spans="1:27" ht="18" x14ac:dyDescent="0.3">
      <c r="A38" s="65" t="s">
        <v>659</v>
      </c>
      <c r="B38" s="1" t="s">
        <v>211</v>
      </c>
      <c r="C38" s="126">
        <v>5</v>
      </c>
      <c r="D38" s="127">
        <f>C38+1</f>
        <v>6</v>
      </c>
      <c r="E38" s="126">
        <f t="shared" ref="E38:L38" si="3">D38+1</f>
        <v>7</v>
      </c>
      <c r="F38" s="127">
        <f t="shared" si="3"/>
        <v>8</v>
      </c>
      <c r="G38" s="126">
        <f t="shared" si="3"/>
        <v>9</v>
      </c>
      <c r="H38" s="127">
        <f t="shared" si="3"/>
        <v>10</v>
      </c>
      <c r="I38" s="126">
        <f t="shared" si="3"/>
        <v>11</v>
      </c>
      <c r="J38" s="127">
        <f t="shared" si="3"/>
        <v>12</v>
      </c>
      <c r="K38" s="126">
        <f t="shared" si="3"/>
        <v>13</v>
      </c>
      <c r="L38" s="127">
        <f t="shared" si="3"/>
        <v>14</v>
      </c>
      <c r="M38" s="218" t="s">
        <v>660</v>
      </c>
      <c r="N38" s="218"/>
      <c r="O38" s="2" t="s">
        <v>668</v>
      </c>
      <c r="P38" s="53"/>
    </row>
    <row r="39" spans="1:27" ht="18" x14ac:dyDescent="0.3">
      <c r="A39" s="65" t="s">
        <v>24</v>
      </c>
      <c r="B39" s="1" t="s">
        <v>23</v>
      </c>
      <c r="C39" s="126">
        <v>6</v>
      </c>
      <c r="D39" s="127">
        <f t="shared" ref="D39:L40" si="4">C39+1</f>
        <v>7</v>
      </c>
      <c r="E39" s="126">
        <f t="shared" si="4"/>
        <v>8</v>
      </c>
      <c r="F39" s="127">
        <f t="shared" si="4"/>
        <v>9</v>
      </c>
      <c r="G39" s="126">
        <f t="shared" si="4"/>
        <v>10</v>
      </c>
      <c r="H39" s="127">
        <f t="shared" si="4"/>
        <v>11</v>
      </c>
      <c r="I39" s="126">
        <f t="shared" si="4"/>
        <v>12</v>
      </c>
      <c r="J39" s="127">
        <f t="shared" si="4"/>
        <v>13</v>
      </c>
      <c r="K39" s="126">
        <f t="shared" si="4"/>
        <v>14</v>
      </c>
      <c r="L39" s="127">
        <f t="shared" si="4"/>
        <v>15</v>
      </c>
      <c r="M39" s="219" t="s">
        <v>107</v>
      </c>
      <c r="N39" s="219"/>
      <c r="O39" s="3" t="s">
        <v>115</v>
      </c>
      <c r="P39" s="53"/>
      <c r="AA39"/>
    </row>
    <row r="40" spans="1:27" ht="18.600000000000001" thickBot="1" x14ac:dyDescent="0.35">
      <c r="A40" s="67" t="s">
        <v>25</v>
      </c>
      <c r="B40" s="68" t="s">
        <v>108</v>
      </c>
      <c r="C40" s="69">
        <v>7</v>
      </c>
      <c r="D40" s="70">
        <f t="shared" si="4"/>
        <v>8</v>
      </c>
      <c r="E40" s="69">
        <f t="shared" si="4"/>
        <v>9</v>
      </c>
      <c r="F40" s="70">
        <f t="shared" si="4"/>
        <v>10</v>
      </c>
      <c r="G40" s="69">
        <f t="shared" si="4"/>
        <v>11</v>
      </c>
      <c r="H40" s="70">
        <f t="shared" si="4"/>
        <v>12</v>
      </c>
      <c r="I40" s="69">
        <f t="shared" si="4"/>
        <v>13</v>
      </c>
      <c r="J40" s="70">
        <f t="shared" si="4"/>
        <v>14</v>
      </c>
      <c r="K40" s="69">
        <f t="shared" si="4"/>
        <v>15</v>
      </c>
      <c r="L40" s="70">
        <f t="shared" si="4"/>
        <v>16</v>
      </c>
      <c r="M40" s="220" t="s">
        <v>28</v>
      </c>
      <c r="N40" s="220"/>
      <c r="O40" s="71" t="s">
        <v>116</v>
      </c>
      <c r="P40" s="72"/>
    </row>
  </sheetData>
  <mergeCells count="19">
    <mergeCell ref="M37:N37"/>
    <mergeCell ref="M38:N38"/>
    <mergeCell ref="M39:N39"/>
    <mergeCell ref="M40:N40"/>
    <mergeCell ref="N20:P20"/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49"/>
  <sheetViews>
    <sheetView zoomScale="120" zoomScaleNormal="120" workbookViewId="0">
      <selection activeCell="U20" sqref="U2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Fighter!F4</f>
        <v>24</v>
      </c>
      <c r="E1" s="2" t="s">
        <v>212</v>
      </c>
      <c r="G1" s="198" t="str">
        <f>Fighter!G4</f>
        <v>+8</v>
      </c>
      <c r="I1" s="2" t="s">
        <v>215</v>
      </c>
      <c r="K1" s="198"/>
      <c r="M1" s="2" t="s">
        <v>214</v>
      </c>
      <c r="O1" s="201">
        <f>Fighter!P22+Fighter!P29</f>
        <v>16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13" zoomScale="120" zoomScaleNormal="120" workbookViewId="0">
      <selection activeCell="A29" sqref="A2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5" t="s">
        <v>0</v>
      </c>
      <c r="B1" s="36" t="s">
        <v>49</v>
      </c>
      <c r="C1" s="36"/>
      <c r="D1" s="37"/>
      <c r="E1" s="38"/>
      <c r="F1" s="39"/>
      <c r="G1" s="40" t="s">
        <v>102</v>
      </c>
      <c r="H1" s="36"/>
      <c r="I1" s="39"/>
      <c r="J1" s="41"/>
      <c r="K1" s="42" t="s">
        <v>34</v>
      </c>
      <c r="L1" s="37"/>
      <c r="M1" s="37"/>
      <c r="N1" s="43" t="s">
        <v>94</v>
      </c>
      <c r="O1" s="36"/>
      <c r="P1" s="44"/>
    </row>
    <row r="2" spans="1:16" ht="20.399999999999999" customHeight="1" x14ac:dyDescent="0.3">
      <c r="A2" s="45" t="s">
        <v>93</v>
      </c>
      <c r="B2" s="28" t="s">
        <v>74</v>
      </c>
      <c r="C2" s="28"/>
      <c r="D2" s="98"/>
      <c r="E2" s="29" t="s">
        <v>33</v>
      </c>
      <c r="F2" s="30"/>
      <c r="G2" s="30" t="s">
        <v>100</v>
      </c>
      <c r="H2" s="30"/>
      <c r="I2" s="31" t="s">
        <v>101</v>
      </c>
      <c r="J2" s="98"/>
      <c r="K2" s="99" t="s">
        <v>1</v>
      </c>
      <c r="L2" s="100"/>
      <c r="M2" s="100"/>
      <c r="N2" s="28" t="s">
        <v>50</v>
      </c>
      <c r="O2" s="28"/>
      <c r="P2" s="46"/>
    </row>
    <row r="3" spans="1:16" ht="9.6" customHeight="1" x14ac:dyDescent="0.3">
      <c r="A3" s="47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48"/>
    </row>
    <row r="4" spans="1:16" ht="18.600000000000001" customHeight="1" x14ac:dyDescent="0.3">
      <c r="A4" s="74" t="s">
        <v>8</v>
      </c>
      <c r="B4" s="101">
        <v>2</v>
      </c>
      <c r="C4" s="1"/>
      <c r="E4" s="102" t="s">
        <v>46</v>
      </c>
      <c r="F4" s="103">
        <v>20</v>
      </c>
      <c r="G4" s="199" t="s">
        <v>62</v>
      </c>
      <c r="H4" s="200" t="s">
        <v>665</v>
      </c>
      <c r="I4" s="1"/>
      <c r="J4" s="104"/>
      <c r="L4" s="105" t="s">
        <v>92</v>
      </c>
      <c r="M4" s="103">
        <v>-1</v>
      </c>
      <c r="N4" s="1"/>
      <c r="O4" s="102" t="s">
        <v>9</v>
      </c>
      <c r="P4" s="75">
        <v>31</v>
      </c>
    </row>
    <row r="5" spans="1:16" ht="19.8" customHeight="1" x14ac:dyDescent="0.3">
      <c r="A5" s="49" t="s">
        <v>29</v>
      </c>
      <c r="B5" s="25"/>
      <c r="J5" s="2" t="s">
        <v>91</v>
      </c>
      <c r="M5" s="25" t="s">
        <v>10</v>
      </c>
      <c r="N5" s="24"/>
      <c r="O5" s="24"/>
      <c r="P5" s="50"/>
    </row>
    <row r="6" spans="1:16" ht="32.4" customHeight="1" x14ac:dyDescent="0.3">
      <c r="A6" s="51">
        <v>12</v>
      </c>
      <c r="B6" s="106" t="s">
        <v>2</v>
      </c>
      <c r="C6" s="210" t="s">
        <v>84</v>
      </c>
      <c r="D6" s="210"/>
      <c r="E6" s="210"/>
      <c r="F6" s="210"/>
      <c r="G6" s="210"/>
      <c r="H6" s="210"/>
      <c r="I6" s="210"/>
      <c r="J6" s="107">
        <v>0</v>
      </c>
      <c r="K6" s="107"/>
      <c r="L6" s="166"/>
      <c r="M6" s="211" t="s">
        <v>347</v>
      </c>
      <c r="N6" s="211"/>
      <c r="O6" s="211"/>
      <c r="P6" s="52">
        <v>9</v>
      </c>
    </row>
    <row r="7" spans="1:16" ht="32.4" customHeight="1" x14ac:dyDescent="0.3">
      <c r="A7" s="51">
        <v>6</v>
      </c>
      <c r="B7" s="106" t="s">
        <v>3</v>
      </c>
      <c r="C7" s="210" t="s">
        <v>85</v>
      </c>
      <c r="D7" s="210"/>
      <c r="E7" s="210"/>
      <c r="F7" s="210"/>
      <c r="G7" s="210"/>
      <c r="H7" s="210"/>
      <c r="I7" s="210"/>
      <c r="J7" s="107">
        <v>-1</v>
      </c>
      <c r="K7" s="107"/>
      <c r="M7" s="211" t="s">
        <v>11</v>
      </c>
      <c r="N7" s="211"/>
      <c r="O7" s="211"/>
      <c r="P7" s="52">
        <v>10</v>
      </c>
    </row>
    <row r="8" spans="1:16" ht="32.4" customHeight="1" x14ac:dyDescent="0.3">
      <c r="A8" s="51">
        <v>12</v>
      </c>
      <c r="B8" s="106" t="s">
        <v>4</v>
      </c>
      <c r="C8" s="210" t="s">
        <v>86</v>
      </c>
      <c r="D8" s="210"/>
      <c r="E8" s="210"/>
      <c r="F8" s="210"/>
      <c r="G8" s="210"/>
      <c r="H8" s="210"/>
      <c r="I8" s="210"/>
      <c r="J8" s="107">
        <v>0</v>
      </c>
      <c r="K8" s="107"/>
      <c r="M8" s="211" t="s">
        <v>14</v>
      </c>
      <c r="N8" s="211"/>
      <c r="O8" s="211"/>
      <c r="P8" s="52">
        <v>12</v>
      </c>
    </row>
    <row r="9" spans="1:16" ht="32.4" customHeight="1" x14ac:dyDescent="0.3">
      <c r="A9" s="51">
        <v>7</v>
      </c>
      <c r="B9" s="106" t="s">
        <v>5</v>
      </c>
      <c r="C9" s="210" t="s">
        <v>87</v>
      </c>
      <c r="D9" s="210"/>
      <c r="E9" s="210"/>
      <c r="F9" s="210"/>
      <c r="G9" s="210"/>
      <c r="H9" s="210"/>
      <c r="I9" s="210"/>
      <c r="J9" s="107">
        <v>-1</v>
      </c>
      <c r="K9" s="107"/>
      <c r="M9" s="211" t="s">
        <v>12</v>
      </c>
      <c r="N9" s="211"/>
      <c r="O9" s="211"/>
      <c r="P9" s="52">
        <v>14</v>
      </c>
    </row>
    <row r="10" spans="1:16" ht="32.4" customHeight="1" x14ac:dyDescent="0.3">
      <c r="A10" s="51">
        <v>13</v>
      </c>
      <c r="B10" s="106" t="s">
        <v>6</v>
      </c>
      <c r="C10" s="210" t="s">
        <v>88</v>
      </c>
      <c r="D10" s="210"/>
      <c r="E10" s="210"/>
      <c r="F10" s="210"/>
      <c r="G10" s="210"/>
      <c r="H10" s="210"/>
      <c r="I10" s="210"/>
      <c r="J10" s="107">
        <v>1</v>
      </c>
      <c r="K10" s="107"/>
      <c r="M10" s="211" t="s">
        <v>13</v>
      </c>
      <c r="N10" s="211"/>
      <c r="O10" s="211"/>
      <c r="P10" s="52">
        <v>11</v>
      </c>
    </row>
    <row r="11" spans="1:16" ht="32.4" customHeight="1" x14ac:dyDescent="0.3">
      <c r="A11" s="51">
        <v>9</v>
      </c>
      <c r="B11" s="106" t="s">
        <v>7</v>
      </c>
      <c r="C11" s="210" t="s">
        <v>89</v>
      </c>
      <c r="D11" s="210"/>
      <c r="E11" s="210"/>
      <c r="F11" s="210"/>
      <c r="G11" s="210"/>
      <c r="H11" s="210"/>
      <c r="I11" s="210"/>
      <c r="J11" s="107">
        <v>0</v>
      </c>
      <c r="K11" s="107"/>
      <c r="M11" s="212" t="s">
        <v>342</v>
      </c>
      <c r="N11" s="212"/>
      <c r="O11" s="212"/>
      <c r="P11" s="213"/>
    </row>
    <row r="12" spans="1:16" ht="8.4" customHeight="1" x14ac:dyDescent="0.3">
      <c r="A12" s="54"/>
      <c r="P12" s="97"/>
    </row>
    <row r="13" spans="1:16" s="3" customFormat="1" ht="15.6" customHeight="1" x14ac:dyDescent="0.3">
      <c r="A13" s="55" t="s">
        <v>16</v>
      </c>
      <c r="B13" s="22"/>
      <c r="C13" s="108"/>
      <c r="D13" s="22" t="s">
        <v>17</v>
      </c>
      <c r="E13" s="22"/>
      <c r="F13" s="22"/>
      <c r="G13" s="108"/>
      <c r="H13" s="162" t="s">
        <v>65</v>
      </c>
      <c r="I13" s="162" t="s">
        <v>66</v>
      </c>
      <c r="J13" s="162" t="s">
        <v>67</v>
      </c>
      <c r="K13" s="163" t="s">
        <v>345</v>
      </c>
      <c r="L13" s="162" t="s">
        <v>343</v>
      </c>
      <c r="N13" s="32" t="s">
        <v>55</v>
      </c>
      <c r="O13" s="33"/>
      <c r="P13" s="76"/>
    </row>
    <row r="14" spans="1:16" s="3" customFormat="1" ht="15.6" customHeight="1" x14ac:dyDescent="0.3">
      <c r="A14" s="206" t="s">
        <v>167</v>
      </c>
      <c r="B14" s="207"/>
      <c r="D14" s="108" t="s">
        <v>21</v>
      </c>
      <c r="E14" s="108"/>
      <c r="G14" s="81" t="s">
        <v>70</v>
      </c>
      <c r="H14" s="110">
        <v>20</v>
      </c>
      <c r="I14" s="1">
        <f>J14*1.5</f>
        <v>6</v>
      </c>
      <c r="J14" s="1">
        <f>H14/5</f>
        <v>4</v>
      </c>
      <c r="K14" s="163" t="s">
        <v>346</v>
      </c>
      <c r="L14" s="162" t="s">
        <v>47</v>
      </c>
      <c r="N14" s="18" t="s">
        <v>56</v>
      </c>
      <c r="O14" s="18"/>
      <c r="P14" s="77"/>
    </row>
    <row r="15" spans="1:16" s="3" customFormat="1" ht="15.6" customHeight="1" x14ac:dyDescent="0.3">
      <c r="A15" s="208"/>
      <c r="B15" s="209"/>
      <c r="D15" s="111" t="s">
        <v>37</v>
      </c>
      <c r="E15" s="111"/>
      <c r="F15" s="112"/>
      <c r="G15" s="113" t="s">
        <v>71</v>
      </c>
      <c r="H15" s="114">
        <v>60</v>
      </c>
      <c r="I15" s="114">
        <f>J15*1.5</f>
        <v>18</v>
      </c>
      <c r="J15" s="114">
        <f t="shared" ref="J15:J18" si="0">H15/5</f>
        <v>12</v>
      </c>
      <c r="K15" s="164" t="s">
        <v>47</v>
      </c>
      <c r="L15" s="165" t="s">
        <v>47</v>
      </c>
      <c r="N15" s="18" t="s">
        <v>57</v>
      </c>
      <c r="O15" s="18"/>
      <c r="P15" s="77"/>
    </row>
    <row r="16" spans="1:16" s="3" customFormat="1" ht="15.6" customHeight="1" x14ac:dyDescent="0.3">
      <c r="A16" s="208"/>
      <c r="B16" s="209"/>
      <c r="D16" s="108" t="s">
        <v>18</v>
      </c>
      <c r="E16" s="108"/>
      <c r="G16" s="81" t="s">
        <v>70</v>
      </c>
      <c r="H16" s="110">
        <v>60</v>
      </c>
      <c r="I16" s="1">
        <f>J16*1.5</f>
        <v>18</v>
      </c>
      <c r="J16" s="1">
        <f t="shared" si="0"/>
        <v>12</v>
      </c>
      <c r="K16" s="163">
        <f>J16+(J16/2)</f>
        <v>18</v>
      </c>
      <c r="L16" s="214" t="s">
        <v>344</v>
      </c>
      <c r="N16" s="18" t="s">
        <v>58</v>
      </c>
      <c r="O16" s="18"/>
      <c r="P16" s="77"/>
    </row>
    <row r="17" spans="1:16" s="3" customFormat="1" ht="15.6" customHeight="1" x14ac:dyDescent="0.3">
      <c r="A17" s="57" t="s">
        <v>196</v>
      </c>
      <c r="B17" s="115"/>
      <c r="D17" s="111" t="s">
        <v>35</v>
      </c>
      <c r="E17" s="111"/>
      <c r="F17" s="112"/>
      <c r="G17" s="113" t="s">
        <v>70</v>
      </c>
      <c r="H17" s="114">
        <v>10</v>
      </c>
      <c r="I17" s="114">
        <f>J17*1.5</f>
        <v>3</v>
      </c>
      <c r="J17" s="114">
        <f t="shared" si="0"/>
        <v>2</v>
      </c>
      <c r="K17" s="164">
        <f t="shared" ref="K17:K18" si="1">J17+(J17/2)</f>
        <v>3</v>
      </c>
      <c r="L17" s="214"/>
      <c r="N17" s="18" t="s">
        <v>59</v>
      </c>
      <c r="O17" s="18"/>
      <c r="P17" s="77"/>
    </row>
    <row r="18" spans="1:16" s="3" customFormat="1" ht="15.6" customHeight="1" x14ac:dyDescent="0.3">
      <c r="A18" s="57" t="s">
        <v>95</v>
      </c>
      <c r="B18" s="116"/>
      <c r="D18" s="108" t="s">
        <v>36</v>
      </c>
      <c r="E18" s="108"/>
      <c r="G18" s="81" t="s">
        <v>70</v>
      </c>
      <c r="H18" s="110">
        <v>10</v>
      </c>
      <c r="I18" s="1">
        <f>J18*1.5</f>
        <v>3</v>
      </c>
      <c r="J18" s="1">
        <f t="shared" si="0"/>
        <v>2</v>
      </c>
      <c r="K18" s="163">
        <f t="shared" si="1"/>
        <v>3</v>
      </c>
      <c r="L18" s="214"/>
      <c r="N18" s="18" t="s">
        <v>60</v>
      </c>
      <c r="O18" s="18"/>
      <c r="P18" s="77"/>
    </row>
    <row r="19" spans="1:16" s="3" customFormat="1" ht="15.6" customHeight="1" x14ac:dyDescent="0.3">
      <c r="A19" s="21"/>
      <c r="B19" s="20"/>
      <c r="D19" s="111" t="s">
        <v>22</v>
      </c>
      <c r="E19" s="111"/>
      <c r="F19" s="112"/>
      <c r="G19" s="113" t="s">
        <v>72</v>
      </c>
      <c r="H19" s="117" t="s">
        <v>142</v>
      </c>
      <c r="I19" s="117" t="s">
        <v>68</v>
      </c>
      <c r="J19" s="117"/>
      <c r="K19" s="164" t="s">
        <v>47</v>
      </c>
      <c r="L19" s="165" t="s">
        <v>47</v>
      </c>
      <c r="N19" s="18" t="s">
        <v>90</v>
      </c>
      <c r="O19" s="18"/>
      <c r="P19" s="77"/>
    </row>
    <row r="20" spans="1:16" s="3" customFormat="1" ht="15.6" customHeight="1" x14ac:dyDescent="0.3">
      <c r="A20" s="177"/>
      <c r="B20" s="203"/>
      <c r="N20" s="229" t="s">
        <v>61</v>
      </c>
      <c r="O20" s="229"/>
      <c r="P20" s="230"/>
    </row>
    <row r="21" spans="1:16" s="3" customFormat="1" ht="15.6" customHeight="1" x14ac:dyDescent="0.3">
      <c r="A21" s="178" t="s">
        <v>671</v>
      </c>
      <c r="B21" s="21"/>
      <c r="N21" s="18"/>
      <c r="O21" s="18"/>
      <c r="P21" s="78"/>
    </row>
    <row r="22" spans="1:16" ht="15.6" customHeight="1" x14ac:dyDescent="0.3">
      <c r="A22" s="178" t="s">
        <v>672</v>
      </c>
      <c r="B22" s="21"/>
      <c r="N22" s="119"/>
      <c r="O22" s="119" t="s">
        <v>46</v>
      </c>
      <c r="P22" s="60">
        <v>8</v>
      </c>
    </row>
    <row r="23" spans="1:16" ht="15.6" customHeight="1" x14ac:dyDescent="0.3">
      <c r="A23" s="178" t="s">
        <v>673</v>
      </c>
      <c r="B23" s="21"/>
      <c r="M23" s="108"/>
      <c r="N23" s="120"/>
      <c r="O23" s="21"/>
      <c r="P23" s="61"/>
    </row>
    <row r="24" spans="1:16" ht="15.6" customHeight="1" x14ac:dyDescent="0.3">
      <c r="A24" s="178" t="s">
        <v>674</v>
      </c>
      <c r="B24" s="21"/>
      <c r="M24" s="108"/>
      <c r="N24" s="34"/>
      <c r="O24" s="34" t="s">
        <v>216</v>
      </c>
      <c r="P24" s="62" t="s">
        <v>217</v>
      </c>
    </row>
    <row r="25" spans="1:16" ht="15.6" customHeight="1" x14ac:dyDescent="0.3">
      <c r="A25" s="178" t="s">
        <v>675</v>
      </c>
      <c r="B25" s="21"/>
      <c r="N25" s="121" t="s">
        <v>42</v>
      </c>
      <c r="O25" s="21"/>
      <c r="P25" s="63"/>
    </row>
    <row r="26" spans="1:16" ht="15.6" customHeight="1" x14ac:dyDescent="0.3">
      <c r="A26" s="94" t="s">
        <v>676</v>
      </c>
      <c r="B26" s="21"/>
      <c r="N26" s="121" t="s">
        <v>39</v>
      </c>
      <c r="O26" s="21"/>
      <c r="P26" s="63">
        <v>500</v>
      </c>
    </row>
    <row r="27" spans="1:16" ht="15.6" customHeight="1" x14ac:dyDescent="0.3">
      <c r="A27" s="94" t="s">
        <v>677</v>
      </c>
      <c r="N27" s="121" t="s">
        <v>43</v>
      </c>
      <c r="O27" s="21"/>
      <c r="P27" s="63"/>
    </row>
    <row r="28" spans="1:16" ht="15.6" customHeight="1" x14ac:dyDescent="0.3">
      <c r="A28" s="179" t="s">
        <v>678</v>
      </c>
      <c r="N28" s="121" t="s">
        <v>40</v>
      </c>
      <c r="O28" s="21"/>
      <c r="P28" s="63"/>
    </row>
    <row r="29" spans="1:16" ht="15.6" customHeight="1" x14ac:dyDescent="0.3">
      <c r="A29" s="179" t="s">
        <v>681</v>
      </c>
      <c r="N29" s="124"/>
      <c r="O29" s="119" t="s">
        <v>46</v>
      </c>
      <c r="P29" s="60">
        <v>5</v>
      </c>
    </row>
    <row r="30" spans="1:16" x14ac:dyDescent="0.3">
      <c r="A30" s="179"/>
      <c r="P30" s="53"/>
    </row>
    <row r="31" spans="1:16" ht="15.6" customHeight="1" x14ac:dyDescent="0.3">
      <c r="A31" s="55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 t="s">
        <v>99</v>
      </c>
      <c r="J31" s="24"/>
      <c r="K31" s="24"/>
      <c r="N31" s="22" t="s">
        <v>29</v>
      </c>
      <c r="O31" s="24"/>
      <c r="P31" s="50"/>
    </row>
    <row r="32" spans="1:16" x14ac:dyDescent="0.3">
      <c r="A32" s="205" t="s">
        <v>30</v>
      </c>
      <c r="B32" s="2" t="s">
        <v>75</v>
      </c>
      <c r="N32" s="2" t="s">
        <v>53</v>
      </c>
      <c r="P32" s="53"/>
    </row>
    <row r="33" spans="1:27" x14ac:dyDescent="0.3">
      <c r="A33" s="205" t="s">
        <v>31</v>
      </c>
      <c r="B33" s="2" t="s">
        <v>77</v>
      </c>
      <c r="N33" s="2" t="s">
        <v>32</v>
      </c>
      <c r="P33" s="53"/>
    </row>
    <row r="34" spans="1:27" x14ac:dyDescent="0.3">
      <c r="A34" s="205" t="s">
        <v>38</v>
      </c>
      <c r="B34" s="2" t="s">
        <v>76</v>
      </c>
      <c r="N34" s="2" t="s">
        <v>54</v>
      </c>
      <c r="P34" s="53"/>
    </row>
    <row r="35" spans="1:27" x14ac:dyDescent="0.3">
      <c r="A35" s="205" t="s">
        <v>63</v>
      </c>
      <c r="B35" s="2" t="s">
        <v>64</v>
      </c>
      <c r="N35" s="2" t="s">
        <v>73</v>
      </c>
      <c r="P35" s="53"/>
    </row>
    <row r="36" spans="1:27" x14ac:dyDescent="0.3">
      <c r="A36" s="54"/>
      <c r="L36" s="125" t="s">
        <v>195</v>
      </c>
      <c r="P36" s="53"/>
    </row>
    <row r="37" spans="1:27" ht="15.6" x14ac:dyDescent="0.3">
      <c r="A37" s="66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217" t="s">
        <v>26</v>
      </c>
      <c r="N37" s="217"/>
      <c r="O37" s="22" t="s">
        <v>27</v>
      </c>
      <c r="P37" s="50"/>
    </row>
    <row r="38" spans="1:27" ht="18" x14ac:dyDescent="0.3">
      <c r="A38" s="65" t="s">
        <v>51</v>
      </c>
      <c r="B38" s="1" t="s">
        <v>23</v>
      </c>
      <c r="C38" s="126">
        <v>8</v>
      </c>
      <c r="D38" s="127">
        <f>C38+1</f>
        <v>9</v>
      </c>
      <c r="E38" s="126">
        <f t="shared" ref="E38:L38" si="3">D38+1</f>
        <v>10</v>
      </c>
      <c r="F38" s="127">
        <f t="shared" si="3"/>
        <v>11</v>
      </c>
      <c r="G38" s="126">
        <f t="shared" si="3"/>
        <v>12</v>
      </c>
      <c r="H38" s="127">
        <f t="shared" si="3"/>
        <v>13</v>
      </c>
      <c r="I38" s="126">
        <f t="shared" si="3"/>
        <v>14</v>
      </c>
      <c r="J38" s="127">
        <f t="shared" si="3"/>
        <v>15</v>
      </c>
      <c r="K38" s="126">
        <f t="shared" si="3"/>
        <v>16</v>
      </c>
      <c r="L38" s="127">
        <f t="shared" si="3"/>
        <v>17</v>
      </c>
      <c r="M38" s="218" t="s">
        <v>28</v>
      </c>
      <c r="N38" s="218"/>
      <c r="P38" s="53"/>
    </row>
    <row r="39" spans="1:27" ht="18" x14ac:dyDescent="0.3">
      <c r="A39" s="65" t="s">
        <v>52</v>
      </c>
      <c r="B39" s="1" t="s">
        <v>79</v>
      </c>
      <c r="C39" s="126">
        <v>8</v>
      </c>
      <c r="D39" s="127">
        <f t="shared" ref="D39:L39" si="4">C39+1</f>
        <v>9</v>
      </c>
      <c r="E39" s="126">
        <f t="shared" si="4"/>
        <v>10</v>
      </c>
      <c r="F39" s="127">
        <f t="shared" si="4"/>
        <v>11</v>
      </c>
      <c r="G39" s="126">
        <f t="shared" si="4"/>
        <v>12</v>
      </c>
      <c r="H39" s="127">
        <f t="shared" si="4"/>
        <v>13</v>
      </c>
      <c r="I39" s="126">
        <f t="shared" si="4"/>
        <v>14</v>
      </c>
      <c r="J39" s="127">
        <f t="shared" si="4"/>
        <v>15</v>
      </c>
      <c r="K39" s="126">
        <f t="shared" si="4"/>
        <v>16</v>
      </c>
      <c r="L39" s="127">
        <f t="shared" si="4"/>
        <v>17</v>
      </c>
      <c r="M39" s="219" t="s">
        <v>83</v>
      </c>
      <c r="N39" s="219"/>
      <c r="O39" s="3" t="s">
        <v>82</v>
      </c>
      <c r="P39" s="53"/>
      <c r="AA39"/>
    </row>
    <row r="40" spans="1:27" ht="18.600000000000001" thickBot="1" x14ac:dyDescent="0.35">
      <c r="A40" s="67" t="s">
        <v>78</v>
      </c>
      <c r="B40" s="68" t="s">
        <v>80</v>
      </c>
      <c r="C40" s="69">
        <v>9</v>
      </c>
      <c r="D40" s="70">
        <f t="shared" ref="D40:L40" si="5">C40+1</f>
        <v>10</v>
      </c>
      <c r="E40" s="69">
        <f t="shared" si="5"/>
        <v>11</v>
      </c>
      <c r="F40" s="70">
        <f t="shared" si="5"/>
        <v>12</v>
      </c>
      <c r="G40" s="69">
        <f t="shared" si="5"/>
        <v>13</v>
      </c>
      <c r="H40" s="70">
        <f t="shared" si="5"/>
        <v>14</v>
      </c>
      <c r="I40" s="69">
        <f t="shared" si="5"/>
        <v>15</v>
      </c>
      <c r="J40" s="70">
        <f t="shared" si="5"/>
        <v>16</v>
      </c>
      <c r="K40" s="69">
        <f t="shared" si="5"/>
        <v>17</v>
      </c>
      <c r="L40" s="70">
        <f t="shared" si="5"/>
        <v>18</v>
      </c>
      <c r="M40" s="220" t="s">
        <v>81</v>
      </c>
      <c r="N40" s="220"/>
      <c r="O40" s="128"/>
      <c r="P40" s="72"/>
    </row>
  </sheetData>
  <mergeCells count="19">
    <mergeCell ref="M39:N39"/>
    <mergeCell ref="C11:I11"/>
    <mergeCell ref="N20:P20"/>
    <mergeCell ref="M40:N40"/>
    <mergeCell ref="M37:N37"/>
    <mergeCell ref="M38:N38"/>
    <mergeCell ref="M11:P11"/>
    <mergeCell ref="L16:L1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49"/>
  <sheetViews>
    <sheetView zoomScale="120" zoomScaleNormal="120" workbookViewId="0">
      <selection activeCell="U11" sqref="U11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98">
        <f>Cleric!F4</f>
        <v>20</v>
      </c>
      <c r="E1" s="2" t="s">
        <v>212</v>
      </c>
      <c r="G1" s="198" t="str">
        <f>Cleric!G4</f>
        <v>+6</v>
      </c>
      <c r="I1" s="2" t="s">
        <v>215</v>
      </c>
      <c r="K1" s="198"/>
      <c r="M1" s="2" t="s">
        <v>214</v>
      </c>
      <c r="O1" s="201">
        <f>Cleric!P22+Cleric!P29</f>
        <v>13</v>
      </c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zoomScale="120" zoomScaleNormal="120" workbookViewId="0">
      <selection activeCell="J3" sqref="J3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213</v>
      </c>
      <c r="B1" s="1"/>
      <c r="C1" s="14"/>
      <c r="E1" s="2" t="s">
        <v>212</v>
      </c>
      <c r="G1" s="14"/>
      <c r="I1" s="2" t="s">
        <v>215</v>
      </c>
      <c r="K1" s="14"/>
      <c r="M1" s="2" t="s">
        <v>214</v>
      </c>
      <c r="O1" s="15"/>
      <c r="P1" s="16"/>
      <c r="Q1" s="17"/>
    </row>
    <row r="2" spans="1:21" ht="17.399999999999999" customHeight="1" x14ac:dyDescent="0.3">
      <c r="A2" s="135" t="s">
        <v>45</v>
      </c>
      <c r="B2" s="129"/>
      <c r="C2" s="129"/>
      <c r="D2" s="129"/>
      <c r="E2" s="129"/>
      <c r="F2" s="129"/>
      <c r="G2" s="129"/>
      <c r="H2" s="79" t="s">
        <v>44</v>
      </c>
      <c r="I2" s="79" t="s">
        <v>46</v>
      </c>
      <c r="J2" s="223" t="s">
        <v>360</v>
      </c>
      <c r="K2" s="223"/>
      <c r="L2" s="223"/>
      <c r="M2" s="223"/>
      <c r="N2" s="223"/>
      <c r="O2" s="223"/>
      <c r="P2" s="224"/>
      <c r="Q2" s="223"/>
      <c r="R2" s="6"/>
      <c r="S2" s="6"/>
      <c r="T2" s="6"/>
      <c r="U2" s="6"/>
    </row>
    <row r="3" spans="1:21" ht="17.399999999999999" customHeight="1" x14ac:dyDescent="0.3">
      <c r="A3" s="109">
        <v>1</v>
      </c>
      <c r="B3" s="2"/>
      <c r="C3" s="2"/>
      <c r="D3" s="2"/>
      <c r="E3" s="1"/>
      <c r="F3" s="2"/>
      <c r="G3" s="2"/>
      <c r="H3" s="9"/>
      <c r="I3" s="10"/>
      <c r="J3" s="198" t="s">
        <v>9</v>
      </c>
      <c r="K3" s="160"/>
      <c r="L3" s="160"/>
      <c r="M3" s="160"/>
      <c r="N3" s="160"/>
      <c r="O3" s="160"/>
      <c r="P3" s="160"/>
      <c r="Q3" s="160"/>
    </row>
    <row r="4" spans="1:21" ht="17.399999999999999" customHeight="1" x14ac:dyDescent="0.3">
      <c r="A4" s="136">
        <f>A3+1</f>
        <v>2</v>
      </c>
      <c r="B4" s="130"/>
      <c r="C4" s="130"/>
      <c r="D4" s="130"/>
      <c r="E4" s="130"/>
      <c r="F4" s="130"/>
      <c r="G4" s="130"/>
      <c r="H4" s="11"/>
      <c r="I4" s="11"/>
      <c r="J4" s="270"/>
      <c r="K4" s="160"/>
      <c r="L4" s="160"/>
      <c r="M4" s="160"/>
      <c r="N4" s="160"/>
      <c r="O4" s="160"/>
      <c r="P4" s="160"/>
      <c r="Q4" s="160"/>
    </row>
    <row r="5" spans="1:21" ht="17.399999999999999" customHeight="1" x14ac:dyDescent="0.3">
      <c r="A5" s="109">
        <f>A4+1</f>
        <v>3</v>
      </c>
      <c r="B5" s="2"/>
      <c r="C5" s="2"/>
      <c r="D5" s="2"/>
      <c r="E5" s="1"/>
      <c r="F5" s="2"/>
      <c r="G5" s="2"/>
      <c r="H5" s="10"/>
      <c r="I5" s="10"/>
      <c r="J5" s="270"/>
      <c r="K5" s="160"/>
      <c r="L5" s="160"/>
      <c r="M5" s="160"/>
      <c r="N5" s="160"/>
      <c r="O5" s="160"/>
      <c r="P5" s="160"/>
      <c r="Q5" s="160"/>
    </row>
    <row r="6" spans="1:21" ht="17.399999999999999" customHeight="1" x14ac:dyDescent="0.3">
      <c r="A6" s="136">
        <f t="shared" ref="A6:A22" si="0">A5+1</f>
        <v>4</v>
      </c>
      <c r="B6" s="130"/>
      <c r="C6" s="130"/>
      <c r="D6" s="130"/>
      <c r="E6" s="130"/>
      <c r="F6" s="130"/>
      <c r="G6" s="130"/>
      <c r="H6" s="11"/>
      <c r="I6" s="11"/>
      <c r="J6" s="271" t="s">
        <v>336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09">
        <f t="shared" si="0"/>
        <v>5</v>
      </c>
      <c r="B7" s="2"/>
      <c r="C7" s="2"/>
      <c r="D7" s="2"/>
      <c r="E7" s="1"/>
      <c r="F7" s="2"/>
      <c r="G7" s="2"/>
      <c r="H7" s="10"/>
      <c r="I7" s="10"/>
      <c r="J7" s="272" t="s">
        <v>354</v>
      </c>
      <c r="K7" s="167" t="s">
        <v>348</v>
      </c>
      <c r="L7" s="167" t="s">
        <v>349</v>
      </c>
      <c r="M7" s="167" t="s">
        <v>350</v>
      </c>
      <c r="N7" s="167" t="s">
        <v>351</v>
      </c>
      <c r="O7" s="167" t="s">
        <v>352</v>
      </c>
      <c r="P7" s="167"/>
      <c r="Q7" s="167"/>
    </row>
    <row r="8" spans="1:21" ht="17.399999999999999" customHeight="1" x14ac:dyDescent="0.3">
      <c r="A8" s="136">
        <f t="shared" si="0"/>
        <v>6</v>
      </c>
      <c r="B8" s="130"/>
      <c r="C8" s="130"/>
      <c r="D8" s="130"/>
      <c r="E8" s="130"/>
      <c r="F8" s="130"/>
      <c r="G8" s="130"/>
      <c r="H8" s="11"/>
      <c r="I8" s="11"/>
      <c r="J8" s="273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09">
        <f t="shared" si="0"/>
        <v>7</v>
      </c>
      <c r="B9" s="2"/>
      <c r="C9" s="2"/>
      <c r="D9" s="2"/>
      <c r="E9" s="1"/>
      <c r="F9" s="2"/>
      <c r="G9" s="2"/>
      <c r="H9" s="10"/>
      <c r="I9" s="10"/>
      <c r="J9" s="273" t="s">
        <v>337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36">
        <f t="shared" si="0"/>
        <v>8</v>
      </c>
      <c r="B10" s="130"/>
      <c r="C10" s="130"/>
      <c r="D10" s="130"/>
      <c r="E10" s="130"/>
      <c r="F10" s="130"/>
      <c r="G10" s="130"/>
      <c r="H10" s="11"/>
      <c r="I10" s="11"/>
      <c r="J10" s="273" t="s">
        <v>338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0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73" t="s">
        <v>339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36">
        <f t="shared" si="0"/>
        <v>10</v>
      </c>
      <c r="B12" s="130"/>
      <c r="C12" s="130"/>
      <c r="D12" s="130"/>
      <c r="E12" s="130"/>
      <c r="F12" s="130"/>
      <c r="G12" s="130"/>
      <c r="H12" s="11"/>
      <c r="I12" s="11"/>
      <c r="J12" s="273" t="s">
        <v>341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0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73" t="s">
        <v>340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36">
        <f t="shared" si="0"/>
        <v>12</v>
      </c>
      <c r="B14" s="130"/>
      <c r="C14" s="130"/>
      <c r="D14" s="130"/>
      <c r="E14" s="130"/>
      <c r="F14" s="130"/>
      <c r="G14" s="130"/>
      <c r="H14" s="11"/>
      <c r="I14" s="11"/>
      <c r="J14" s="279" t="s">
        <v>359</v>
      </c>
      <c r="K14" s="276"/>
      <c r="L14" s="276"/>
      <c r="M14" s="276"/>
      <c r="N14" s="276"/>
      <c r="O14" s="276"/>
      <c r="P14" s="276"/>
      <c r="Q14" s="277"/>
    </row>
    <row r="15" spans="1:21" ht="17.399999999999999" customHeight="1" x14ac:dyDescent="0.3">
      <c r="A15" s="10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80" t="s">
        <v>353</v>
      </c>
      <c r="K15" s="240"/>
      <c r="L15" s="240"/>
      <c r="M15" s="240"/>
      <c r="N15" s="240"/>
      <c r="O15" s="240"/>
      <c r="P15" s="240"/>
      <c r="Q15" s="168"/>
      <c r="S15" s="177"/>
    </row>
    <row r="16" spans="1:21" ht="17.399999999999999" customHeight="1" x14ac:dyDescent="0.3">
      <c r="A16" s="136">
        <f t="shared" si="0"/>
        <v>14</v>
      </c>
      <c r="B16" s="130"/>
      <c r="C16" s="130"/>
      <c r="D16" s="130"/>
      <c r="E16" s="130"/>
      <c r="F16" s="130"/>
      <c r="G16" s="130"/>
      <c r="H16" s="11"/>
      <c r="I16" s="11"/>
      <c r="J16" s="280" t="s">
        <v>221</v>
      </c>
      <c r="K16" s="240"/>
      <c r="L16" s="240"/>
      <c r="M16" s="240"/>
      <c r="N16" s="240"/>
      <c r="O16" s="240"/>
      <c r="P16" s="240"/>
      <c r="Q16" s="168"/>
      <c r="S16" s="178"/>
    </row>
    <row r="17" spans="1:21" ht="17.399999999999999" customHeight="1" x14ac:dyDescent="0.3">
      <c r="A17" s="10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80" t="s">
        <v>335</v>
      </c>
      <c r="K17" s="240"/>
      <c r="L17" s="240"/>
      <c r="M17" s="240"/>
      <c r="N17" s="240"/>
      <c r="O17" s="240"/>
      <c r="P17" s="240"/>
      <c r="Q17" s="168"/>
      <c r="S17" s="178"/>
    </row>
    <row r="18" spans="1:21" ht="17.399999999999999" customHeight="1" x14ac:dyDescent="0.3">
      <c r="A18" s="136">
        <f t="shared" si="0"/>
        <v>16</v>
      </c>
      <c r="B18" s="130"/>
      <c r="C18" s="130"/>
      <c r="D18" s="130"/>
      <c r="E18" s="130"/>
      <c r="F18" s="130"/>
      <c r="G18" s="130"/>
      <c r="H18" s="11"/>
      <c r="I18" s="11"/>
      <c r="J18" s="280" t="s">
        <v>220</v>
      </c>
      <c r="K18" s="240"/>
      <c r="L18" s="240"/>
      <c r="M18" s="240"/>
      <c r="N18" s="240"/>
      <c r="O18" s="240"/>
      <c r="P18" s="240"/>
      <c r="Q18" s="168"/>
      <c r="S18" s="178"/>
    </row>
    <row r="19" spans="1:21" ht="17.399999999999999" customHeight="1" x14ac:dyDescent="0.3">
      <c r="A19" s="10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80" t="s">
        <v>218</v>
      </c>
      <c r="K19" s="240"/>
      <c r="L19" s="240"/>
      <c r="M19" s="240"/>
      <c r="N19" s="240"/>
      <c r="O19" s="240"/>
      <c r="P19" s="240"/>
      <c r="Q19" s="168"/>
      <c r="S19" s="178"/>
    </row>
    <row r="20" spans="1:21" ht="17.399999999999999" customHeight="1" x14ac:dyDescent="0.3">
      <c r="A20" s="137">
        <f t="shared" si="0"/>
        <v>18</v>
      </c>
      <c r="B20" s="131"/>
      <c r="C20" s="130"/>
      <c r="D20" s="130"/>
      <c r="E20" s="130"/>
      <c r="F20" s="130"/>
      <c r="G20" s="130"/>
      <c r="H20" s="11"/>
      <c r="I20" s="11"/>
      <c r="J20" s="280" t="s">
        <v>357</v>
      </c>
      <c r="K20" s="240"/>
      <c r="L20" s="240"/>
      <c r="M20" s="240"/>
      <c r="N20" s="240"/>
      <c r="O20" s="240"/>
      <c r="P20" s="240"/>
      <c r="Q20" s="168"/>
      <c r="S20" s="178" t="s">
        <v>355</v>
      </c>
    </row>
    <row r="21" spans="1:21" ht="17.399999999999999" customHeight="1" x14ac:dyDescent="0.3">
      <c r="A21" s="80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80" t="s">
        <v>356</v>
      </c>
      <c r="K21" s="240"/>
      <c r="L21" s="240"/>
      <c r="M21" s="240"/>
      <c r="N21" s="240"/>
      <c r="O21" s="240"/>
      <c r="P21" s="240"/>
      <c r="Q21" s="168"/>
      <c r="S21" s="178" t="s">
        <v>355</v>
      </c>
    </row>
    <row r="22" spans="1:21" ht="17.399999999999999" customHeight="1" x14ac:dyDescent="0.3">
      <c r="A22" s="137">
        <f t="shared" si="0"/>
        <v>20</v>
      </c>
      <c r="B22" s="130"/>
      <c r="C22" s="8"/>
      <c r="D22" s="8"/>
      <c r="E22" s="8"/>
      <c r="F22" s="8"/>
      <c r="G22" s="8"/>
      <c r="H22" s="12"/>
      <c r="I22" s="12"/>
      <c r="J22" s="281" t="s">
        <v>219</v>
      </c>
      <c r="K22" s="24"/>
      <c r="L22" s="24"/>
      <c r="M22" s="24"/>
      <c r="N22" s="24"/>
      <c r="O22" s="24"/>
      <c r="P22" s="24"/>
      <c r="Q22" s="278"/>
      <c r="S22" s="179" t="s">
        <v>355</v>
      </c>
    </row>
    <row r="23" spans="1:21" ht="14.4" customHeight="1" thickBot="1" x14ac:dyDescent="0.35">
      <c r="A23" s="170"/>
      <c r="B23" s="171"/>
      <c r="C23" s="171"/>
      <c r="D23" s="171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80" t="s">
        <v>358</v>
      </c>
    </row>
    <row r="24" spans="1:21" ht="17.399999999999999" customHeight="1" x14ac:dyDescent="0.3">
      <c r="A24" s="225" t="s">
        <v>195</v>
      </c>
      <c r="B24" s="226"/>
      <c r="C24" s="134" t="s">
        <v>8</v>
      </c>
      <c r="D24" s="134" t="s">
        <v>8</v>
      </c>
      <c r="E24" s="134" t="s">
        <v>8</v>
      </c>
      <c r="F24" s="134" t="s">
        <v>8</v>
      </c>
      <c r="G24" s="134" t="s">
        <v>8</v>
      </c>
      <c r="H24" s="134" t="s">
        <v>8</v>
      </c>
      <c r="I24" s="134" t="s">
        <v>8</v>
      </c>
      <c r="J24" s="134" t="s">
        <v>8</v>
      </c>
      <c r="K24" s="134" t="s">
        <v>8</v>
      </c>
      <c r="L24" s="134" t="s">
        <v>8</v>
      </c>
      <c r="M24" s="134" t="s">
        <v>8</v>
      </c>
      <c r="N24" s="134" t="s">
        <v>8</v>
      </c>
      <c r="O24" s="134" t="s">
        <v>8</v>
      </c>
      <c r="P24" s="134" t="s">
        <v>8</v>
      </c>
      <c r="Q24" s="134" t="s">
        <v>8</v>
      </c>
    </row>
    <row r="25" spans="1:21" ht="17.399999999999999" customHeight="1" x14ac:dyDescent="0.3">
      <c r="A25" s="138"/>
      <c r="B25" s="139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27">
        <v>19</v>
      </c>
      <c r="B26" s="221"/>
      <c r="C26" s="132">
        <f>$A26-C$25</f>
        <v>22</v>
      </c>
      <c r="D26" s="132">
        <f t="shared" ref="D26:Q26" si="2">$A26-D$25</f>
        <v>21</v>
      </c>
      <c r="E26" s="132">
        <f t="shared" si="2"/>
        <v>20</v>
      </c>
      <c r="F26" s="132">
        <f t="shared" si="2"/>
        <v>19</v>
      </c>
      <c r="G26" s="132">
        <f t="shared" si="2"/>
        <v>18</v>
      </c>
      <c r="H26" s="132">
        <f t="shared" si="2"/>
        <v>17</v>
      </c>
      <c r="I26" s="132">
        <f t="shared" si="2"/>
        <v>16</v>
      </c>
      <c r="J26" s="132">
        <f t="shared" si="2"/>
        <v>15</v>
      </c>
      <c r="K26" s="132">
        <f t="shared" si="2"/>
        <v>14</v>
      </c>
      <c r="L26" s="132">
        <f t="shared" si="2"/>
        <v>13</v>
      </c>
      <c r="M26" s="132">
        <f t="shared" si="2"/>
        <v>12</v>
      </c>
      <c r="N26" s="132">
        <f t="shared" si="2"/>
        <v>11</v>
      </c>
      <c r="O26" s="132">
        <f t="shared" si="2"/>
        <v>10</v>
      </c>
      <c r="P26" s="132">
        <f t="shared" si="2"/>
        <v>9</v>
      </c>
      <c r="Q26" s="132">
        <f t="shared" si="2"/>
        <v>8</v>
      </c>
    </row>
    <row r="27" spans="1:21" ht="14.4" customHeight="1" x14ac:dyDescent="0.3">
      <c r="A27" s="228">
        <v>18</v>
      </c>
      <c r="B27" s="222"/>
      <c r="C27" s="133">
        <f t="shared" ref="C27:Q34" si="3">$A27-C$25</f>
        <v>21</v>
      </c>
      <c r="D27" s="133">
        <f t="shared" si="3"/>
        <v>20</v>
      </c>
      <c r="E27" s="133">
        <f t="shared" si="3"/>
        <v>19</v>
      </c>
      <c r="F27" s="133">
        <f t="shared" si="3"/>
        <v>18</v>
      </c>
      <c r="G27" s="133">
        <f t="shared" si="3"/>
        <v>17</v>
      </c>
      <c r="H27" s="133">
        <f t="shared" si="3"/>
        <v>16</v>
      </c>
      <c r="I27" s="133">
        <f t="shared" si="3"/>
        <v>15</v>
      </c>
      <c r="J27" s="133">
        <f t="shared" si="3"/>
        <v>14</v>
      </c>
      <c r="K27" s="133">
        <f t="shared" si="3"/>
        <v>13</v>
      </c>
      <c r="L27" s="133">
        <f t="shared" si="3"/>
        <v>12</v>
      </c>
      <c r="M27" s="133">
        <f t="shared" si="3"/>
        <v>11</v>
      </c>
      <c r="N27" s="133">
        <f t="shared" si="3"/>
        <v>10</v>
      </c>
      <c r="O27" s="133">
        <f t="shared" si="3"/>
        <v>9</v>
      </c>
      <c r="P27" s="133">
        <f t="shared" si="3"/>
        <v>8</v>
      </c>
      <c r="Q27" s="133">
        <f t="shared" si="3"/>
        <v>7</v>
      </c>
    </row>
    <row r="28" spans="1:21" ht="14.4" customHeight="1" x14ac:dyDescent="0.3">
      <c r="A28" s="221">
        <v>17</v>
      </c>
      <c r="B28" s="221"/>
      <c r="C28" s="132">
        <f t="shared" si="3"/>
        <v>20</v>
      </c>
      <c r="D28" s="132">
        <f t="shared" si="3"/>
        <v>19</v>
      </c>
      <c r="E28" s="132">
        <f t="shared" si="3"/>
        <v>18</v>
      </c>
      <c r="F28" s="132">
        <f t="shared" si="3"/>
        <v>17</v>
      </c>
      <c r="G28" s="132">
        <f t="shared" si="3"/>
        <v>16</v>
      </c>
      <c r="H28" s="132">
        <f t="shared" si="3"/>
        <v>15</v>
      </c>
      <c r="I28" s="132">
        <f t="shared" si="3"/>
        <v>14</v>
      </c>
      <c r="J28" s="132">
        <f t="shared" si="3"/>
        <v>13</v>
      </c>
      <c r="K28" s="132">
        <f t="shared" si="3"/>
        <v>12</v>
      </c>
      <c r="L28" s="132">
        <f t="shared" si="3"/>
        <v>11</v>
      </c>
      <c r="M28" s="132">
        <f t="shared" si="3"/>
        <v>10</v>
      </c>
      <c r="N28" s="132">
        <f t="shared" si="3"/>
        <v>9</v>
      </c>
      <c r="O28" s="132">
        <f t="shared" si="3"/>
        <v>8</v>
      </c>
      <c r="P28" s="132">
        <f t="shared" si="3"/>
        <v>7</v>
      </c>
      <c r="Q28" s="132">
        <f t="shared" si="3"/>
        <v>6</v>
      </c>
    </row>
    <row r="29" spans="1:21" ht="14.4" customHeight="1" x14ac:dyDescent="0.3">
      <c r="A29" s="222">
        <v>16</v>
      </c>
      <c r="B29" s="222"/>
      <c r="C29" s="133">
        <f t="shared" si="3"/>
        <v>19</v>
      </c>
      <c r="D29" s="133">
        <f t="shared" si="3"/>
        <v>18</v>
      </c>
      <c r="E29" s="133">
        <f t="shared" si="3"/>
        <v>17</v>
      </c>
      <c r="F29" s="133">
        <f t="shared" si="3"/>
        <v>16</v>
      </c>
      <c r="G29" s="133">
        <f t="shared" si="3"/>
        <v>15</v>
      </c>
      <c r="H29" s="133">
        <f t="shared" si="3"/>
        <v>14</v>
      </c>
      <c r="I29" s="133">
        <f t="shared" si="3"/>
        <v>13</v>
      </c>
      <c r="J29" s="133">
        <f t="shared" si="3"/>
        <v>12</v>
      </c>
      <c r="K29" s="133">
        <f t="shared" si="3"/>
        <v>11</v>
      </c>
      <c r="L29" s="133">
        <f t="shared" si="3"/>
        <v>10</v>
      </c>
      <c r="M29" s="133">
        <f t="shared" si="3"/>
        <v>9</v>
      </c>
      <c r="N29" s="133">
        <f t="shared" si="3"/>
        <v>8</v>
      </c>
      <c r="O29" s="133">
        <f t="shared" si="3"/>
        <v>7</v>
      </c>
      <c r="P29" s="133">
        <f t="shared" si="3"/>
        <v>6</v>
      </c>
      <c r="Q29" s="133">
        <f t="shared" si="3"/>
        <v>5</v>
      </c>
    </row>
    <row r="30" spans="1:21" ht="14.4" customHeight="1" x14ac:dyDescent="0.3">
      <c r="A30" s="221">
        <v>15</v>
      </c>
      <c r="B30" s="221"/>
      <c r="C30" s="132">
        <f t="shared" si="3"/>
        <v>18</v>
      </c>
      <c r="D30" s="132">
        <f t="shared" si="3"/>
        <v>17</v>
      </c>
      <c r="E30" s="132">
        <f t="shared" si="3"/>
        <v>16</v>
      </c>
      <c r="F30" s="132">
        <f t="shared" si="3"/>
        <v>15</v>
      </c>
      <c r="G30" s="132">
        <f t="shared" si="3"/>
        <v>14</v>
      </c>
      <c r="H30" s="132">
        <f t="shared" si="3"/>
        <v>13</v>
      </c>
      <c r="I30" s="132">
        <f t="shared" si="3"/>
        <v>12</v>
      </c>
      <c r="J30" s="132">
        <f t="shared" si="3"/>
        <v>11</v>
      </c>
      <c r="K30" s="132">
        <f t="shared" si="3"/>
        <v>10</v>
      </c>
      <c r="L30" s="132">
        <f t="shared" si="3"/>
        <v>9</v>
      </c>
      <c r="M30" s="132">
        <f t="shared" si="3"/>
        <v>8</v>
      </c>
      <c r="N30" s="132">
        <f t="shared" si="3"/>
        <v>7</v>
      </c>
      <c r="O30" s="132">
        <f t="shared" si="3"/>
        <v>6</v>
      </c>
      <c r="P30" s="132">
        <f t="shared" si="3"/>
        <v>5</v>
      </c>
      <c r="Q30" s="132">
        <f t="shared" si="3"/>
        <v>4</v>
      </c>
    </row>
    <row r="31" spans="1:21" ht="14.4" customHeight="1" x14ac:dyDescent="0.3">
      <c r="A31" s="222">
        <v>14</v>
      </c>
      <c r="B31" s="222"/>
      <c r="C31" s="133">
        <f t="shared" si="3"/>
        <v>17</v>
      </c>
      <c r="D31" s="133">
        <f t="shared" si="3"/>
        <v>16</v>
      </c>
      <c r="E31" s="133">
        <f t="shared" si="3"/>
        <v>15</v>
      </c>
      <c r="F31" s="133">
        <f t="shared" si="3"/>
        <v>14</v>
      </c>
      <c r="G31" s="133">
        <f t="shared" si="3"/>
        <v>13</v>
      </c>
      <c r="H31" s="133">
        <f t="shared" si="3"/>
        <v>12</v>
      </c>
      <c r="I31" s="133">
        <f t="shared" si="3"/>
        <v>11</v>
      </c>
      <c r="J31" s="133">
        <f t="shared" si="3"/>
        <v>10</v>
      </c>
      <c r="K31" s="133">
        <f t="shared" si="3"/>
        <v>9</v>
      </c>
      <c r="L31" s="133">
        <f t="shared" si="3"/>
        <v>8</v>
      </c>
      <c r="M31" s="133">
        <f t="shared" si="3"/>
        <v>7</v>
      </c>
      <c r="N31" s="133">
        <f t="shared" si="3"/>
        <v>6</v>
      </c>
      <c r="O31" s="133">
        <f t="shared" si="3"/>
        <v>5</v>
      </c>
      <c r="P31" s="133">
        <f t="shared" si="3"/>
        <v>4</v>
      </c>
      <c r="Q31" s="133">
        <f t="shared" si="3"/>
        <v>3</v>
      </c>
    </row>
    <row r="32" spans="1:21" ht="14.4" customHeight="1" x14ac:dyDescent="0.3">
      <c r="A32" s="221">
        <v>13</v>
      </c>
      <c r="B32" s="221"/>
      <c r="C32" s="132">
        <f t="shared" si="3"/>
        <v>16</v>
      </c>
      <c r="D32" s="132">
        <f t="shared" si="3"/>
        <v>15</v>
      </c>
      <c r="E32" s="132">
        <f t="shared" si="3"/>
        <v>14</v>
      </c>
      <c r="F32" s="132">
        <f t="shared" si="3"/>
        <v>13</v>
      </c>
      <c r="G32" s="132">
        <f t="shared" si="3"/>
        <v>12</v>
      </c>
      <c r="H32" s="132">
        <f t="shared" si="3"/>
        <v>11</v>
      </c>
      <c r="I32" s="132">
        <f t="shared" si="3"/>
        <v>10</v>
      </c>
      <c r="J32" s="132">
        <f t="shared" si="3"/>
        <v>9</v>
      </c>
      <c r="K32" s="132">
        <f t="shared" si="3"/>
        <v>8</v>
      </c>
      <c r="L32" s="132">
        <f t="shared" si="3"/>
        <v>7</v>
      </c>
      <c r="M32" s="132">
        <f t="shared" si="3"/>
        <v>6</v>
      </c>
      <c r="N32" s="132">
        <f t="shared" si="3"/>
        <v>5</v>
      </c>
      <c r="O32" s="132">
        <f t="shared" si="3"/>
        <v>4</v>
      </c>
      <c r="P32" s="132">
        <f t="shared" si="3"/>
        <v>3</v>
      </c>
      <c r="Q32" s="132">
        <f t="shared" si="3"/>
        <v>2</v>
      </c>
    </row>
    <row r="33" spans="1:17" ht="14.4" customHeight="1" x14ac:dyDescent="0.3">
      <c r="A33" s="222">
        <v>12</v>
      </c>
      <c r="B33" s="222"/>
      <c r="C33" s="133">
        <f t="shared" si="3"/>
        <v>15</v>
      </c>
      <c r="D33" s="133">
        <f t="shared" si="3"/>
        <v>14</v>
      </c>
      <c r="E33" s="133">
        <f t="shared" si="3"/>
        <v>13</v>
      </c>
      <c r="F33" s="133">
        <f t="shared" si="3"/>
        <v>12</v>
      </c>
      <c r="G33" s="133">
        <f t="shared" si="3"/>
        <v>11</v>
      </c>
      <c r="H33" s="133">
        <f t="shared" si="3"/>
        <v>10</v>
      </c>
      <c r="I33" s="133">
        <f t="shared" si="3"/>
        <v>9</v>
      </c>
      <c r="J33" s="133">
        <f t="shared" si="3"/>
        <v>8</v>
      </c>
      <c r="K33" s="133">
        <f t="shared" si="3"/>
        <v>7</v>
      </c>
      <c r="L33" s="133">
        <f t="shared" si="3"/>
        <v>6</v>
      </c>
      <c r="M33" s="133">
        <f t="shared" si="3"/>
        <v>5</v>
      </c>
      <c r="N33" s="133">
        <f t="shared" si="3"/>
        <v>4</v>
      </c>
      <c r="O33" s="133">
        <f t="shared" si="3"/>
        <v>3</v>
      </c>
      <c r="P33" s="133">
        <f t="shared" si="3"/>
        <v>2</v>
      </c>
      <c r="Q33" s="133">
        <f t="shared" si="3"/>
        <v>1</v>
      </c>
    </row>
    <row r="34" spans="1:17" ht="14.4" customHeight="1" x14ac:dyDescent="0.3">
      <c r="A34" s="221">
        <v>11</v>
      </c>
      <c r="B34" s="221"/>
      <c r="C34" s="132">
        <f t="shared" si="3"/>
        <v>14</v>
      </c>
      <c r="D34" s="132">
        <f t="shared" si="3"/>
        <v>13</v>
      </c>
      <c r="E34" s="132">
        <f t="shared" si="3"/>
        <v>12</v>
      </c>
      <c r="F34" s="132">
        <f t="shared" si="3"/>
        <v>11</v>
      </c>
      <c r="G34" s="132">
        <f t="shared" si="3"/>
        <v>10</v>
      </c>
      <c r="H34" s="132">
        <f t="shared" si="3"/>
        <v>9</v>
      </c>
      <c r="I34" s="132">
        <f t="shared" si="3"/>
        <v>8</v>
      </c>
      <c r="J34" s="132">
        <f t="shared" si="3"/>
        <v>7</v>
      </c>
      <c r="K34" s="132">
        <f t="shared" si="3"/>
        <v>6</v>
      </c>
      <c r="L34" s="132">
        <f t="shared" si="3"/>
        <v>5</v>
      </c>
      <c r="M34" s="132">
        <f t="shared" si="3"/>
        <v>4</v>
      </c>
      <c r="N34" s="132">
        <f t="shared" si="3"/>
        <v>3</v>
      </c>
      <c r="O34" s="132">
        <f t="shared" si="3"/>
        <v>2</v>
      </c>
      <c r="P34" s="132">
        <f t="shared" si="3"/>
        <v>1</v>
      </c>
      <c r="Q34" s="132">
        <f t="shared" si="3"/>
        <v>0</v>
      </c>
    </row>
    <row r="35" spans="1:17" ht="14.4" customHeight="1" x14ac:dyDescent="0.3">
      <c r="A35" s="172"/>
      <c r="B35" s="173"/>
      <c r="C35" s="172"/>
      <c r="D35" s="172"/>
      <c r="E35" s="172"/>
      <c r="F35" s="172"/>
      <c r="G35" s="172"/>
      <c r="H35" s="172"/>
      <c r="I35" s="172"/>
      <c r="J35" s="172"/>
      <c r="K35" s="172"/>
      <c r="L35" s="172"/>
      <c r="M35" s="172"/>
      <c r="N35" s="172"/>
      <c r="O35" s="172"/>
      <c r="P35" s="172"/>
      <c r="Q35" s="174" t="s">
        <v>196</v>
      </c>
    </row>
    <row r="36" spans="1:17" ht="12.6" customHeight="1" thickBot="1" x14ac:dyDescent="0.35">
      <c r="A36" s="175"/>
      <c r="B36" s="176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</row>
    <row r="37" spans="1:17" ht="12.6" customHeight="1" x14ac:dyDescent="0.3">
      <c r="A37" s="83" t="s">
        <v>46</v>
      </c>
      <c r="B37" s="84" t="s">
        <v>48</v>
      </c>
      <c r="C37" s="83"/>
      <c r="D37" s="83"/>
      <c r="E37" s="83"/>
      <c r="F37" s="83"/>
      <c r="G37" s="83"/>
      <c r="H37" s="83"/>
      <c r="I37" s="83"/>
      <c r="J37" s="83"/>
      <c r="K37" s="85" t="s">
        <v>204</v>
      </c>
      <c r="L37" s="86"/>
      <c r="M37" s="87" t="s">
        <v>8</v>
      </c>
      <c r="N37" s="87" t="s">
        <v>46</v>
      </c>
      <c r="O37" s="87" t="s">
        <v>205</v>
      </c>
      <c r="P37" s="87" t="s">
        <v>206</v>
      </c>
      <c r="Q37" s="87" t="s">
        <v>207</v>
      </c>
    </row>
    <row r="38" spans="1:17" ht="12.6" customHeight="1" x14ac:dyDescent="0.3">
      <c r="A38" s="81">
        <v>0</v>
      </c>
      <c r="B38" s="82" t="s">
        <v>222</v>
      </c>
      <c r="K38" s="80" t="s">
        <v>197</v>
      </c>
      <c r="L38" s="2"/>
      <c r="M38" s="88">
        <v>9</v>
      </c>
      <c r="N38" s="88">
        <v>0</v>
      </c>
      <c r="O38" s="88" t="s">
        <v>208</v>
      </c>
      <c r="P38" s="88" t="s">
        <v>209</v>
      </c>
      <c r="Q38" s="88" t="s">
        <v>210</v>
      </c>
    </row>
    <row r="39" spans="1:17" ht="12.6" customHeight="1" x14ac:dyDescent="0.3">
      <c r="A39" s="81" t="s">
        <v>224</v>
      </c>
      <c r="B39" s="92" t="s">
        <v>223</v>
      </c>
      <c r="C39" s="93"/>
      <c r="D39" s="93"/>
      <c r="E39" s="93"/>
      <c r="F39" s="93"/>
      <c r="G39" s="93"/>
      <c r="H39" s="93"/>
      <c r="I39" s="93"/>
      <c r="J39" s="93"/>
      <c r="K39" s="89" t="s">
        <v>234</v>
      </c>
      <c r="L39" s="90"/>
      <c r="M39" s="91">
        <v>8</v>
      </c>
      <c r="N39" s="91">
        <v>1</v>
      </c>
      <c r="O39" s="91" t="s">
        <v>208</v>
      </c>
      <c r="P39" s="91" t="s">
        <v>209</v>
      </c>
      <c r="Q39" s="91" t="s">
        <v>210</v>
      </c>
    </row>
    <row r="40" spans="1:17" ht="12.6" customHeight="1" x14ac:dyDescent="0.3">
      <c r="A40" s="81" t="s">
        <v>225</v>
      </c>
      <c r="B40" s="94" t="s">
        <v>226</v>
      </c>
      <c r="K40" s="80" t="s">
        <v>198</v>
      </c>
      <c r="L40" s="2"/>
      <c r="M40" s="88">
        <v>7</v>
      </c>
      <c r="N40" s="88">
        <v>2</v>
      </c>
      <c r="O40" s="88"/>
      <c r="P40" s="88" t="s">
        <v>209</v>
      </c>
      <c r="Q40" s="88" t="s">
        <v>210</v>
      </c>
    </row>
    <row r="41" spans="1:17" ht="12.6" customHeight="1" x14ac:dyDescent="0.3">
      <c r="A41" s="81">
        <v>1</v>
      </c>
      <c r="B41" s="92" t="s">
        <v>227</v>
      </c>
      <c r="C41" s="92"/>
      <c r="D41" s="92"/>
      <c r="E41" s="92"/>
      <c r="F41" s="92"/>
      <c r="G41" s="92"/>
      <c r="H41" s="92"/>
      <c r="I41" s="92"/>
      <c r="J41" s="92"/>
      <c r="K41" s="89" t="s">
        <v>199</v>
      </c>
      <c r="L41" s="90"/>
      <c r="M41" s="91">
        <v>6</v>
      </c>
      <c r="N41" s="91">
        <v>2</v>
      </c>
      <c r="O41" s="91" t="s">
        <v>208</v>
      </c>
      <c r="P41" s="91" t="s">
        <v>209</v>
      </c>
      <c r="Q41" s="91" t="s">
        <v>210</v>
      </c>
    </row>
    <row r="42" spans="1:17" ht="12.6" customHeight="1" x14ac:dyDescent="0.3">
      <c r="A42" s="81">
        <v>2</v>
      </c>
      <c r="B42" s="94" t="s">
        <v>229</v>
      </c>
      <c r="K42" s="80" t="s">
        <v>200</v>
      </c>
      <c r="L42" s="2"/>
      <c r="M42" s="88">
        <v>5</v>
      </c>
      <c r="N42" s="88">
        <v>2</v>
      </c>
      <c r="O42" s="88" t="s">
        <v>210</v>
      </c>
      <c r="P42" s="88" t="s">
        <v>209</v>
      </c>
      <c r="Q42" s="88" t="s">
        <v>209</v>
      </c>
    </row>
    <row r="43" spans="1:17" ht="12.6" customHeight="1" x14ac:dyDescent="0.3">
      <c r="A43" s="81">
        <v>3</v>
      </c>
      <c r="B43" s="92" t="s">
        <v>228</v>
      </c>
      <c r="C43" s="92"/>
      <c r="D43" s="92"/>
      <c r="E43" s="92"/>
      <c r="F43" s="92"/>
      <c r="G43" s="92"/>
      <c r="H43" s="92"/>
      <c r="I43" s="92"/>
      <c r="J43" s="92"/>
      <c r="K43" s="89" t="s">
        <v>202</v>
      </c>
      <c r="L43" s="90"/>
      <c r="M43" s="91">
        <v>4</v>
      </c>
      <c r="N43" s="91">
        <v>3</v>
      </c>
      <c r="O43" s="91" t="s">
        <v>209</v>
      </c>
      <c r="P43" s="91" t="s">
        <v>209</v>
      </c>
      <c r="Q43" s="91" t="s">
        <v>47</v>
      </c>
    </row>
    <row r="44" spans="1:17" ht="12.6" customHeight="1" x14ac:dyDescent="0.3">
      <c r="A44" s="81"/>
      <c r="B44" s="95"/>
      <c r="C44" s="13"/>
      <c r="D44" s="13"/>
      <c r="E44" s="13"/>
      <c r="G44" s="13"/>
      <c r="H44" s="13"/>
      <c r="I44" s="13"/>
      <c r="J44" s="3"/>
      <c r="K44" s="80" t="s">
        <v>203</v>
      </c>
      <c r="L44" s="2"/>
      <c r="M44" s="88">
        <v>3</v>
      </c>
      <c r="N44" s="88">
        <v>3</v>
      </c>
      <c r="O44" s="88" t="s">
        <v>209</v>
      </c>
      <c r="P44" s="88" t="s">
        <v>209</v>
      </c>
      <c r="Q44" s="88" t="s">
        <v>47</v>
      </c>
    </row>
    <row r="45" spans="1:17" ht="12.6" customHeight="1" x14ac:dyDescent="0.3">
      <c r="A45" t="s">
        <v>231</v>
      </c>
      <c r="B45" s="95"/>
      <c r="C45" s="13"/>
      <c r="D45" s="13"/>
      <c r="E45" s="13"/>
      <c r="F45" s="96"/>
      <c r="G45" s="13"/>
      <c r="H45" s="13"/>
      <c r="I45" s="13"/>
      <c r="J45" s="3"/>
      <c r="K45" s="89" t="s">
        <v>235</v>
      </c>
      <c r="L45" s="90"/>
      <c r="M45" s="91">
        <v>2</v>
      </c>
      <c r="N45" s="91">
        <v>3</v>
      </c>
      <c r="O45" s="91" t="s">
        <v>209</v>
      </c>
      <c r="P45" s="91" t="s">
        <v>209</v>
      </c>
      <c r="Q45" s="91" t="s">
        <v>47</v>
      </c>
    </row>
    <row r="46" spans="1:17" ht="12.6" customHeight="1" x14ac:dyDescent="0.3">
      <c r="A46" t="s">
        <v>230</v>
      </c>
      <c r="B46" s="95"/>
      <c r="C46" s="13"/>
      <c r="D46" s="13"/>
      <c r="E46" s="13"/>
      <c r="F46" s="13"/>
      <c r="G46" s="13"/>
      <c r="H46" s="13"/>
      <c r="I46" s="13"/>
      <c r="J46" s="3"/>
      <c r="K46" s="80" t="s">
        <v>201</v>
      </c>
      <c r="L46" s="2"/>
      <c r="M46" s="88">
        <v>-1</v>
      </c>
      <c r="N46" s="88">
        <v>2</v>
      </c>
      <c r="O46" s="88"/>
      <c r="P46" s="88"/>
      <c r="Q46" s="88"/>
    </row>
    <row r="47" spans="1:17" ht="12.6" customHeight="1" x14ac:dyDescent="0.3">
      <c r="A47" t="s">
        <v>232</v>
      </c>
      <c r="B47" s="95"/>
      <c r="C47" s="13"/>
      <c r="D47" s="13"/>
      <c r="E47" s="13"/>
      <c r="F47" s="13"/>
      <c r="G47" s="13"/>
      <c r="H47" s="13"/>
      <c r="I47" s="13"/>
      <c r="J47" s="3"/>
      <c r="K47" s="89" t="s">
        <v>236</v>
      </c>
      <c r="L47" s="90"/>
      <c r="M47" s="91">
        <v>-2</v>
      </c>
      <c r="N47" s="91">
        <v>3</v>
      </c>
      <c r="O47" s="91" t="s">
        <v>237</v>
      </c>
      <c r="P47" s="91"/>
      <c r="Q47" s="91"/>
    </row>
    <row r="48" spans="1:17" ht="12.6" customHeight="1" x14ac:dyDescent="0.3">
      <c r="A48" t="s">
        <v>233</v>
      </c>
      <c r="B48" s="13"/>
      <c r="C48" s="13"/>
      <c r="D48" s="13"/>
      <c r="E48" s="13"/>
      <c r="F48" s="13"/>
      <c r="G48" s="13"/>
      <c r="H48" s="13"/>
      <c r="I48" s="13"/>
      <c r="J48" s="3"/>
      <c r="Q48" s="181" t="s">
        <v>361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opLeftCell="A25" zoomScale="120" zoomScaleNormal="120" workbookViewId="0">
      <selection activeCell="A18" sqref="A18"/>
    </sheetView>
  </sheetViews>
  <sheetFormatPr defaultRowHeight="14.4" x14ac:dyDescent="0.3"/>
  <cols>
    <col min="1" max="1" width="27.5546875" style="150" bestFit="1" customWidth="1"/>
    <col min="2" max="2" width="5.77734375" style="149" customWidth="1"/>
    <col min="3" max="3" width="9" style="149" customWidth="1"/>
    <col min="4" max="4" width="6.33203125" style="149" customWidth="1"/>
    <col min="5" max="5" width="52.21875" style="148" customWidth="1"/>
    <col min="6" max="16384" width="8.88671875" style="148"/>
  </cols>
  <sheetData>
    <row r="1" spans="1:16" ht="21" x14ac:dyDescent="0.3">
      <c r="A1" s="152" t="s">
        <v>45</v>
      </c>
      <c r="B1" s="151" t="s">
        <v>44</v>
      </c>
      <c r="C1" s="151" t="s">
        <v>239</v>
      </c>
      <c r="D1" s="151" t="s">
        <v>46</v>
      </c>
      <c r="E1" s="149" t="s">
        <v>27</v>
      </c>
      <c r="F1" s="231" t="s">
        <v>332</v>
      </c>
      <c r="G1" s="231"/>
      <c r="H1" s="231"/>
      <c r="I1" s="231"/>
      <c r="J1" s="231"/>
      <c r="K1" s="231"/>
      <c r="L1" s="231"/>
      <c r="M1" s="231"/>
      <c r="N1" s="231"/>
      <c r="O1" s="231"/>
      <c r="P1" s="231"/>
    </row>
    <row r="2" spans="1:16" ht="28.8" x14ac:dyDescent="0.3">
      <c r="A2" s="150" t="s">
        <v>240</v>
      </c>
      <c r="B2" s="149">
        <v>6</v>
      </c>
      <c r="C2" s="149" t="s">
        <v>241</v>
      </c>
      <c r="D2" s="149">
        <v>1</v>
      </c>
      <c r="E2" s="148" t="s">
        <v>296</v>
      </c>
    </row>
    <row r="3" spans="1:16" ht="28.8" x14ac:dyDescent="0.3">
      <c r="A3" s="150" t="s">
        <v>242</v>
      </c>
      <c r="B3" s="149">
        <v>4</v>
      </c>
      <c r="C3" s="149" t="s">
        <v>241</v>
      </c>
      <c r="D3" s="149">
        <v>1</v>
      </c>
      <c r="E3" s="148" t="s">
        <v>319</v>
      </c>
    </row>
    <row r="4" spans="1:16" ht="28.8" x14ac:dyDescent="0.3">
      <c r="A4" s="150" t="s">
        <v>243</v>
      </c>
      <c r="B4" s="149">
        <v>10</v>
      </c>
      <c r="C4" s="149" t="s">
        <v>241</v>
      </c>
      <c r="D4" s="149">
        <v>1</v>
      </c>
      <c r="E4" s="148" t="s">
        <v>320</v>
      </c>
    </row>
    <row r="5" spans="1:16" ht="57.6" x14ac:dyDescent="0.3">
      <c r="A5" s="150" t="s">
        <v>244</v>
      </c>
      <c r="B5" s="149">
        <v>6</v>
      </c>
      <c r="C5" s="149" t="s">
        <v>245</v>
      </c>
      <c r="D5" s="149" t="s">
        <v>280</v>
      </c>
      <c r="E5" s="148" t="s">
        <v>321</v>
      </c>
    </row>
    <row r="6" spans="1:16" ht="28.8" x14ac:dyDescent="0.3">
      <c r="A6" s="150" t="s">
        <v>246</v>
      </c>
      <c r="B6" s="149">
        <v>4</v>
      </c>
      <c r="C6" s="149" t="s">
        <v>247</v>
      </c>
      <c r="D6" s="149">
        <v>1</v>
      </c>
      <c r="E6" s="148" t="s">
        <v>322</v>
      </c>
    </row>
    <row r="7" spans="1:16" ht="28.8" x14ac:dyDescent="0.3">
      <c r="A7" s="150" t="s">
        <v>248</v>
      </c>
      <c r="B7" s="149">
        <v>6</v>
      </c>
      <c r="C7" s="149" t="s">
        <v>249</v>
      </c>
      <c r="D7" s="149">
        <v>0</v>
      </c>
      <c r="E7" s="148" t="s">
        <v>297</v>
      </c>
    </row>
    <row r="8" spans="1:16" ht="28.8" x14ac:dyDescent="0.3">
      <c r="A8" s="150" t="s">
        <v>250</v>
      </c>
      <c r="B8" s="149">
        <v>6</v>
      </c>
      <c r="C8" s="149" t="s">
        <v>241</v>
      </c>
      <c r="D8" s="149">
        <v>1</v>
      </c>
      <c r="E8" s="148" t="s">
        <v>298</v>
      </c>
    </row>
    <row r="9" spans="1:16" ht="28.8" x14ac:dyDescent="0.3">
      <c r="A9" s="150" t="s">
        <v>251</v>
      </c>
      <c r="B9" s="149">
        <v>4</v>
      </c>
      <c r="C9" s="149" t="s">
        <v>245</v>
      </c>
      <c r="D9" s="149">
        <v>1</v>
      </c>
      <c r="E9" s="148" t="s">
        <v>299</v>
      </c>
    </row>
    <row r="10" spans="1:16" ht="28.8" x14ac:dyDescent="0.3">
      <c r="A10" s="150" t="s">
        <v>252</v>
      </c>
      <c r="B10" s="149">
        <v>2</v>
      </c>
      <c r="C10" s="149" t="s">
        <v>245</v>
      </c>
      <c r="D10" s="149">
        <v>1</v>
      </c>
      <c r="E10" s="148" t="s">
        <v>300</v>
      </c>
    </row>
    <row r="11" spans="1:16" x14ac:dyDescent="0.3">
      <c r="A11" s="150" t="s">
        <v>253</v>
      </c>
      <c r="B11" s="149">
        <v>10</v>
      </c>
      <c r="C11" s="149" t="s">
        <v>241</v>
      </c>
      <c r="D11" s="149">
        <v>0</v>
      </c>
      <c r="E11" s="148" t="s">
        <v>301</v>
      </c>
    </row>
    <row r="12" spans="1:16" ht="43.2" x14ac:dyDescent="0.3">
      <c r="A12" s="150" t="s">
        <v>254</v>
      </c>
      <c r="B12" s="149">
        <v>12</v>
      </c>
      <c r="C12" s="149" t="s">
        <v>255</v>
      </c>
      <c r="D12" s="149" t="s">
        <v>302</v>
      </c>
      <c r="E12" s="148" t="s">
        <v>323</v>
      </c>
    </row>
    <row r="13" spans="1:16" x14ac:dyDescent="0.3">
      <c r="A13" s="150" t="s">
        <v>256</v>
      </c>
      <c r="B13" s="149">
        <v>8</v>
      </c>
      <c r="C13" s="149" t="s">
        <v>249</v>
      </c>
      <c r="D13" s="149">
        <v>1</v>
      </c>
      <c r="E13" s="148" t="s">
        <v>303</v>
      </c>
    </row>
    <row r="14" spans="1:16" x14ac:dyDescent="0.3">
      <c r="A14" s="150" t="s">
        <v>257</v>
      </c>
      <c r="B14" s="149">
        <v>6</v>
      </c>
      <c r="C14" s="149" t="s">
        <v>247</v>
      </c>
      <c r="D14" s="149">
        <v>1</v>
      </c>
      <c r="E14" s="148" t="s">
        <v>304</v>
      </c>
    </row>
    <row r="15" spans="1:16" x14ac:dyDescent="0.3">
      <c r="A15" s="150" t="s">
        <v>258</v>
      </c>
      <c r="B15" s="149">
        <v>10</v>
      </c>
      <c r="C15" s="149" t="s">
        <v>305</v>
      </c>
      <c r="D15" s="149">
        <v>1</v>
      </c>
      <c r="E15" s="148" t="s">
        <v>306</v>
      </c>
    </row>
    <row r="16" spans="1:16" ht="28.8" x14ac:dyDescent="0.3">
      <c r="A16" s="150" t="s">
        <v>259</v>
      </c>
      <c r="B16" s="149">
        <v>10</v>
      </c>
      <c r="C16" s="149" t="s">
        <v>260</v>
      </c>
      <c r="D16" s="149" t="s">
        <v>302</v>
      </c>
      <c r="E16" s="148" t="s">
        <v>307</v>
      </c>
    </row>
    <row r="17" spans="1:16" x14ac:dyDescent="0.3">
      <c r="A17" s="150" t="s">
        <v>261</v>
      </c>
      <c r="B17" s="149">
        <v>6</v>
      </c>
      <c r="C17" s="149" t="s">
        <v>262</v>
      </c>
      <c r="D17" s="149" t="s">
        <v>302</v>
      </c>
      <c r="E17" s="148" t="s">
        <v>308</v>
      </c>
    </row>
    <row r="18" spans="1:16" ht="28.8" x14ac:dyDescent="0.3">
      <c r="A18" s="150" t="s">
        <v>263</v>
      </c>
      <c r="B18" s="149">
        <v>2</v>
      </c>
      <c r="C18" s="149" t="s">
        <v>264</v>
      </c>
      <c r="D18" s="149" t="s">
        <v>302</v>
      </c>
      <c r="E18" s="148" t="s">
        <v>309</v>
      </c>
    </row>
    <row r="19" spans="1:16" ht="43.2" x14ac:dyDescent="0.3">
      <c r="A19" s="150" t="s">
        <v>265</v>
      </c>
      <c r="B19" s="149">
        <v>2</v>
      </c>
      <c r="C19" s="149" t="s">
        <v>266</v>
      </c>
      <c r="D19" s="149" t="s">
        <v>302</v>
      </c>
      <c r="E19" s="148" t="s">
        <v>310</v>
      </c>
    </row>
    <row r="20" spans="1:16" ht="28.8" x14ac:dyDescent="0.3">
      <c r="A20" s="150" t="s">
        <v>282</v>
      </c>
      <c r="B20" s="149">
        <v>3</v>
      </c>
      <c r="C20" s="149" t="s">
        <v>266</v>
      </c>
      <c r="D20" s="149" t="s">
        <v>302</v>
      </c>
      <c r="E20" s="148" t="s">
        <v>311</v>
      </c>
    </row>
    <row r="21" spans="1:16" ht="28.8" x14ac:dyDescent="0.3">
      <c r="A21" s="150" t="s">
        <v>283</v>
      </c>
      <c r="B21" s="149">
        <v>2</v>
      </c>
      <c r="C21" s="149" t="s">
        <v>264</v>
      </c>
      <c r="D21" s="149" t="s">
        <v>302</v>
      </c>
      <c r="E21" s="148" t="s">
        <v>312</v>
      </c>
    </row>
    <row r="22" spans="1:16" ht="43.2" x14ac:dyDescent="0.3">
      <c r="A22" s="150" t="s">
        <v>267</v>
      </c>
      <c r="B22" s="149">
        <v>4</v>
      </c>
      <c r="C22" s="149" t="s">
        <v>266</v>
      </c>
      <c r="D22" s="149" t="s">
        <v>302</v>
      </c>
      <c r="E22" s="148" t="s">
        <v>324</v>
      </c>
    </row>
    <row r="23" spans="1:16" ht="43.2" x14ac:dyDescent="0.3">
      <c r="A23" s="150" t="s">
        <v>284</v>
      </c>
      <c r="B23" s="149">
        <v>2</v>
      </c>
      <c r="C23" s="149" t="s">
        <v>285</v>
      </c>
      <c r="D23" s="149" t="s">
        <v>302</v>
      </c>
      <c r="E23" s="148" t="s">
        <v>325</v>
      </c>
    </row>
    <row r="24" spans="1:16" ht="28.8" x14ac:dyDescent="0.3">
      <c r="A24" s="150" t="s">
        <v>268</v>
      </c>
      <c r="B24" s="149">
        <v>3</v>
      </c>
      <c r="C24" s="149" t="s">
        <v>269</v>
      </c>
      <c r="D24" s="149">
        <v>0</v>
      </c>
      <c r="E24" s="148" t="s">
        <v>326</v>
      </c>
    </row>
    <row r="25" spans="1:16" ht="28.8" x14ac:dyDescent="0.3">
      <c r="A25" s="150" t="s">
        <v>270</v>
      </c>
      <c r="B25" s="149">
        <v>2</v>
      </c>
      <c r="C25" s="149" t="s">
        <v>269</v>
      </c>
      <c r="D25" s="149">
        <v>0</v>
      </c>
      <c r="E25" s="148" t="s">
        <v>313</v>
      </c>
      <c r="F25" s="157" t="s">
        <v>333</v>
      </c>
      <c r="G25" s="158"/>
      <c r="H25" s="158"/>
      <c r="I25" s="158"/>
      <c r="J25" s="158"/>
      <c r="K25" s="158"/>
      <c r="L25" s="158"/>
      <c r="M25" s="158"/>
      <c r="N25" s="158"/>
      <c r="O25" s="158"/>
      <c r="P25" s="159" t="s">
        <v>334</v>
      </c>
    </row>
    <row r="26" spans="1:16" ht="18" x14ac:dyDescent="0.3">
      <c r="A26" s="153" t="s">
        <v>45</v>
      </c>
      <c r="B26" s="154" t="s">
        <v>44</v>
      </c>
      <c r="C26" s="154" t="s">
        <v>239</v>
      </c>
      <c r="D26" s="154" t="s">
        <v>46</v>
      </c>
      <c r="E26" s="156" t="s">
        <v>27</v>
      </c>
    </row>
    <row r="27" spans="1:16" ht="28.8" x14ac:dyDescent="0.3">
      <c r="A27" s="150" t="s">
        <v>271</v>
      </c>
      <c r="B27" s="149">
        <v>2</v>
      </c>
      <c r="C27" s="149" t="s">
        <v>272</v>
      </c>
      <c r="D27" s="149">
        <v>0</v>
      </c>
      <c r="E27" s="148" t="s">
        <v>314</v>
      </c>
    </row>
    <row r="28" spans="1:16" ht="57.6" x14ac:dyDescent="0.3">
      <c r="A28" s="150" t="s">
        <v>273</v>
      </c>
      <c r="B28" s="149">
        <v>2</v>
      </c>
      <c r="C28" s="149" t="s">
        <v>272</v>
      </c>
      <c r="D28" s="149">
        <v>0</v>
      </c>
      <c r="E28" s="148" t="s">
        <v>327</v>
      </c>
    </row>
    <row r="29" spans="1:16" ht="43.2" x14ac:dyDescent="0.3">
      <c r="A29" s="150" t="s">
        <v>274</v>
      </c>
      <c r="B29" s="149">
        <v>1</v>
      </c>
      <c r="C29" s="149" t="s">
        <v>266</v>
      </c>
      <c r="D29" s="149">
        <v>0</v>
      </c>
      <c r="E29" s="148" t="s">
        <v>328</v>
      </c>
    </row>
    <row r="30" spans="1:16" ht="43.2" x14ac:dyDescent="0.3">
      <c r="A30" s="150" t="s">
        <v>275</v>
      </c>
      <c r="B30" s="149">
        <v>1</v>
      </c>
      <c r="C30" s="149" t="s">
        <v>266</v>
      </c>
      <c r="D30" s="149">
        <v>0</v>
      </c>
      <c r="E30" s="148" t="s">
        <v>329</v>
      </c>
    </row>
    <row r="31" spans="1:16" ht="28.8" x14ac:dyDescent="0.3">
      <c r="A31" s="150" t="s">
        <v>276</v>
      </c>
      <c r="B31" s="149">
        <v>4</v>
      </c>
      <c r="C31" s="149" t="s">
        <v>269</v>
      </c>
      <c r="D31" s="149">
        <v>0</v>
      </c>
      <c r="E31" s="148" t="s">
        <v>315</v>
      </c>
    </row>
    <row r="32" spans="1:16" ht="28.8" x14ac:dyDescent="0.3">
      <c r="A32" s="150" t="s">
        <v>277</v>
      </c>
      <c r="B32" s="149">
        <v>2</v>
      </c>
      <c r="C32" s="149" t="s">
        <v>269</v>
      </c>
      <c r="D32" s="149">
        <v>0</v>
      </c>
      <c r="E32" s="148" t="s">
        <v>316</v>
      </c>
    </row>
    <row r="33" spans="1:5" ht="57.6" x14ac:dyDescent="0.3">
      <c r="A33" s="150" t="s">
        <v>278</v>
      </c>
      <c r="B33" s="149">
        <v>3</v>
      </c>
      <c r="C33" s="149" t="s">
        <v>269</v>
      </c>
      <c r="D33" s="149">
        <v>0</v>
      </c>
      <c r="E33" s="148" t="s">
        <v>330</v>
      </c>
    </row>
    <row r="34" spans="1:5" ht="43.2" x14ac:dyDescent="0.3">
      <c r="A34" s="150" t="s">
        <v>279</v>
      </c>
      <c r="B34" s="149">
        <v>2</v>
      </c>
      <c r="C34" s="149" t="s">
        <v>272</v>
      </c>
      <c r="D34" s="149">
        <v>0</v>
      </c>
      <c r="E34" s="148" t="s">
        <v>331</v>
      </c>
    </row>
    <row r="35" spans="1:5" ht="28.8" x14ac:dyDescent="0.3">
      <c r="A35" s="150" t="s">
        <v>281</v>
      </c>
      <c r="B35" s="149">
        <v>2</v>
      </c>
      <c r="C35" s="149" t="s">
        <v>266</v>
      </c>
      <c r="D35" s="149">
        <v>0</v>
      </c>
      <c r="E35" s="148" t="s">
        <v>317</v>
      </c>
    </row>
    <row r="36" spans="1:5" x14ac:dyDescent="0.3">
      <c r="A36" s="155"/>
      <c r="B36" s="155"/>
      <c r="C36" s="155"/>
      <c r="D36" s="155"/>
      <c r="E36" s="155"/>
    </row>
    <row r="37" spans="1:5" ht="28.8" x14ac:dyDescent="0.3">
      <c r="A37" s="150" t="s">
        <v>286</v>
      </c>
      <c r="B37" s="150">
        <v>3</v>
      </c>
      <c r="C37" s="150" t="s">
        <v>290</v>
      </c>
      <c r="D37" s="150">
        <v>0</v>
      </c>
      <c r="E37" s="150" t="s">
        <v>318</v>
      </c>
    </row>
    <row r="38" spans="1:5" ht="28.8" x14ac:dyDescent="0.3">
      <c r="A38" s="155" t="s">
        <v>287</v>
      </c>
      <c r="B38" s="155">
        <v>2</v>
      </c>
      <c r="C38" s="155" t="s">
        <v>269</v>
      </c>
      <c r="D38" s="155">
        <v>1</v>
      </c>
      <c r="E38" s="155" t="s">
        <v>293</v>
      </c>
    </row>
    <row r="39" spans="1:5" ht="28.8" x14ac:dyDescent="0.3">
      <c r="A39" s="150" t="s">
        <v>288</v>
      </c>
      <c r="B39" s="150">
        <v>4</v>
      </c>
      <c r="C39" s="150" t="s">
        <v>291</v>
      </c>
      <c r="D39" s="150">
        <v>0</v>
      </c>
      <c r="E39" s="150" t="s">
        <v>294</v>
      </c>
    </row>
    <row r="40" spans="1:5" ht="28.8" x14ac:dyDescent="0.3">
      <c r="A40" s="155" t="s">
        <v>289</v>
      </c>
      <c r="B40" s="155">
        <v>3</v>
      </c>
      <c r="C40" s="155" t="s">
        <v>292</v>
      </c>
      <c r="D40" s="155">
        <v>1</v>
      </c>
      <c r="E40" s="155" t="s">
        <v>295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E240"/>
  <sheetViews>
    <sheetView topLeftCell="A224" zoomScale="120" zoomScaleNormal="120" workbookViewId="0">
      <selection activeCell="J8" sqref="J8"/>
    </sheetView>
  </sheetViews>
  <sheetFormatPr defaultRowHeight="13.8" x14ac:dyDescent="0.3"/>
  <cols>
    <col min="1" max="1" width="27.5546875" style="186" bestFit="1" customWidth="1"/>
    <col min="2" max="2" width="5.77734375" style="189" customWidth="1"/>
    <col min="3" max="3" width="9" style="187" customWidth="1"/>
    <col min="4" max="4" width="6.33203125" style="187" customWidth="1"/>
    <col min="5" max="5" width="52.21875" style="182" customWidth="1"/>
    <col min="6" max="16384" width="8.88671875" style="182"/>
  </cols>
  <sheetData>
    <row r="1" spans="1:5" x14ac:dyDescent="0.3">
      <c r="A1" s="184" t="s">
        <v>45</v>
      </c>
      <c r="B1" s="185" t="s">
        <v>44</v>
      </c>
      <c r="C1" s="185" t="s">
        <v>239</v>
      </c>
      <c r="D1" s="185" t="s">
        <v>46</v>
      </c>
      <c r="E1" s="184" t="s">
        <v>27</v>
      </c>
    </row>
    <row r="2" spans="1:5" x14ac:dyDescent="0.3">
      <c r="A2" s="183"/>
      <c r="B2" s="188"/>
      <c r="C2" s="188"/>
      <c r="D2" s="188"/>
      <c r="E2" s="183"/>
    </row>
    <row r="3" spans="1:5" x14ac:dyDescent="0.3">
      <c r="A3" s="234" t="s">
        <v>555</v>
      </c>
      <c r="B3" s="234"/>
      <c r="C3" s="234"/>
      <c r="D3" s="234"/>
      <c r="E3" s="234"/>
    </row>
    <row r="4" spans="1:5" x14ac:dyDescent="0.3">
      <c r="A4" s="186" t="s">
        <v>362</v>
      </c>
      <c r="B4" s="189" t="s">
        <v>348</v>
      </c>
      <c r="C4" s="187" t="s">
        <v>245</v>
      </c>
      <c r="D4" s="187">
        <v>1</v>
      </c>
      <c r="E4" s="182" t="s">
        <v>363</v>
      </c>
    </row>
    <row r="5" spans="1:5" x14ac:dyDescent="0.3">
      <c r="A5" s="190" t="s">
        <v>408</v>
      </c>
      <c r="B5" s="193" t="s">
        <v>350</v>
      </c>
      <c r="C5" s="191" t="s">
        <v>409</v>
      </c>
      <c r="D5" s="191">
        <v>7</v>
      </c>
      <c r="E5" s="192" t="s">
        <v>410</v>
      </c>
    </row>
    <row r="6" spans="1:5" x14ac:dyDescent="0.3">
      <c r="A6" s="186" t="s">
        <v>364</v>
      </c>
      <c r="B6" s="189" t="s">
        <v>348</v>
      </c>
      <c r="C6" s="187" t="s">
        <v>245</v>
      </c>
      <c r="D6" s="187">
        <v>1</v>
      </c>
      <c r="E6" s="182" t="s">
        <v>365</v>
      </c>
    </row>
    <row r="7" spans="1:5" x14ac:dyDescent="0.3">
      <c r="A7" s="190" t="s">
        <v>411</v>
      </c>
      <c r="B7" s="193" t="s">
        <v>350</v>
      </c>
      <c r="C7" s="191" t="s">
        <v>247</v>
      </c>
      <c r="D7" s="191">
        <v>1</v>
      </c>
      <c r="E7" s="192" t="s">
        <v>412</v>
      </c>
    </row>
    <row r="8" spans="1:5" x14ac:dyDescent="0.3">
      <c r="A8" s="186" t="s">
        <v>252</v>
      </c>
      <c r="B8" s="189" t="s">
        <v>348</v>
      </c>
      <c r="C8" s="187" t="s">
        <v>245</v>
      </c>
      <c r="D8" s="187">
        <v>1</v>
      </c>
      <c r="E8" s="182" t="s">
        <v>366</v>
      </c>
    </row>
    <row r="9" spans="1:5" x14ac:dyDescent="0.3">
      <c r="A9" s="190" t="s">
        <v>240</v>
      </c>
      <c r="B9" s="193" t="s">
        <v>348</v>
      </c>
      <c r="C9" s="191" t="s">
        <v>245</v>
      </c>
      <c r="D9" s="191">
        <v>2</v>
      </c>
      <c r="E9" s="192" t="s">
        <v>367</v>
      </c>
    </row>
    <row r="10" spans="1:5" x14ac:dyDescent="0.3">
      <c r="A10" s="186" t="s">
        <v>413</v>
      </c>
      <c r="B10" s="189" t="s">
        <v>350</v>
      </c>
      <c r="C10" s="187" t="s">
        <v>247</v>
      </c>
      <c r="D10" s="187">
        <v>1</v>
      </c>
      <c r="E10" s="182" t="s">
        <v>414</v>
      </c>
    </row>
    <row r="11" spans="1:5" x14ac:dyDescent="0.3">
      <c r="A11" s="190" t="s">
        <v>242</v>
      </c>
      <c r="B11" s="193" t="s">
        <v>348</v>
      </c>
      <c r="C11" s="191" t="s">
        <v>245</v>
      </c>
      <c r="D11" s="191">
        <v>2</v>
      </c>
      <c r="E11" s="192" t="s">
        <v>368</v>
      </c>
    </row>
    <row r="12" spans="1:5" x14ac:dyDescent="0.3">
      <c r="A12" s="186" t="s">
        <v>415</v>
      </c>
      <c r="B12" s="189" t="s">
        <v>350</v>
      </c>
      <c r="C12" s="187" t="s">
        <v>249</v>
      </c>
      <c r="D12" s="187">
        <v>1</v>
      </c>
      <c r="E12" s="182" t="s">
        <v>416</v>
      </c>
    </row>
    <row r="13" spans="1:5" x14ac:dyDescent="0.3">
      <c r="A13" s="190" t="s">
        <v>369</v>
      </c>
      <c r="B13" s="193" t="s">
        <v>348</v>
      </c>
      <c r="C13" s="191" t="s">
        <v>370</v>
      </c>
      <c r="D13" s="191">
        <v>3</v>
      </c>
      <c r="E13" s="192" t="s">
        <v>371</v>
      </c>
    </row>
    <row r="14" spans="1:5" x14ac:dyDescent="0.3">
      <c r="A14" s="186" t="s">
        <v>372</v>
      </c>
      <c r="B14" s="189" t="s">
        <v>348</v>
      </c>
      <c r="C14" s="187" t="s">
        <v>249</v>
      </c>
      <c r="D14" s="187">
        <v>2</v>
      </c>
      <c r="E14" s="182" t="s">
        <v>373</v>
      </c>
    </row>
    <row r="15" spans="1:5" x14ac:dyDescent="0.3">
      <c r="A15" s="190" t="s">
        <v>243</v>
      </c>
      <c r="B15" s="193" t="s">
        <v>348</v>
      </c>
      <c r="C15" s="191" t="s">
        <v>245</v>
      </c>
      <c r="D15" s="191">
        <v>1</v>
      </c>
      <c r="E15" s="192" t="s">
        <v>374</v>
      </c>
    </row>
    <row r="16" spans="1:5" x14ac:dyDescent="0.3">
      <c r="A16" s="186" t="s">
        <v>246</v>
      </c>
      <c r="B16" s="189" t="s">
        <v>350</v>
      </c>
      <c r="C16" s="187" t="s">
        <v>409</v>
      </c>
      <c r="D16" s="187">
        <v>1</v>
      </c>
      <c r="E16" s="182" t="s">
        <v>417</v>
      </c>
    </row>
    <row r="17" spans="1:5" ht="13.8" customHeight="1" x14ac:dyDescent="0.3">
      <c r="A17" s="190" t="s">
        <v>244</v>
      </c>
      <c r="B17" s="193" t="s">
        <v>350</v>
      </c>
      <c r="C17" s="191" t="s">
        <v>249</v>
      </c>
      <c r="D17" s="191">
        <v>1</v>
      </c>
      <c r="E17" s="192" t="s">
        <v>572</v>
      </c>
    </row>
    <row r="18" spans="1:5" x14ac:dyDescent="0.3">
      <c r="A18" s="186" t="s">
        <v>375</v>
      </c>
      <c r="B18" s="189" t="s">
        <v>348</v>
      </c>
      <c r="C18" s="187" t="s">
        <v>245</v>
      </c>
      <c r="D18" s="187" t="s">
        <v>305</v>
      </c>
      <c r="E18" s="182" t="s">
        <v>376</v>
      </c>
    </row>
    <row r="19" spans="1:5" x14ac:dyDescent="0.3">
      <c r="A19" s="190" t="s">
        <v>377</v>
      </c>
      <c r="B19" s="193" t="s">
        <v>348</v>
      </c>
      <c r="C19" s="191" t="s">
        <v>370</v>
      </c>
      <c r="D19" s="191" t="s">
        <v>305</v>
      </c>
      <c r="E19" s="192" t="s">
        <v>573</v>
      </c>
    </row>
    <row r="20" spans="1:5" x14ac:dyDescent="0.3">
      <c r="A20" s="186" t="s">
        <v>251</v>
      </c>
      <c r="B20" s="189" t="s">
        <v>348</v>
      </c>
      <c r="C20" s="187" t="s">
        <v>249</v>
      </c>
      <c r="D20" s="187">
        <v>1</v>
      </c>
      <c r="E20" s="182" t="s">
        <v>378</v>
      </c>
    </row>
    <row r="21" spans="1:5" ht="27.6" x14ac:dyDescent="0.3">
      <c r="A21" s="190" t="s">
        <v>250</v>
      </c>
      <c r="B21" s="193" t="s">
        <v>350</v>
      </c>
      <c r="C21" s="191" t="s">
        <v>245</v>
      </c>
      <c r="D21" s="191">
        <v>1</v>
      </c>
      <c r="E21" s="192" t="s">
        <v>574</v>
      </c>
    </row>
    <row r="22" spans="1:5" x14ac:dyDescent="0.3">
      <c r="A22" s="186" t="s">
        <v>381</v>
      </c>
      <c r="B22" s="189" t="s">
        <v>348</v>
      </c>
      <c r="C22" s="187" t="s">
        <v>245</v>
      </c>
      <c r="D22" s="187" t="s">
        <v>305</v>
      </c>
      <c r="E22" s="182" t="s">
        <v>382</v>
      </c>
    </row>
    <row r="23" spans="1:5" ht="27.6" x14ac:dyDescent="0.3">
      <c r="A23" s="190" t="s">
        <v>248</v>
      </c>
      <c r="B23" s="193" t="s">
        <v>556</v>
      </c>
      <c r="C23" s="191" t="s">
        <v>247</v>
      </c>
      <c r="D23" s="191" t="s">
        <v>305</v>
      </c>
      <c r="E23" s="192" t="s">
        <v>442</v>
      </c>
    </row>
    <row r="24" spans="1:5" x14ac:dyDescent="0.3">
      <c r="A24" s="186" t="s">
        <v>446</v>
      </c>
      <c r="B24" s="189" t="s">
        <v>556</v>
      </c>
      <c r="C24" s="187" t="s">
        <v>292</v>
      </c>
      <c r="D24" s="187" t="s">
        <v>305</v>
      </c>
      <c r="E24" s="182" t="s">
        <v>447</v>
      </c>
    </row>
    <row r="25" spans="1:5" x14ac:dyDescent="0.3">
      <c r="A25" s="190" t="s">
        <v>418</v>
      </c>
      <c r="B25" s="193" t="s">
        <v>350</v>
      </c>
      <c r="C25" s="191" t="s">
        <v>409</v>
      </c>
      <c r="D25" s="191">
        <v>1</v>
      </c>
      <c r="E25" s="192" t="s">
        <v>419</v>
      </c>
    </row>
    <row r="27" spans="1:5" x14ac:dyDescent="0.3">
      <c r="A27" s="234" t="s">
        <v>559</v>
      </c>
      <c r="B27" s="234"/>
      <c r="C27" s="234"/>
      <c r="D27" s="234"/>
      <c r="E27" s="234"/>
    </row>
    <row r="28" spans="1:5" ht="27.6" x14ac:dyDescent="0.3">
      <c r="A28" s="186" t="s">
        <v>397</v>
      </c>
      <c r="B28" s="189" t="s">
        <v>348</v>
      </c>
      <c r="C28" s="187" t="s">
        <v>398</v>
      </c>
      <c r="D28" s="187" t="s">
        <v>305</v>
      </c>
      <c r="E28" s="182" t="s">
        <v>399</v>
      </c>
    </row>
    <row r="29" spans="1:5" x14ac:dyDescent="0.3">
      <c r="A29" s="190" t="s">
        <v>400</v>
      </c>
      <c r="B29" s="193" t="s">
        <v>348</v>
      </c>
      <c r="C29" s="191" t="s">
        <v>292</v>
      </c>
      <c r="D29" s="191" t="s">
        <v>305</v>
      </c>
      <c r="E29" s="192" t="s">
        <v>401</v>
      </c>
    </row>
    <row r="30" spans="1:5" x14ac:dyDescent="0.3">
      <c r="A30" s="186" t="s">
        <v>402</v>
      </c>
      <c r="B30" s="189" t="s">
        <v>348</v>
      </c>
      <c r="C30" s="187" t="s">
        <v>291</v>
      </c>
      <c r="D30" s="187" t="s">
        <v>305</v>
      </c>
      <c r="E30" s="182" t="s">
        <v>403</v>
      </c>
    </row>
    <row r="31" spans="1:5" ht="27.6" x14ac:dyDescent="0.3">
      <c r="A31" s="190" t="s">
        <v>431</v>
      </c>
      <c r="B31" s="193" t="s">
        <v>350</v>
      </c>
      <c r="C31" s="191" t="s">
        <v>432</v>
      </c>
      <c r="D31" s="191" t="s">
        <v>305</v>
      </c>
      <c r="E31" s="192" t="s">
        <v>433</v>
      </c>
    </row>
    <row r="32" spans="1:5" ht="13.8" customHeight="1" x14ac:dyDescent="0.3">
      <c r="A32" s="186" t="s">
        <v>489</v>
      </c>
      <c r="B32" s="189" t="s">
        <v>558</v>
      </c>
      <c r="C32" s="187" t="s">
        <v>264</v>
      </c>
      <c r="D32" s="187" t="s">
        <v>305</v>
      </c>
      <c r="E32" s="182" t="s">
        <v>490</v>
      </c>
    </row>
    <row r="33" spans="1:5" x14ac:dyDescent="0.3">
      <c r="A33" s="190" t="s">
        <v>434</v>
      </c>
      <c r="B33" s="193" t="s">
        <v>350</v>
      </c>
      <c r="C33" s="191" t="s">
        <v>290</v>
      </c>
      <c r="D33" s="191" t="s">
        <v>305</v>
      </c>
      <c r="E33" s="192" t="s">
        <v>435</v>
      </c>
    </row>
    <row r="34" spans="1:5" x14ac:dyDescent="0.3">
      <c r="A34" s="186" t="s">
        <v>436</v>
      </c>
      <c r="B34" s="189" t="s">
        <v>350</v>
      </c>
      <c r="C34" s="187" t="s">
        <v>290</v>
      </c>
      <c r="D34" s="187">
        <v>2</v>
      </c>
      <c r="E34" s="182" t="s">
        <v>437</v>
      </c>
    </row>
    <row r="35" spans="1:5" x14ac:dyDescent="0.3">
      <c r="A35" s="190" t="s">
        <v>438</v>
      </c>
      <c r="B35" s="193" t="s">
        <v>350</v>
      </c>
      <c r="C35" s="191" t="s">
        <v>272</v>
      </c>
      <c r="D35" s="191" t="s">
        <v>305</v>
      </c>
      <c r="E35" s="192" t="s">
        <v>439</v>
      </c>
    </row>
    <row r="36" spans="1:5" x14ac:dyDescent="0.3">
      <c r="A36" s="186" t="s">
        <v>440</v>
      </c>
      <c r="B36" s="189" t="s">
        <v>350</v>
      </c>
      <c r="C36" s="187" t="s">
        <v>269</v>
      </c>
      <c r="D36" s="187" t="s">
        <v>305</v>
      </c>
      <c r="E36" s="182" t="s">
        <v>441</v>
      </c>
    </row>
    <row r="38" spans="1:5" x14ac:dyDescent="0.3">
      <c r="A38" s="234" t="s">
        <v>571</v>
      </c>
      <c r="B38" s="234"/>
      <c r="C38" s="234"/>
      <c r="D38" s="234"/>
      <c r="E38" s="234"/>
    </row>
    <row r="39" spans="1:5" x14ac:dyDescent="0.3">
      <c r="A39" s="186" t="s">
        <v>404</v>
      </c>
      <c r="B39" s="189" t="s">
        <v>348</v>
      </c>
      <c r="C39" s="187" t="s">
        <v>245</v>
      </c>
      <c r="D39" s="187" t="s">
        <v>305</v>
      </c>
      <c r="E39" s="182" t="s">
        <v>405</v>
      </c>
    </row>
    <row r="40" spans="1:5" x14ac:dyDescent="0.3">
      <c r="A40" s="190" t="s">
        <v>406</v>
      </c>
      <c r="B40" s="193" t="s">
        <v>348</v>
      </c>
      <c r="C40" s="191" t="s">
        <v>247</v>
      </c>
      <c r="D40" s="191" t="s">
        <v>305</v>
      </c>
      <c r="E40" s="192" t="s">
        <v>407</v>
      </c>
    </row>
    <row r="41" spans="1:5" x14ac:dyDescent="0.3">
      <c r="A41" s="186" t="s">
        <v>463</v>
      </c>
      <c r="B41" s="189" t="s">
        <v>556</v>
      </c>
      <c r="C41" s="187" t="s">
        <v>249</v>
      </c>
      <c r="D41" s="187" t="s">
        <v>305</v>
      </c>
      <c r="E41" s="182" t="s">
        <v>464</v>
      </c>
    </row>
    <row r="42" spans="1:5" x14ac:dyDescent="0.3">
      <c r="A42" s="190" t="s">
        <v>491</v>
      </c>
      <c r="B42" s="193" t="s">
        <v>558</v>
      </c>
      <c r="C42" s="191" t="s">
        <v>370</v>
      </c>
      <c r="D42" s="191" t="s">
        <v>305</v>
      </c>
      <c r="E42" s="192" t="s">
        <v>492</v>
      </c>
    </row>
    <row r="44" spans="1:5" x14ac:dyDescent="0.3">
      <c r="A44" s="186" t="s">
        <v>652</v>
      </c>
    </row>
    <row r="45" spans="1:5" x14ac:dyDescent="0.3">
      <c r="A45" s="186" t="s">
        <v>653</v>
      </c>
    </row>
    <row r="46" spans="1:5" x14ac:dyDescent="0.3">
      <c r="A46" s="186" t="s">
        <v>654</v>
      </c>
    </row>
    <row r="47" spans="1:5" x14ac:dyDescent="0.3">
      <c r="A47" s="186" t="s">
        <v>655</v>
      </c>
    </row>
    <row r="48" spans="1:5" x14ac:dyDescent="0.3">
      <c r="A48" s="186" t="s">
        <v>656</v>
      </c>
    </row>
    <row r="51" spans="1:5" x14ac:dyDescent="0.3">
      <c r="A51" s="184" t="s">
        <v>45</v>
      </c>
      <c r="B51" s="185" t="s">
        <v>44</v>
      </c>
      <c r="C51" s="185" t="s">
        <v>239</v>
      </c>
      <c r="D51" s="185" t="s">
        <v>46</v>
      </c>
      <c r="E51" s="184" t="s">
        <v>27</v>
      </c>
    </row>
    <row r="52" spans="1:5" x14ac:dyDescent="0.3">
      <c r="A52" s="183"/>
      <c r="B52" s="188"/>
      <c r="C52" s="188"/>
      <c r="D52" s="188"/>
      <c r="E52" s="183"/>
    </row>
    <row r="53" spans="1:5" x14ac:dyDescent="0.3">
      <c r="A53" s="234" t="s">
        <v>557</v>
      </c>
      <c r="B53" s="234"/>
      <c r="C53" s="234"/>
      <c r="D53" s="234"/>
      <c r="E53" s="234"/>
    </row>
    <row r="54" spans="1:5" x14ac:dyDescent="0.3">
      <c r="A54" s="186" t="s">
        <v>388</v>
      </c>
      <c r="B54" s="189" t="s">
        <v>348</v>
      </c>
      <c r="C54" s="187" t="s">
        <v>370</v>
      </c>
      <c r="D54" s="187">
        <v>1</v>
      </c>
      <c r="E54" s="182" t="s">
        <v>389</v>
      </c>
    </row>
    <row r="55" spans="1:5" x14ac:dyDescent="0.3">
      <c r="A55" s="190" t="s">
        <v>420</v>
      </c>
      <c r="B55" s="193" t="s">
        <v>350</v>
      </c>
      <c r="C55" s="191" t="s">
        <v>421</v>
      </c>
      <c r="D55" s="191">
        <v>1</v>
      </c>
      <c r="E55" s="192" t="s">
        <v>422</v>
      </c>
    </row>
    <row r="56" spans="1:5" x14ac:dyDescent="0.3">
      <c r="A56" s="186" t="s">
        <v>450</v>
      </c>
      <c r="B56" s="189" t="s">
        <v>556</v>
      </c>
      <c r="C56" s="187" t="s">
        <v>409</v>
      </c>
      <c r="D56" s="187">
        <v>2</v>
      </c>
      <c r="E56" s="182" t="s">
        <v>451</v>
      </c>
    </row>
    <row r="57" spans="1:5" x14ac:dyDescent="0.3">
      <c r="A57" s="190" t="s">
        <v>479</v>
      </c>
      <c r="B57" s="193" t="s">
        <v>558</v>
      </c>
      <c r="C57" s="191" t="s">
        <v>291</v>
      </c>
      <c r="D57" s="191">
        <v>3</v>
      </c>
      <c r="E57" s="192" t="s">
        <v>480</v>
      </c>
    </row>
    <row r="58" spans="1:5" x14ac:dyDescent="0.3">
      <c r="A58" s="186" t="s">
        <v>390</v>
      </c>
      <c r="B58" s="189" t="s">
        <v>348</v>
      </c>
      <c r="C58" s="187" t="s">
        <v>247</v>
      </c>
      <c r="D58" s="187">
        <v>2</v>
      </c>
      <c r="E58" s="182" t="s">
        <v>391</v>
      </c>
    </row>
    <row r="59" spans="1:5" x14ac:dyDescent="0.3">
      <c r="A59" s="190" t="s">
        <v>452</v>
      </c>
      <c r="B59" s="193" t="s">
        <v>556</v>
      </c>
      <c r="C59" s="191" t="s">
        <v>421</v>
      </c>
      <c r="D59" s="191">
        <v>2</v>
      </c>
      <c r="E59" s="192" t="s">
        <v>453</v>
      </c>
    </row>
    <row r="60" spans="1:5" x14ac:dyDescent="0.3">
      <c r="A60" s="186" t="s">
        <v>51</v>
      </c>
      <c r="B60" s="189" t="s">
        <v>350</v>
      </c>
      <c r="C60" s="187" t="s">
        <v>247</v>
      </c>
      <c r="D60" s="187">
        <v>2</v>
      </c>
      <c r="E60" s="182" t="s">
        <v>423</v>
      </c>
    </row>
    <row r="61" spans="1:5" x14ac:dyDescent="0.3">
      <c r="A61" s="190" t="s">
        <v>454</v>
      </c>
      <c r="B61" s="193" t="s">
        <v>556</v>
      </c>
      <c r="C61" s="191" t="s">
        <v>421</v>
      </c>
      <c r="D61" s="191">
        <v>2</v>
      </c>
      <c r="E61" s="192" t="s">
        <v>423</v>
      </c>
    </row>
    <row r="62" spans="1:5" x14ac:dyDescent="0.3">
      <c r="A62" s="186" t="s">
        <v>392</v>
      </c>
      <c r="B62" s="189" t="s">
        <v>348</v>
      </c>
      <c r="C62" s="187" t="s">
        <v>393</v>
      </c>
      <c r="D62" s="187">
        <v>2</v>
      </c>
      <c r="E62" s="182" t="s">
        <v>394</v>
      </c>
    </row>
    <row r="63" spans="1:5" x14ac:dyDescent="0.3">
      <c r="A63" s="190" t="s">
        <v>481</v>
      </c>
      <c r="B63" s="193" t="s">
        <v>558</v>
      </c>
      <c r="C63" s="191" t="s">
        <v>421</v>
      </c>
      <c r="D63" s="191">
        <v>3</v>
      </c>
      <c r="E63" s="192" t="s">
        <v>480</v>
      </c>
    </row>
    <row r="64" spans="1:5" x14ac:dyDescent="0.3">
      <c r="A64" s="186" t="s">
        <v>134</v>
      </c>
      <c r="B64" s="189" t="s">
        <v>348</v>
      </c>
      <c r="C64" s="187" t="s">
        <v>245</v>
      </c>
      <c r="D64" s="187">
        <v>1</v>
      </c>
      <c r="E64" s="182" t="s">
        <v>395</v>
      </c>
    </row>
    <row r="65" spans="1:5" x14ac:dyDescent="0.3">
      <c r="A65" s="190" t="s">
        <v>424</v>
      </c>
      <c r="B65" s="193" t="s">
        <v>350</v>
      </c>
      <c r="C65" s="191" t="s">
        <v>290</v>
      </c>
      <c r="D65" s="191">
        <v>1</v>
      </c>
      <c r="E65" s="192" t="s">
        <v>425</v>
      </c>
    </row>
    <row r="66" spans="1:5" x14ac:dyDescent="0.3">
      <c r="A66" s="186" t="s">
        <v>120</v>
      </c>
      <c r="B66" s="189" t="s">
        <v>556</v>
      </c>
      <c r="C66" s="187" t="s">
        <v>398</v>
      </c>
      <c r="D66" s="187">
        <v>2</v>
      </c>
      <c r="E66" s="182" t="s">
        <v>455</v>
      </c>
    </row>
    <row r="67" spans="1:5" x14ac:dyDescent="0.3">
      <c r="A67" s="190" t="s">
        <v>456</v>
      </c>
      <c r="B67" s="193" t="s">
        <v>556</v>
      </c>
      <c r="C67" s="191" t="s">
        <v>292</v>
      </c>
      <c r="D67" s="191">
        <v>2</v>
      </c>
      <c r="E67" s="192" t="s">
        <v>575</v>
      </c>
    </row>
    <row r="68" spans="1:5" x14ac:dyDescent="0.3">
      <c r="A68" s="186" t="s">
        <v>482</v>
      </c>
      <c r="B68" s="189" t="s">
        <v>558</v>
      </c>
      <c r="C68" s="187" t="s">
        <v>269</v>
      </c>
      <c r="D68" s="187">
        <v>3</v>
      </c>
      <c r="E68" s="182" t="s">
        <v>576</v>
      </c>
    </row>
    <row r="69" spans="1:5" x14ac:dyDescent="0.3">
      <c r="A69" s="190" t="s">
        <v>52</v>
      </c>
      <c r="B69" s="193" t="s">
        <v>348</v>
      </c>
      <c r="C69" s="191" t="s">
        <v>245</v>
      </c>
      <c r="D69" s="191" t="s">
        <v>305</v>
      </c>
      <c r="E69" s="192" t="s">
        <v>396</v>
      </c>
    </row>
    <row r="70" spans="1:5" x14ac:dyDescent="0.3">
      <c r="A70" s="186" t="s">
        <v>256</v>
      </c>
      <c r="B70" s="189" t="s">
        <v>350</v>
      </c>
      <c r="C70" s="187" t="s">
        <v>247</v>
      </c>
      <c r="D70" s="187">
        <v>1</v>
      </c>
      <c r="E70" s="182" t="s">
        <v>303</v>
      </c>
    </row>
    <row r="71" spans="1:5" x14ac:dyDescent="0.3">
      <c r="A71" s="190" t="s">
        <v>448</v>
      </c>
      <c r="B71" s="193" t="s">
        <v>556</v>
      </c>
      <c r="C71" s="191" t="s">
        <v>247</v>
      </c>
      <c r="D71" s="191">
        <v>1</v>
      </c>
      <c r="E71" s="192" t="s">
        <v>449</v>
      </c>
    </row>
    <row r="72" spans="1:5" x14ac:dyDescent="0.3">
      <c r="A72" s="186" t="s">
        <v>258</v>
      </c>
      <c r="B72" s="189" t="s">
        <v>348</v>
      </c>
      <c r="C72" s="187" t="s">
        <v>245</v>
      </c>
      <c r="D72" s="187">
        <v>1</v>
      </c>
      <c r="E72" s="182" t="s">
        <v>387</v>
      </c>
    </row>
    <row r="73" spans="1:5" x14ac:dyDescent="0.3">
      <c r="A73" s="190" t="s">
        <v>426</v>
      </c>
      <c r="B73" s="193" t="s">
        <v>350</v>
      </c>
      <c r="C73" s="191" t="s">
        <v>291</v>
      </c>
      <c r="D73" s="191">
        <v>2</v>
      </c>
      <c r="E73" s="192" t="s">
        <v>427</v>
      </c>
    </row>
    <row r="74" spans="1:5" x14ac:dyDescent="0.3">
      <c r="A74" s="186" t="s">
        <v>428</v>
      </c>
      <c r="B74" s="189" t="s">
        <v>350</v>
      </c>
      <c r="C74" s="187" t="s">
        <v>429</v>
      </c>
      <c r="D74" s="187">
        <v>2</v>
      </c>
      <c r="E74" s="182" t="s">
        <v>427</v>
      </c>
    </row>
    <row r="75" spans="1:5" x14ac:dyDescent="0.3">
      <c r="A75" s="190" t="s">
        <v>457</v>
      </c>
      <c r="B75" s="193" t="s">
        <v>556</v>
      </c>
      <c r="C75" s="191" t="s">
        <v>292</v>
      </c>
      <c r="D75" s="191">
        <v>2</v>
      </c>
      <c r="E75" s="192" t="s">
        <v>458</v>
      </c>
    </row>
    <row r="76" spans="1:5" x14ac:dyDescent="0.3">
      <c r="A76" s="186" t="s">
        <v>459</v>
      </c>
      <c r="B76" s="189" t="s">
        <v>556</v>
      </c>
      <c r="C76" s="187" t="s">
        <v>398</v>
      </c>
      <c r="D76" s="187">
        <v>3</v>
      </c>
      <c r="E76" s="182" t="s">
        <v>460</v>
      </c>
    </row>
    <row r="77" spans="1:5" x14ac:dyDescent="0.3">
      <c r="A77" s="190" t="s">
        <v>483</v>
      </c>
      <c r="B77" s="193" t="s">
        <v>558</v>
      </c>
      <c r="C77" s="191" t="s">
        <v>484</v>
      </c>
      <c r="D77" s="191">
        <v>3</v>
      </c>
      <c r="E77" s="192" t="s">
        <v>485</v>
      </c>
    </row>
    <row r="78" spans="1:5" x14ac:dyDescent="0.3">
      <c r="A78" s="186" t="s">
        <v>486</v>
      </c>
      <c r="B78" s="189" t="s">
        <v>558</v>
      </c>
      <c r="C78" s="187" t="s">
        <v>487</v>
      </c>
      <c r="D78" s="187">
        <v>4</v>
      </c>
      <c r="E78" s="182" t="s">
        <v>488</v>
      </c>
    </row>
    <row r="79" spans="1:5" x14ac:dyDescent="0.3">
      <c r="A79" s="190" t="s">
        <v>201</v>
      </c>
      <c r="B79" s="193" t="s">
        <v>350</v>
      </c>
      <c r="C79" s="191" t="s">
        <v>409</v>
      </c>
      <c r="D79" s="191">
        <v>1</v>
      </c>
      <c r="E79" s="192" t="s">
        <v>430</v>
      </c>
    </row>
    <row r="80" spans="1:5" x14ac:dyDescent="0.3">
      <c r="A80" s="186" t="s">
        <v>461</v>
      </c>
      <c r="B80" s="189" t="s">
        <v>556</v>
      </c>
      <c r="C80" s="187" t="s">
        <v>409</v>
      </c>
      <c r="D80" s="187">
        <v>1</v>
      </c>
      <c r="E80" s="182" t="s">
        <v>462</v>
      </c>
    </row>
    <row r="82" spans="1:5" x14ac:dyDescent="0.3">
      <c r="A82" s="234" t="s">
        <v>569</v>
      </c>
      <c r="B82" s="234"/>
      <c r="C82" s="234"/>
      <c r="D82" s="234"/>
      <c r="E82" s="234"/>
    </row>
    <row r="83" spans="1:5" x14ac:dyDescent="0.3">
      <c r="A83" s="186" t="s">
        <v>521</v>
      </c>
      <c r="B83" s="189" t="s">
        <v>570</v>
      </c>
      <c r="C83" s="187" t="s">
        <v>522</v>
      </c>
      <c r="D83" s="187">
        <v>1</v>
      </c>
      <c r="E83" s="182" t="s">
        <v>523</v>
      </c>
    </row>
    <row r="84" spans="1:5" x14ac:dyDescent="0.3">
      <c r="A84" s="190" t="s">
        <v>524</v>
      </c>
      <c r="B84" s="193" t="s">
        <v>570</v>
      </c>
      <c r="C84" s="191" t="s">
        <v>525</v>
      </c>
      <c r="D84" s="191">
        <v>2</v>
      </c>
      <c r="E84" s="192" t="s">
        <v>526</v>
      </c>
    </row>
    <row r="85" spans="1:5" x14ac:dyDescent="0.3">
      <c r="A85" s="186" t="s">
        <v>527</v>
      </c>
      <c r="B85" s="189" t="s">
        <v>570</v>
      </c>
      <c r="C85" s="187" t="s">
        <v>522</v>
      </c>
      <c r="D85" s="187">
        <v>2</v>
      </c>
      <c r="E85" s="182" t="s">
        <v>528</v>
      </c>
    </row>
    <row r="86" spans="1:5" x14ac:dyDescent="0.3">
      <c r="A86" s="190" t="s">
        <v>529</v>
      </c>
      <c r="B86" s="193" t="s">
        <v>570</v>
      </c>
      <c r="C86" s="191" t="s">
        <v>525</v>
      </c>
      <c r="D86" s="191">
        <v>2</v>
      </c>
      <c r="E86" s="192" t="s">
        <v>528</v>
      </c>
    </row>
    <row r="87" spans="1:5" x14ac:dyDescent="0.3">
      <c r="A87" s="186" t="s">
        <v>530</v>
      </c>
      <c r="B87" s="189" t="s">
        <v>570</v>
      </c>
      <c r="C87" s="187" t="s">
        <v>531</v>
      </c>
      <c r="D87" s="187">
        <v>1</v>
      </c>
      <c r="E87" s="182" t="s">
        <v>532</v>
      </c>
    </row>
    <row r="88" spans="1:5" x14ac:dyDescent="0.3">
      <c r="A88" s="190" t="s">
        <v>533</v>
      </c>
      <c r="B88" s="193" t="s">
        <v>570</v>
      </c>
      <c r="C88" s="191" t="s">
        <v>534</v>
      </c>
      <c r="D88" s="191">
        <v>1</v>
      </c>
      <c r="E88" s="192" t="s">
        <v>535</v>
      </c>
    </row>
    <row r="89" spans="1:5" x14ac:dyDescent="0.3">
      <c r="A89" s="186" t="s">
        <v>536</v>
      </c>
      <c r="B89" s="189" t="s">
        <v>570</v>
      </c>
      <c r="C89" s="187" t="s">
        <v>497</v>
      </c>
      <c r="D89" s="187">
        <v>1</v>
      </c>
      <c r="E89" s="182" t="s">
        <v>537</v>
      </c>
    </row>
    <row r="90" spans="1:5" x14ac:dyDescent="0.3">
      <c r="A90" s="190" t="s">
        <v>538</v>
      </c>
      <c r="B90" s="193" t="s">
        <v>570</v>
      </c>
      <c r="C90" s="191" t="s">
        <v>525</v>
      </c>
      <c r="D90" s="191">
        <v>2</v>
      </c>
      <c r="E90" s="192" t="s">
        <v>458</v>
      </c>
    </row>
    <row r="91" spans="1:5" x14ac:dyDescent="0.3">
      <c r="A91" s="186" t="s">
        <v>539</v>
      </c>
      <c r="B91" s="189" t="s">
        <v>570</v>
      </c>
      <c r="C91" s="187" t="s">
        <v>540</v>
      </c>
      <c r="D91" s="187">
        <v>3</v>
      </c>
      <c r="E91" s="182" t="s">
        <v>485</v>
      </c>
    </row>
    <row r="92" spans="1:5" x14ac:dyDescent="0.3">
      <c r="A92" s="190" t="s">
        <v>541</v>
      </c>
      <c r="B92" s="193" t="s">
        <v>570</v>
      </c>
      <c r="C92" s="191" t="s">
        <v>522</v>
      </c>
      <c r="D92" s="191">
        <v>1</v>
      </c>
      <c r="E92" s="192" t="s">
        <v>542</v>
      </c>
    </row>
    <row r="93" spans="1:5" x14ac:dyDescent="0.3">
      <c r="A93" s="186" t="s">
        <v>543</v>
      </c>
      <c r="B93" s="189" t="s">
        <v>570</v>
      </c>
      <c r="C93" s="187" t="s">
        <v>544</v>
      </c>
      <c r="D93" s="187" t="s">
        <v>305</v>
      </c>
      <c r="E93" s="182" t="s">
        <v>545</v>
      </c>
    </row>
    <row r="94" spans="1:5" x14ac:dyDescent="0.3">
      <c r="A94" s="190" t="s">
        <v>546</v>
      </c>
      <c r="B94" s="193" t="s">
        <v>570</v>
      </c>
      <c r="C94" s="191" t="s">
        <v>534</v>
      </c>
      <c r="D94" s="191">
        <v>1</v>
      </c>
      <c r="E94" s="192" t="s">
        <v>547</v>
      </c>
    </row>
    <row r="95" spans="1:5" ht="27.6" x14ac:dyDescent="0.3">
      <c r="A95" s="186" t="s">
        <v>548</v>
      </c>
      <c r="B95" s="189" t="s">
        <v>570</v>
      </c>
      <c r="C95" s="187" t="s">
        <v>534</v>
      </c>
      <c r="D95" s="187">
        <v>1</v>
      </c>
      <c r="E95" s="182" t="s">
        <v>549</v>
      </c>
    </row>
    <row r="96" spans="1:5" x14ac:dyDescent="0.3">
      <c r="A96" s="190" t="s">
        <v>550</v>
      </c>
      <c r="B96" s="193" t="s">
        <v>570</v>
      </c>
      <c r="C96" s="191" t="s">
        <v>525</v>
      </c>
      <c r="D96" s="191">
        <v>1</v>
      </c>
      <c r="E96" s="192" t="s">
        <v>551</v>
      </c>
    </row>
    <row r="97" spans="1:5" x14ac:dyDescent="0.3">
      <c r="A97" s="186" t="s">
        <v>552</v>
      </c>
      <c r="B97" s="189" t="s">
        <v>570</v>
      </c>
      <c r="C97" s="187" t="s">
        <v>553</v>
      </c>
      <c r="D97" s="187">
        <v>1</v>
      </c>
      <c r="E97" s="182" t="s">
        <v>554</v>
      </c>
    </row>
    <row r="104" spans="1:5" x14ac:dyDescent="0.3">
      <c r="A104" s="184" t="s">
        <v>45</v>
      </c>
      <c r="B104" s="185" t="s">
        <v>44</v>
      </c>
      <c r="C104" s="185" t="s">
        <v>239</v>
      </c>
      <c r="D104" s="185" t="s">
        <v>46</v>
      </c>
      <c r="E104" s="184" t="s">
        <v>27</v>
      </c>
    </row>
    <row r="105" spans="1:5" x14ac:dyDescent="0.3">
      <c r="A105" s="183"/>
      <c r="B105" s="188"/>
      <c r="C105" s="188"/>
      <c r="D105" s="188"/>
      <c r="E105" s="183"/>
    </row>
    <row r="106" spans="1:5" x14ac:dyDescent="0.3">
      <c r="A106" s="234" t="s">
        <v>560</v>
      </c>
      <c r="B106" s="234"/>
      <c r="C106" s="234"/>
      <c r="D106" s="234"/>
      <c r="E106" s="234"/>
    </row>
    <row r="107" spans="1:5" x14ac:dyDescent="0.3">
      <c r="A107" s="186" t="s">
        <v>383</v>
      </c>
      <c r="B107" s="189" t="s">
        <v>348</v>
      </c>
      <c r="C107" s="187" t="s">
        <v>247</v>
      </c>
      <c r="D107" s="187" t="s">
        <v>305</v>
      </c>
      <c r="E107" s="182" t="s">
        <v>384</v>
      </c>
    </row>
    <row r="108" spans="1:5" x14ac:dyDescent="0.3">
      <c r="A108" s="190" t="s">
        <v>444</v>
      </c>
      <c r="B108" s="193" t="s">
        <v>556</v>
      </c>
      <c r="C108" s="191" t="s">
        <v>290</v>
      </c>
      <c r="D108" s="191" t="s">
        <v>305</v>
      </c>
      <c r="E108" s="192" t="s">
        <v>445</v>
      </c>
    </row>
    <row r="109" spans="1:5" x14ac:dyDescent="0.3">
      <c r="A109" s="186" t="s">
        <v>254</v>
      </c>
      <c r="B109" s="189" t="s">
        <v>556</v>
      </c>
      <c r="C109" s="187" t="s">
        <v>290</v>
      </c>
      <c r="D109" s="187" t="s">
        <v>305</v>
      </c>
      <c r="E109" s="182" t="s">
        <v>443</v>
      </c>
    </row>
    <row r="110" spans="1:5" x14ac:dyDescent="0.3">
      <c r="A110" s="190" t="s">
        <v>385</v>
      </c>
      <c r="B110" s="193" t="s">
        <v>348</v>
      </c>
      <c r="C110" s="191" t="s">
        <v>245</v>
      </c>
      <c r="D110" s="191" t="s">
        <v>305</v>
      </c>
      <c r="E110" s="192" t="s">
        <v>386</v>
      </c>
    </row>
    <row r="111" spans="1:5" x14ac:dyDescent="0.3">
      <c r="A111" s="186" t="s">
        <v>379</v>
      </c>
      <c r="B111" s="189" t="s">
        <v>348</v>
      </c>
      <c r="C111" s="187" t="s">
        <v>245</v>
      </c>
      <c r="D111" s="187">
        <v>1</v>
      </c>
      <c r="E111" s="182" t="s">
        <v>380</v>
      </c>
    </row>
    <row r="112" spans="1:5" x14ac:dyDescent="0.3">
      <c r="A112" s="190" t="s">
        <v>578</v>
      </c>
      <c r="B112" s="193" t="s">
        <v>556</v>
      </c>
      <c r="C112" s="191" t="s">
        <v>292</v>
      </c>
      <c r="D112" s="191">
        <v>1</v>
      </c>
      <c r="E112" s="192" t="s">
        <v>579</v>
      </c>
    </row>
    <row r="113" spans="1:5" x14ac:dyDescent="0.3">
      <c r="A113" s="186" t="s">
        <v>580</v>
      </c>
      <c r="B113" s="189" t="s">
        <v>350</v>
      </c>
      <c r="C113" s="187" t="s">
        <v>247</v>
      </c>
      <c r="D113" s="187" t="s">
        <v>305</v>
      </c>
      <c r="E113" s="182" t="s">
        <v>581</v>
      </c>
    </row>
    <row r="114" spans="1:5" x14ac:dyDescent="0.3">
      <c r="A114" s="190" t="s">
        <v>582</v>
      </c>
      <c r="B114" s="193" t="s">
        <v>350</v>
      </c>
      <c r="C114" s="191" t="s">
        <v>370</v>
      </c>
      <c r="D114" s="191" t="s">
        <v>305</v>
      </c>
      <c r="E114" s="192" t="s">
        <v>583</v>
      </c>
    </row>
    <row r="115" spans="1:5" x14ac:dyDescent="0.3">
      <c r="A115" s="186" t="s">
        <v>584</v>
      </c>
      <c r="B115" s="189" t="s">
        <v>556</v>
      </c>
      <c r="C115" s="187" t="s">
        <v>291</v>
      </c>
      <c r="D115" s="187" t="s">
        <v>305</v>
      </c>
      <c r="E115" s="182" t="s">
        <v>585</v>
      </c>
    </row>
    <row r="116" spans="1:5" x14ac:dyDescent="0.3">
      <c r="A116" s="190" t="s">
        <v>586</v>
      </c>
      <c r="B116" s="193" t="s">
        <v>350</v>
      </c>
      <c r="C116" s="191" t="s">
        <v>249</v>
      </c>
      <c r="D116" s="191" t="s">
        <v>305</v>
      </c>
      <c r="E116" s="192" t="s">
        <v>587</v>
      </c>
    </row>
    <row r="117" spans="1:5" x14ac:dyDescent="0.3">
      <c r="A117" s="186" t="s">
        <v>588</v>
      </c>
      <c r="B117" s="189" t="s">
        <v>350</v>
      </c>
      <c r="C117" s="187" t="s">
        <v>290</v>
      </c>
      <c r="D117" s="187">
        <v>1</v>
      </c>
      <c r="E117" s="182" t="s">
        <v>589</v>
      </c>
    </row>
    <row r="118" spans="1:5" ht="27.6" x14ac:dyDescent="0.3">
      <c r="A118" s="190" t="s">
        <v>590</v>
      </c>
      <c r="B118" s="193" t="s">
        <v>350</v>
      </c>
      <c r="C118" s="191" t="s">
        <v>247</v>
      </c>
      <c r="D118" s="191">
        <v>1</v>
      </c>
      <c r="E118" s="192" t="s">
        <v>591</v>
      </c>
    </row>
    <row r="119" spans="1:5" ht="27.6" x14ac:dyDescent="0.3">
      <c r="A119" s="186" t="s">
        <v>620</v>
      </c>
      <c r="B119" s="189" t="s">
        <v>556</v>
      </c>
      <c r="C119" s="187" t="s">
        <v>291</v>
      </c>
      <c r="D119" s="187">
        <v>1</v>
      </c>
      <c r="E119" s="182" t="s">
        <v>621</v>
      </c>
    </row>
    <row r="120" spans="1:5" x14ac:dyDescent="0.3">
      <c r="A120" s="190" t="s">
        <v>622</v>
      </c>
      <c r="B120" s="193" t="s">
        <v>350</v>
      </c>
      <c r="C120" s="191" t="s">
        <v>249</v>
      </c>
      <c r="D120" s="191" t="s">
        <v>305</v>
      </c>
      <c r="E120" s="192" t="s">
        <v>623</v>
      </c>
    </row>
    <row r="121" spans="1:5" x14ac:dyDescent="0.3">
      <c r="A121" s="186" t="s">
        <v>624</v>
      </c>
      <c r="B121" s="189" t="s">
        <v>556</v>
      </c>
      <c r="C121" s="187" t="s">
        <v>292</v>
      </c>
      <c r="D121" s="187" t="s">
        <v>305</v>
      </c>
      <c r="E121" s="182" t="s">
        <v>625</v>
      </c>
    </row>
    <row r="122" spans="1:5" ht="13.8" customHeight="1" x14ac:dyDescent="0.3">
      <c r="A122" s="190" t="s">
        <v>276</v>
      </c>
      <c r="B122" s="193" t="s">
        <v>556</v>
      </c>
      <c r="C122" s="191" t="s">
        <v>272</v>
      </c>
      <c r="D122" s="191" t="s">
        <v>305</v>
      </c>
      <c r="E122" s="192" t="s">
        <v>617</v>
      </c>
    </row>
    <row r="123" spans="1:5" ht="27.6" x14ac:dyDescent="0.3">
      <c r="A123" s="186" t="s">
        <v>278</v>
      </c>
      <c r="B123" s="189" t="s">
        <v>556</v>
      </c>
      <c r="C123" s="187" t="s">
        <v>269</v>
      </c>
      <c r="D123" s="187" t="s">
        <v>305</v>
      </c>
      <c r="E123" s="182" t="s">
        <v>477</v>
      </c>
    </row>
    <row r="124" spans="1:5" ht="27.6" x14ac:dyDescent="0.3">
      <c r="A124" s="190" t="s">
        <v>277</v>
      </c>
      <c r="B124" s="193" t="s">
        <v>556</v>
      </c>
      <c r="C124" s="191" t="s">
        <v>272</v>
      </c>
      <c r="D124" s="191" t="s">
        <v>305</v>
      </c>
      <c r="E124" s="192" t="s">
        <v>478</v>
      </c>
    </row>
    <row r="125" spans="1:5" ht="27.6" x14ac:dyDescent="0.3">
      <c r="A125" s="186" t="s">
        <v>475</v>
      </c>
      <c r="B125" s="189" t="s">
        <v>556</v>
      </c>
      <c r="C125" s="187" t="s">
        <v>272</v>
      </c>
      <c r="D125" s="187" t="s">
        <v>305</v>
      </c>
      <c r="E125" s="182" t="s">
        <v>476</v>
      </c>
    </row>
    <row r="126" spans="1:5" ht="27.6" x14ac:dyDescent="0.3">
      <c r="A126" s="190" t="s">
        <v>592</v>
      </c>
      <c r="B126" s="193" t="s">
        <v>556</v>
      </c>
      <c r="C126" s="191" t="s">
        <v>269</v>
      </c>
      <c r="D126" s="191" t="s">
        <v>305</v>
      </c>
      <c r="E126" s="192" t="s">
        <v>618</v>
      </c>
    </row>
    <row r="127" spans="1:5" x14ac:dyDescent="0.3">
      <c r="A127" s="186" t="s">
        <v>598</v>
      </c>
      <c r="B127" s="189" t="s">
        <v>556</v>
      </c>
      <c r="C127" s="187" t="s">
        <v>272</v>
      </c>
      <c r="D127" s="187" t="s">
        <v>305</v>
      </c>
      <c r="E127" s="182" t="s">
        <v>599</v>
      </c>
    </row>
    <row r="128" spans="1:5" ht="13.8" customHeight="1" x14ac:dyDescent="0.3">
      <c r="A128" s="190" t="s">
        <v>596</v>
      </c>
      <c r="B128" s="193" t="s">
        <v>556</v>
      </c>
      <c r="C128" s="191" t="s">
        <v>272</v>
      </c>
      <c r="D128" s="191" t="s">
        <v>305</v>
      </c>
      <c r="E128" s="192" t="s">
        <v>597</v>
      </c>
    </row>
    <row r="129" spans="1:5" ht="27.6" x14ac:dyDescent="0.3">
      <c r="A129" s="186" t="s">
        <v>593</v>
      </c>
      <c r="B129" s="189" t="s">
        <v>558</v>
      </c>
      <c r="C129" s="187" t="s">
        <v>266</v>
      </c>
      <c r="D129" s="187" t="s">
        <v>305</v>
      </c>
      <c r="E129" s="182" t="s">
        <v>594</v>
      </c>
    </row>
    <row r="130" spans="1:5" ht="27.6" x14ac:dyDescent="0.3">
      <c r="A130" s="190" t="s">
        <v>520</v>
      </c>
      <c r="B130" s="193" t="s">
        <v>558</v>
      </c>
      <c r="C130" s="191" t="s">
        <v>266</v>
      </c>
      <c r="D130" s="191" t="s">
        <v>305</v>
      </c>
      <c r="E130" s="192" t="s">
        <v>595</v>
      </c>
    </row>
    <row r="131" spans="1:5" x14ac:dyDescent="0.3">
      <c r="A131" s="186" t="s">
        <v>515</v>
      </c>
      <c r="B131" s="189" t="s">
        <v>558</v>
      </c>
      <c r="C131" s="187" t="s">
        <v>266</v>
      </c>
      <c r="D131" s="187" t="s">
        <v>305</v>
      </c>
      <c r="E131" s="182" t="s">
        <v>619</v>
      </c>
    </row>
    <row r="132" spans="1:5" x14ac:dyDescent="0.3">
      <c r="A132" s="190" t="s">
        <v>602</v>
      </c>
      <c r="B132" s="193" t="s">
        <v>558</v>
      </c>
      <c r="C132" s="191" t="s">
        <v>262</v>
      </c>
      <c r="D132" s="191" t="s">
        <v>305</v>
      </c>
      <c r="E132" s="192" t="s">
        <v>603</v>
      </c>
    </row>
    <row r="133" spans="1:5" x14ac:dyDescent="0.3">
      <c r="A133" s="186" t="s">
        <v>600</v>
      </c>
      <c r="B133" s="189" t="s">
        <v>558</v>
      </c>
      <c r="C133" s="187" t="s">
        <v>262</v>
      </c>
      <c r="D133" s="187" t="s">
        <v>305</v>
      </c>
      <c r="E133" s="182" t="s">
        <v>601</v>
      </c>
    </row>
    <row r="134" spans="1:5" ht="13.8" customHeight="1" x14ac:dyDescent="0.3">
      <c r="A134" s="190" t="s">
        <v>604</v>
      </c>
      <c r="B134" s="193" t="s">
        <v>558</v>
      </c>
      <c r="C134" s="191" t="s">
        <v>285</v>
      </c>
      <c r="D134" s="191" t="s">
        <v>305</v>
      </c>
      <c r="E134" s="192" t="s">
        <v>605</v>
      </c>
    </row>
    <row r="135" spans="1:5" x14ac:dyDescent="0.3">
      <c r="A135" s="186" t="s">
        <v>561</v>
      </c>
      <c r="B135" s="189" t="s">
        <v>556</v>
      </c>
      <c r="C135" s="187" t="s">
        <v>269</v>
      </c>
      <c r="D135" s="187" t="s">
        <v>305</v>
      </c>
      <c r="E135" s="182" t="s">
        <v>562</v>
      </c>
    </row>
    <row r="136" spans="1:5" x14ac:dyDescent="0.3">
      <c r="A136" s="190" t="s">
        <v>606</v>
      </c>
      <c r="B136" s="193" t="s">
        <v>350</v>
      </c>
      <c r="C136" s="191" t="s">
        <v>409</v>
      </c>
      <c r="D136" s="191" t="s">
        <v>305</v>
      </c>
      <c r="E136" s="192" t="s">
        <v>607</v>
      </c>
    </row>
    <row r="137" spans="1:5" x14ac:dyDescent="0.3">
      <c r="A137" s="186" t="s">
        <v>563</v>
      </c>
      <c r="B137" s="189" t="s">
        <v>556</v>
      </c>
      <c r="C137" s="187" t="s">
        <v>272</v>
      </c>
      <c r="D137" s="187" t="s">
        <v>305</v>
      </c>
      <c r="E137" s="182" t="s">
        <v>564</v>
      </c>
    </row>
    <row r="138" spans="1:5" x14ac:dyDescent="0.3">
      <c r="A138" s="190" t="s">
        <v>608</v>
      </c>
      <c r="B138" s="193" t="s">
        <v>556</v>
      </c>
      <c r="C138" s="191" t="s">
        <v>272</v>
      </c>
      <c r="D138" s="191" t="s">
        <v>305</v>
      </c>
      <c r="E138" s="192" t="s">
        <v>609</v>
      </c>
    </row>
    <row r="139" spans="1:5" x14ac:dyDescent="0.3">
      <c r="A139" s="186" t="s">
        <v>565</v>
      </c>
      <c r="B139" s="189" t="s">
        <v>558</v>
      </c>
      <c r="C139" s="187" t="s">
        <v>260</v>
      </c>
      <c r="D139" s="187" t="s">
        <v>305</v>
      </c>
      <c r="E139" s="182" t="s">
        <v>566</v>
      </c>
    </row>
    <row r="140" spans="1:5" x14ac:dyDescent="0.3">
      <c r="A140" s="190" t="s">
        <v>613</v>
      </c>
      <c r="B140" s="193" t="s">
        <v>556</v>
      </c>
      <c r="C140" s="191" t="s">
        <v>409</v>
      </c>
      <c r="D140" s="191" t="s">
        <v>305</v>
      </c>
      <c r="E140" s="192" t="s">
        <v>614</v>
      </c>
    </row>
    <row r="141" spans="1:5" x14ac:dyDescent="0.3">
      <c r="A141" s="186" t="s">
        <v>611</v>
      </c>
      <c r="B141" s="189" t="s">
        <v>350</v>
      </c>
      <c r="C141" s="187" t="s">
        <v>429</v>
      </c>
      <c r="D141" s="187" t="s">
        <v>305</v>
      </c>
      <c r="E141" s="182" t="s">
        <v>612</v>
      </c>
    </row>
    <row r="142" spans="1:5" ht="27.6" x14ac:dyDescent="0.3">
      <c r="A142" s="190" t="s">
        <v>567</v>
      </c>
      <c r="B142" s="193" t="s">
        <v>558</v>
      </c>
      <c r="C142" s="191" t="s">
        <v>531</v>
      </c>
      <c r="D142" s="191" t="s">
        <v>305</v>
      </c>
      <c r="E142" s="192" t="s">
        <v>610</v>
      </c>
    </row>
    <row r="143" spans="1:5" x14ac:dyDescent="0.3">
      <c r="A143" s="186" t="s">
        <v>615</v>
      </c>
      <c r="B143" s="189" t="s">
        <v>350</v>
      </c>
      <c r="C143" s="187" t="s">
        <v>245</v>
      </c>
      <c r="D143" s="187" t="s">
        <v>305</v>
      </c>
      <c r="E143" s="182" t="s">
        <v>616</v>
      </c>
    </row>
    <row r="148" spans="1:5" x14ac:dyDescent="0.3">
      <c r="A148" s="184" t="s">
        <v>45</v>
      </c>
      <c r="B148" s="185" t="s">
        <v>44</v>
      </c>
      <c r="C148" s="185" t="s">
        <v>239</v>
      </c>
      <c r="D148" s="185" t="s">
        <v>46</v>
      </c>
      <c r="E148" s="184" t="s">
        <v>27</v>
      </c>
    </row>
    <row r="149" spans="1:5" x14ac:dyDescent="0.3">
      <c r="A149" s="183"/>
      <c r="B149" s="188"/>
      <c r="C149" s="188"/>
      <c r="D149" s="188"/>
      <c r="E149" s="183"/>
    </row>
    <row r="150" spans="1:5" x14ac:dyDescent="0.3">
      <c r="A150" s="234" t="s">
        <v>568</v>
      </c>
      <c r="B150" s="234"/>
      <c r="C150" s="234"/>
      <c r="D150" s="234"/>
      <c r="E150" s="234"/>
    </row>
    <row r="151" spans="1:5" x14ac:dyDescent="0.3">
      <c r="A151" s="186" t="s">
        <v>465</v>
      </c>
      <c r="B151" s="189" t="s">
        <v>556</v>
      </c>
      <c r="C151" s="187" t="s">
        <v>262</v>
      </c>
      <c r="D151" s="187" t="s">
        <v>305</v>
      </c>
      <c r="E151" s="182" t="s">
        <v>466</v>
      </c>
    </row>
    <row r="152" spans="1:5" x14ac:dyDescent="0.3">
      <c r="A152" s="190" t="s">
        <v>493</v>
      </c>
      <c r="B152" s="193" t="s">
        <v>558</v>
      </c>
      <c r="C152" s="191" t="s">
        <v>494</v>
      </c>
      <c r="D152" s="191" t="s">
        <v>305</v>
      </c>
      <c r="E152" s="192" t="s">
        <v>495</v>
      </c>
    </row>
    <row r="153" spans="1:5" x14ac:dyDescent="0.3">
      <c r="A153" s="186" t="s">
        <v>467</v>
      </c>
      <c r="B153" s="189" t="s">
        <v>556</v>
      </c>
      <c r="C153" s="187" t="s">
        <v>260</v>
      </c>
      <c r="D153" s="187" t="s">
        <v>305</v>
      </c>
      <c r="E153" s="182" t="s">
        <v>468</v>
      </c>
    </row>
    <row r="154" spans="1:5" ht="27.6" x14ac:dyDescent="0.3">
      <c r="A154" s="190" t="s">
        <v>263</v>
      </c>
      <c r="B154" s="193" t="s">
        <v>558</v>
      </c>
      <c r="C154" s="191" t="s">
        <v>285</v>
      </c>
      <c r="D154" s="191" t="s">
        <v>305</v>
      </c>
      <c r="E154" s="192" t="s">
        <v>496</v>
      </c>
    </row>
    <row r="155" spans="1:5" ht="27.6" x14ac:dyDescent="0.3">
      <c r="A155" s="186" t="s">
        <v>265</v>
      </c>
      <c r="B155" s="189" t="s">
        <v>558</v>
      </c>
      <c r="C155" s="187" t="s">
        <v>497</v>
      </c>
      <c r="D155" s="187" t="s">
        <v>305</v>
      </c>
      <c r="E155" s="182" t="s">
        <v>498</v>
      </c>
    </row>
    <row r="156" spans="1:5" ht="27.6" x14ac:dyDescent="0.3">
      <c r="A156" s="190" t="s">
        <v>499</v>
      </c>
      <c r="B156" s="193" t="s">
        <v>558</v>
      </c>
      <c r="C156" s="191" t="s">
        <v>285</v>
      </c>
      <c r="D156" s="191" t="s">
        <v>305</v>
      </c>
      <c r="E156" s="192" t="s">
        <v>500</v>
      </c>
    </row>
    <row r="157" spans="1:5" x14ac:dyDescent="0.3">
      <c r="A157" s="186" t="s">
        <v>283</v>
      </c>
      <c r="B157" s="189" t="s">
        <v>558</v>
      </c>
      <c r="C157" s="187" t="s">
        <v>497</v>
      </c>
      <c r="D157" s="187" t="s">
        <v>305</v>
      </c>
      <c r="E157" s="182" t="s">
        <v>501</v>
      </c>
    </row>
    <row r="158" spans="1:5" ht="27.6" x14ac:dyDescent="0.3">
      <c r="A158" s="190" t="s">
        <v>267</v>
      </c>
      <c r="B158" s="193" t="s">
        <v>558</v>
      </c>
      <c r="C158" s="191" t="s">
        <v>285</v>
      </c>
      <c r="D158" s="191" t="s">
        <v>305</v>
      </c>
      <c r="E158" s="192" t="s">
        <v>502</v>
      </c>
    </row>
    <row r="159" spans="1:5" ht="27.6" x14ac:dyDescent="0.3">
      <c r="A159" s="186" t="s">
        <v>503</v>
      </c>
      <c r="B159" s="189" t="s">
        <v>558</v>
      </c>
      <c r="C159" s="187" t="s">
        <v>504</v>
      </c>
      <c r="D159" s="187" t="s">
        <v>305</v>
      </c>
      <c r="E159" s="182" t="s">
        <v>505</v>
      </c>
    </row>
    <row r="160" spans="1:5" x14ac:dyDescent="0.3">
      <c r="A160" s="190" t="s">
        <v>506</v>
      </c>
      <c r="B160" s="193" t="s">
        <v>558</v>
      </c>
      <c r="C160" s="191" t="s">
        <v>507</v>
      </c>
      <c r="D160" s="191" t="s">
        <v>305</v>
      </c>
      <c r="E160" s="192" t="s">
        <v>508</v>
      </c>
    </row>
    <row r="161" spans="1:5" ht="13.8" customHeight="1" x14ac:dyDescent="0.3">
      <c r="A161" s="186" t="s">
        <v>626</v>
      </c>
      <c r="B161" s="189" t="s">
        <v>556</v>
      </c>
      <c r="C161" s="187" t="s">
        <v>266</v>
      </c>
      <c r="D161" s="187" t="s">
        <v>305</v>
      </c>
      <c r="E161" s="182" t="s">
        <v>627</v>
      </c>
    </row>
    <row r="162" spans="1:5" ht="27.6" x14ac:dyDescent="0.3">
      <c r="A162" s="190" t="s">
        <v>628</v>
      </c>
      <c r="B162" s="193" t="s">
        <v>558</v>
      </c>
      <c r="C162" s="191" t="s">
        <v>504</v>
      </c>
      <c r="D162" s="191" t="s">
        <v>305</v>
      </c>
      <c r="E162" s="192" t="s">
        <v>629</v>
      </c>
    </row>
    <row r="163" spans="1:5" x14ac:dyDescent="0.3">
      <c r="A163" s="186" t="s">
        <v>630</v>
      </c>
      <c r="B163" s="189" t="s">
        <v>558</v>
      </c>
      <c r="C163" s="187" t="s">
        <v>285</v>
      </c>
      <c r="D163" s="187" t="s">
        <v>305</v>
      </c>
      <c r="E163" s="182" t="s">
        <v>631</v>
      </c>
    </row>
    <row r="164" spans="1:5" x14ac:dyDescent="0.3">
      <c r="A164" s="190" t="s">
        <v>632</v>
      </c>
      <c r="B164" s="193" t="s">
        <v>558</v>
      </c>
      <c r="C164" s="191" t="s">
        <v>262</v>
      </c>
      <c r="D164" s="191" t="s">
        <v>305</v>
      </c>
      <c r="E164" s="192" t="s">
        <v>633</v>
      </c>
    </row>
    <row r="165" spans="1:5" x14ac:dyDescent="0.3">
      <c r="A165" s="186" t="s">
        <v>634</v>
      </c>
      <c r="B165" s="189" t="s">
        <v>558</v>
      </c>
      <c r="C165" s="187" t="s">
        <v>262</v>
      </c>
      <c r="D165" s="187" t="s">
        <v>305</v>
      </c>
      <c r="E165" s="182" t="s">
        <v>635</v>
      </c>
    </row>
    <row r="166" spans="1:5" x14ac:dyDescent="0.3">
      <c r="A166" s="190" t="s">
        <v>636</v>
      </c>
      <c r="B166" s="193" t="s">
        <v>556</v>
      </c>
      <c r="C166" s="191" t="s">
        <v>264</v>
      </c>
      <c r="D166" s="191" t="s">
        <v>305</v>
      </c>
      <c r="E166" s="192" t="s">
        <v>637</v>
      </c>
    </row>
    <row r="167" spans="1:5" x14ac:dyDescent="0.3">
      <c r="A167" s="186" t="s">
        <v>638</v>
      </c>
      <c r="B167" s="189" t="s">
        <v>556</v>
      </c>
      <c r="C167" s="187" t="s">
        <v>269</v>
      </c>
      <c r="D167" s="187" t="s">
        <v>305</v>
      </c>
      <c r="E167" s="182" t="s">
        <v>639</v>
      </c>
    </row>
    <row r="168" spans="1:5" x14ac:dyDescent="0.3">
      <c r="A168" s="190" t="s">
        <v>268</v>
      </c>
      <c r="B168" s="193" t="s">
        <v>556</v>
      </c>
      <c r="C168" s="191" t="s">
        <v>272</v>
      </c>
      <c r="D168" s="191" t="s">
        <v>305</v>
      </c>
      <c r="E168" s="192" t="s">
        <v>469</v>
      </c>
    </row>
    <row r="169" spans="1:5" ht="27.6" x14ac:dyDescent="0.3">
      <c r="A169" s="186" t="s">
        <v>270</v>
      </c>
      <c r="B169" s="189" t="s">
        <v>556</v>
      </c>
      <c r="C169" s="187" t="s">
        <v>272</v>
      </c>
      <c r="D169" s="187" t="s">
        <v>305</v>
      </c>
      <c r="E169" s="182" t="s">
        <v>470</v>
      </c>
    </row>
    <row r="170" spans="1:5" x14ac:dyDescent="0.3">
      <c r="A170" s="190" t="s">
        <v>471</v>
      </c>
      <c r="B170" s="193" t="s">
        <v>556</v>
      </c>
      <c r="C170" s="191" t="s">
        <v>272</v>
      </c>
      <c r="D170" s="191" t="s">
        <v>305</v>
      </c>
      <c r="E170" s="192" t="s">
        <v>472</v>
      </c>
    </row>
    <row r="171" spans="1:5" x14ac:dyDescent="0.3">
      <c r="A171" s="186" t="s">
        <v>473</v>
      </c>
      <c r="B171" s="189" t="s">
        <v>556</v>
      </c>
      <c r="C171" s="187" t="s">
        <v>272</v>
      </c>
      <c r="D171" s="187" t="s">
        <v>305</v>
      </c>
      <c r="E171" s="182" t="s">
        <v>474</v>
      </c>
    </row>
    <row r="172" spans="1:5" x14ac:dyDescent="0.3">
      <c r="A172" s="190" t="s">
        <v>640</v>
      </c>
      <c r="B172" s="193" t="s">
        <v>556</v>
      </c>
      <c r="C172" s="191" t="s">
        <v>272</v>
      </c>
      <c r="D172" s="191" t="s">
        <v>305</v>
      </c>
      <c r="E172" s="192" t="s">
        <v>641</v>
      </c>
    </row>
    <row r="173" spans="1:5" x14ac:dyDescent="0.3">
      <c r="A173" s="186" t="s">
        <v>642</v>
      </c>
      <c r="B173" s="189" t="s">
        <v>558</v>
      </c>
      <c r="C173" s="187" t="s">
        <v>266</v>
      </c>
      <c r="D173" s="187" t="s">
        <v>305</v>
      </c>
      <c r="E173" s="182" t="s">
        <v>643</v>
      </c>
    </row>
    <row r="174" spans="1:5" ht="27.6" x14ac:dyDescent="0.3">
      <c r="A174" s="190" t="s">
        <v>271</v>
      </c>
      <c r="B174" s="193" t="s">
        <v>558</v>
      </c>
      <c r="C174" s="191" t="s">
        <v>266</v>
      </c>
      <c r="D174" s="191" t="s">
        <v>305</v>
      </c>
      <c r="E174" s="192" t="s">
        <v>509</v>
      </c>
    </row>
    <row r="175" spans="1:5" ht="27.6" x14ac:dyDescent="0.3">
      <c r="A175" s="186" t="s">
        <v>273</v>
      </c>
      <c r="B175" s="189" t="s">
        <v>558</v>
      </c>
      <c r="C175" s="187" t="s">
        <v>266</v>
      </c>
      <c r="D175" s="187" t="s">
        <v>305</v>
      </c>
      <c r="E175" s="182" t="s">
        <v>510</v>
      </c>
    </row>
    <row r="176" spans="1:5" x14ac:dyDescent="0.3">
      <c r="A176" s="190" t="s">
        <v>511</v>
      </c>
      <c r="B176" s="193" t="s">
        <v>558</v>
      </c>
      <c r="C176" s="191" t="s">
        <v>266</v>
      </c>
      <c r="D176" s="191" t="s">
        <v>305</v>
      </c>
      <c r="E176" s="192" t="s">
        <v>512</v>
      </c>
    </row>
    <row r="177" spans="1:5" x14ac:dyDescent="0.3">
      <c r="A177" s="186" t="s">
        <v>513</v>
      </c>
      <c r="B177" s="189" t="s">
        <v>558</v>
      </c>
      <c r="C177" s="187" t="s">
        <v>266</v>
      </c>
      <c r="D177" s="187" t="s">
        <v>305</v>
      </c>
      <c r="E177" s="182" t="s">
        <v>514</v>
      </c>
    </row>
    <row r="178" spans="1:5" ht="27.6" x14ac:dyDescent="0.3">
      <c r="A178" s="190" t="s">
        <v>516</v>
      </c>
      <c r="B178" s="193" t="s">
        <v>558</v>
      </c>
      <c r="C178" s="191" t="s">
        <v>285</v>
      </c>
      <c r="D178" s="191" t="s">
        <v>305</v>
      </c>
      <c r="E178" s="192" t="s">
        <v>517</v>
      </c>
    </row>
    <row r="179" spans="1:5" ht="27.6" x14ac:dyDescent="0.3">
      <c r="A179" s="186" t="s">
        <v>274</v>
      </c>
      <c r="B179" s="189" t="s">
        <v>558</v>
      </c>
      <c r="C179" s="187" t="s">
        <v>285</v>
      </c>
      <c r="D179" s="187" t="s">
        <v>305</v>
      </c>
      <c r="E179" s="182" t="s">
        <v>518</v>
      </c>
    </row>
    <row r="180" spans="1:5" ht="27.6" x14ac:dyDescent="0.3">
      <c r="A180" s="190" t="s">
        <v>275</v>
      </c>
      <c r="B180" s="193" t="s">
        <v>558</v>
      </c>
      <c r="C180" s="191" t="s">
        <v>285</v>
      </c>
      <c r="D180" s="191" t="s">
        <v>305</v>
      </c>
      <c r="E180" s="192" t="s">
        <v>519</v>
      </c>
    </row>
    <row r="181" spans="1:5" x14ac:dyDescent="0.3">
      <c r="A181" s="186" t="s">
        <v>644</v>
      </c>
      <c r="B181" s="189" t="s">
        <v>558</v>
      </c>
      <c r="C181" s="187" t="s">
        <v>285</v>
      </c>
      <c r="D181" s="187" t="s">
        <v>305</v>
      </c>
      <c r="E181" s="182" t="s">
        <v>645</v>
      </c>
    </row>
    <row r="182" spans="1:5" ht="27.6" x14ac:dyDescent="0.3">
      <c r="A182" s="190" t="s">
        <v>646</v>
      </c>
      <c r="B182" s="193" t="s">
        <v>558</v>
      </c>
      <c r="C182" s="191" t="s">
        <v>285</v>
      </c>
      <c r="D182" s="191" t="s">
        <v>305</v>
      </c>
      <c r="E182" s="192" t="s">
        <v>647</v>
      </c>
    </row>
    <row r="183" spans="1:5" ht="13.8" customHeight="1" x14ac:dyDescent="0.3">
      <c r="A183" s="186" t="s">
        <v>648</v>
      </c>
      <c r="B183" s="189" t="s">
        <v>558</v>
      </c>
      <c r="C183" s="187" t="s">
        <v>272</v>
      </c>
      <c r="D183" s="187" t="s">
        <v>305</v>
      </c>
      <c r="E183" s="182" t="s">
        <v>649</v>
      </c>
    </row>
    <row r="184" spans="1:5" x14ac:dyDescent="0.3">
      <c r="A184" s="190" t="s">
        <v>650</v>
      </c>
      <c r="B184" s="193" t="s">
        <v>556</v>
      </c>
      <c r="C184" s="191" t="s">
        <v>290</v>
      </c>
      <c r="D184" s="191" t="s">
        <v>305</v>
      </c>
      <c r="E184" s="192" t="s">
        <v>651</v>
      </c>
    </row>
    <row r="188" spans="1:5" ht="18" x14ac:dyDescent="0.3">
      <c r="A188" s="232" t="s">
        <v>332</v>
      </c>
      <c r="B188" s="232"/>
      <c r="C188" s="232"/>
      <c r="D188" s="232"/>
      <c r="E188" s="232"/>
    </row>
    <row r="190" spans="1:5" x14ac:dyDescent="0.3">
      <c r="A190" s="194"/>
      <c r="B190" s="195"/>
      <c r="C190" s="196"/>
      <c r="D190" s="196"/>
      <c r="E190" s="197"/>
    </row>
    <row r="192" spans="1:5" x14ac:dyDescent="0.3">
      <c r="A192" s="194"/>
      <c r="B192" s="195"/>
      <c r="C192" s="196"/>
      <c r="D192" s="196"/>
      <c r="E192" s="197"/>
    </row>
    <row r="194" spans="1:5" x14ac:dyDescent="0.3">
      <c r="A194" s="194"/>
      <c r="B194" s="195"/>
      <c r="C194" s="196"/>
      <c r="D194" s="196"/>
      <c r="E194" s="197"/>
    </row>
    <row r="196" spans="1:5" x14ac:dyDescent="0.3">
      <c r="A196" s="194"/>
      <c r="B196" s="195"/>
      <c r="C196" s="196"/>
      <c r="D196" s="196"/>
      <c r="E196" s="197"/>
    </row>
    <row r="198" spans="1:5" x14ac:dyDescent="0.3">
      <c r="A198" s="194"/>
      <c r="B198" s="195"/>
      <c r="C198" s="196"/>
      <c r="D198" s="196"/>
      <c r="E198" s="197"/>
    </row>
    <row r="200" spans="1:5" x14ac:dyDescent="0.3">
      <c r="A200" s="194"/>
      <c r="B200" s="195"/>
      <c r="C200" s="196"/>
      <c r="D200" s="196"/>
      <c r="E200" s="197"/>
    </row>
    <row r="202" spans="1:5" x14ac:dyDescent="0.3">
      <c r="A202" s="194"/>
      <c r="B202" s="195"/>
      <c r="C202" s="196"/>
      <c r="D202" s="196"/>
      <c r="E202" s="197"/>
    </row>
    <row r="204" spans="1:5" x14ac:dyDescent="0.3">
      <c r="A204" s="194"/>
      <c r="B204" s="195"/>
      <c r="C204" s="196"/>
      <c r="D204" s="196"/>
      <c r="E204" s="197"/>
    </row>
    <row r="206" spans="1:5" x14ac:dyDescent="0.3">
      <c r="A206" s="194"/>
      <c r="B206" s="195"/>
      <c r="C206" s="196"/>
      <c r="D206" s="196"/>
      <c r="E206" s="197"/>
    </row>
    <row r="208" spans="1:5" x14ac:dyDescent="0.3">
      <c r="A208" s="194"/>
      <c r="B208" s="195"/>
      <c r="C208" s="196"/>
      <c r="D208" s="196"/>
      <c r="E208" s="197"/>
    </row>
    <row r="240" spans="1:5" x14ac:dyDescent="0.3">
      <c r="A240" s="233" t="s">
        <v>577</v>
      </c>
      <c r="B240" s="233"/>
      <c r="C240" s="233"/>
      <c r="D240" s="233"/>
      <c r="E240" s="233"/>
    </row>
  </sheetData>
  <mergeCells count="9">
    <mergeCell ref="A188:E188"/>
    <mergeCell ref="A240:E240"/>
    <mergeCell ref="A3:E3"/>
    <mergeCell ref="A106:E106"/>
    <mergeCell ref="A150:E150"/>
    <mergeCell ref="A53:E53"/>
    <mergeCell ref="A82:E82"/>
    <mergeCell ref="A38:E38"/>
    <mergeCell ref="A27:E27"/>
  </mergeCells>
  <pageMargins left="0.19685039370078741" right="0.19685039370078741" top="0.3543307086614173" bottom="0.3543307086614173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</vt:lpstr>
      <vt:lpstr>Retro A</vt:lpstr>
      <vt:lpstr>Elf</vt:lpstr>
      <vt:lpstr>Retro E</vt:lpstr>
      <vt:lpstr>Dwarf</vt:lpstr>
      <vt:lpstr>Retro N</vt:lpstr>
      <vt:lpstr>Thief</vt:lpstr>
      <vt:lpstr>Retro L</vt:lpstr>
      <vt:lpstr>Mage</vt:lpstr>
      <vt:lpstr>Retro M</vt:lpstr>
      <vt:lpstr>Fighter</vt:lpstr>
      <vt:lpstr>Retro F</vt:lpstr>
      <vt:lpstr>Cleric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2026-01-08T22:28:08Z</cp:lastPrinted>
  <dcterms:created xsi:type="dcterms:W3CDTF">2025-12-03T19:05:58Z</dcterms:created>
  <dcterms:modified xsi:type="dcterms:W3CDTF">2026-01-08T22:28:13Z</dcterms:modified>
</cp:coreProperties>
</file>