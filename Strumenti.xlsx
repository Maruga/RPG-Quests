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Questa_cartella_di_lavoro" defaultThemeVersion="202300"/>
  <mc:AlternateContent xmlns:mc="http://schemas.openxmlformats.org/markup-compatibility/2006">
    <mc:Choice Requires="x15">
      <x15ac:absPath xmlns:x15ac="http://schemas.microsoft.com/office/spreadsheetml/2010/11/ac" url="C:\Public\_Clienti\Maruga\Giochi\Vampiri\Vault\Vampiri\"/>
    </mc:Choice>
  </mc:AlternateContent>
  <xr:revisionPtr revIDLastSave="0" documentId="13_ncr:1_{E99107EC-4983-470A-BF7D-DDA3E3B16E60}" xr6:coauthVersionLast="47" xr6:coauthVersionMax="47" xr10:uidLastSave="{00000000-0000-0000-0000-000000000000}"/>
  <bookViews>
    <workbookView xWindow="25452" yWindow="0" windowWidth="29148" windowHeight="16656" xr2:uid="{3C69CAEB-EF54-41D7-B74D-5F784B8051C2}"/>
  </bookViews>
  <sheets>
    <sheet name="_Toreador" sheetId="17" r:id="rId1"/>
    <sheet name="_Nosferatu" sheetId="16" r:id="rId2"/>
    <sheet name="_Brujah" sheetId="14" r:id="rId3"/>
    <sheet name="_Gangrel" sheetId="15" r:id="rId4"/>
    <sheet name="Scheda V3" sheetId="1" r:id="rId5"/>
    <sheet name="Brujah" sheetId="9" r:id="rId6"/>
    <sheet name="Tempo" sheetId="13" r:id="rId7"/>
    <sheet name="Dadi" sheetId="7" r:id="rId8"/>
    <sheet name="Discipline" sheetId="10" r:id="rId9"/>
    <sheet name="BackGround" sheetId="12" r:id="rId10"/>
    <sheet name="Natura" sheetId="3" r:id="rId11"/>
    <sheet name="Specialità" sheetId="11" r:id="rId12"/>
    <sheet name="Scheda V5" sheetId="8" r:id="rId13"/>
    <sheet name="Azioni" sheetId="5" r:id="rId14"/>
    <sheet name="Esperienza" sheetId="4" r:id="rId15"/>
    <sheet name="Utilizo PE" sheetId="6" r:id="rId16"/>
    <sheet name="Attacco" sheetId="2"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7" l="1"/>
  <c r="J33" i="17"/>
  <c r="J37" i="16"/>
  <c r="J37" i="15"/>
  <c r="J37" i="14"/>
  <c r="J33" i="14"/>
  <c r="J1" i="13"/>
  <c r="D8" i="13"/>
  <c r="D9" i="13" s="1"/>
  <c r="D10" i="13" s="1"/>
  <c r="D11" i="13" s="1"/>
  <c r="D13" i="13" s="1"/>
  <c r="D15" i="13" s="1"/>
  <c r="D16" i="13" s="1"/>
  <c r="D17" i="13" s="1"/>
  <c r="D19" i="13" s="1"/>
  <c r="D20" i="13" s="1"/>
  <c r="D23" i="13" s="1"/>
  <c r="D24" i="13" s="1"/>
  <c r="D25" i="13" s="1"/>
  <c r="D26" i="13" s="1"/>
  <c r="D27" i="13" s="1"/>
  <c r="D29" i="13" s="1"/>
  <c r="D31" i="13" s="1"/>
  <c r="C4" i="13"/>
  <c r="C8" i="13" s="1"/>
  <c r="C9" i="13" s="1"/>
  <c r="C10" i="13" s="1"/>
  <c r="C11" i="13" s="1"/>
  <c r="C12" i="13" s="1"/>
  <c r="C13" i="13" s="1"/>
  <c r="C14" i="13" s="1"/>
  <c r="C15" i="13" s="1"/>
  <c r="C16" i="13" s="1"/>
  <c r="C17" i="13" s="1"/>
  <c r="C18" i="13" s="1"/>
  <c r="C19" i="13" s="1"/>
  <c r="C20" i="13" s="1"/>
  <c r="C21" i="13" s="1"/>
  <c r="C22" i="13" s="1"/>
  <c r="C23" i="13" s="1"/>
  <c r="C24" i="13" s="1"/>
  <c r="C25" i="13" s="1"/>
  <c r="C26" i="13" s="1"/>
  <c r="C27" i="13" s="1"/>
  <c r="C28" i="13" s="1"/>
  <c r="C29" i="13" s="1"/>
  <c r="C30" i="13" s="1"/>
  <c r="C31" i="13" s="1"/>
  <c r="R21" i="13" s="1"/>
  <c r="B8" i="13"/>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J36" i="9"/>
  <c r="J33" i="9"/>
  <c r="J36" i="1"/>
  <c r="E3" i="7"/>
  <c r="F3" i="7"/>
  <c r="G3" i="7"/>
  <c r="H3" i="7"/>
  <c r="I3" i="7"/>
  <c r="J3" i="7"/>
  <c r="K3" i="7"/>
  <c r="L3" i="7"/>
  <c r="M3" i="7"/>
  <c r="D3" i="7"/>
  <c r="D7" i="7" s="1"/>
  <c r="J33" i="1"/>
  <c r="R6" i="13" l="1"/>
  <c r="L11" i="13"/>
  <c r="P21" i="13"/>
  <c r="L1" i="13"/>
  <c r="N21" i="13"/>
  <c r="N1" i="13"/>
  <c r="L21" i="13"/>
  <c r="P1" i="13"/>
  <c r="J21" i="13"/>
  <c r="N11" i="13"/>
  <c r="R1" i="13"/>
  <c r="R16" i="13"/>
  <c r="J11" i="13"/>
  <c r="R11" i="13"/>
  <c r="J6" i="13"/>
  <c r="P16" i="13"/>
  <c r="L6" i="13"/>
  <c r="N16" i="13"/>
  <c r="N6" i="13"/>
  <c r="L16" i="13"/>
  <c r="P11" i="13"/>
  <c r="P6" i="13"/>
  <c r="J16" i="13"/>
  <c r="D6" i="7"/>
  <c r="E6" i="7" s="1"/>
  <c r="F6" i="7" s="1"/>
  <c r="G6" i="7" s="1"/>
  <c r="H6" i="7" s="1"/>
  <c r="I6" i="7" s="1"/>
  <c r="J6" i="7" s="1"/>
  <c r="K6" i="7" s="1"/>
  <c r="L6" i="7" s="1"/>
  <c r="M6" i="7" s="1"/>
  <c r="D5" i="7"/>
  <c r="E5" i="7" s="1"/>
  <c r="F5" i="7" s="1"/>
  <c r="G5" i="7" s="1"/>
  <c r="H5" i="7" s="1"/>
  <c r="I5" i="7" s="1"/>
  <c r="J5" i="7" s="1"/>
  <c r="K5" i="7" s="1"/>
  <c r="L5" i="7" s="1"/>
  <c r="M5" i="7" s="1"/>
  <c r="D13" i="7"/>
  <c r="D12" i="7"/>
  <c r="D11" i="7"/>
  <c r="D10" i="7"/>
  <c r="D9" i="7"/>
  <c r="D8" i="7"/>
  <c r="E13" i="7" l="1"/>
  <c r="E12" i="7"/>
  <c r="F12" i="7" s="1"/>
  <c r="G12" i="7" s="1"/>
  <c r="H12" i="7" s="1"/>
  <c r="I12" i="7" s="1"/>
  <c r="J12" i="7" s="1"/>
  <c r="K12" i="7" s="1"/>
  <c r="L12" i="7" s="1"/>
  <c r="M12" i="7" s="1"/>
  <c r="E8" i="7"/>
  <c r="E9" i="7"/>
  <c r="E10" i="7"/>
  <c r="E11" i="7"/>
  <c r="E7" i="7"/>
  <c r="F13" i="7" l="1"/>
  <c r="G13" i="7" s="1"/>
  <c r="H13" i="7" s="1"/>
  <c r="I13" i="7" s="1"/>
  <c r="J13" i="7" s="1"/>
  <c r="K13" i="7" s="1"/>
  <c r="L13" i="7" s="1"/>
  <c r="M13" i="7" s="1"/>
  <c r="F8" i="7"/>
  <c r="F11" i="7"/>
  <c r="F10" i="7"/>
  <c r="F7" i="7"/>
  <c r="F9" i="7"/>
  <c r="G10" i="7" l="1"/>
  <c r="G11" i="7"/>
  <c r="G8" i="7"/>
  <c r="G9" i="7"/>
  <c r="G7" i="7"/>
  <c r="G18" i="7" a="1"/>
  <c r="G18" i="7" l="1"/>
  <c r="H9" i="7"/>
  <c r="H8" i="7"/>
  <c r="H11" i="7"/>
  <c r="H10" i="7"/>
  <c r="H7" i="7"/>
  <c r="G19" i="7" a="1"/>
  <c r="G19" i="7" l="1"/>
  <c r="I9" i="7"/>
  <c r="J9" i="7" s="1"/>
  <c r="I10" i="7"/>
  <c r="I11" i="7"/>
  <c r="I8" i="7"/>
  <c r="I7" i="7"/>
  <c r="G21" i="7" a="1"/>
  <c r="G20" i="7" a="1"/>
  <c r="G21" i="7" l="1"/>
  <c r="G20" i="7"/>
  <c r="K9" i="7"/>
  <c r="J8" i="7"/>
  <c r="J11" i="7"/>
  <c r="J10" i="7"/>
  <c r="J7" i="7"/>
  <c r="G22" i="7" a="1"/>
  <c r="G22" i="7" l="1"/>
  <c r="K8" i="7"/>
  <c r="K10" i="7"/>
  <c r="K11" i="7"/>
  <c r="L9" i="7"/>
  <c r="K7" i="7"/>
  <c r="G16" i="7" a="1"/>
  <c r="G23" i="7" a="1"/>
  <c r="G16" i="7" l="1"/>
  <c r="G23" i="7"/>
  <c r="M9" i="7"/>
  <c r="L10" i="7"/>
  <c r="L11" i="7"/>
  <c r="L8" i="7"/>
  <c r="L7" i="7"/>
  <c r="M7" i="7" l="1"/>
  <c r="M8" i="7"/>
  <c r="M10" i="7"/>
  <c r="M11"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<sst xmlns="http://schemas.openxmlformats.org/spreadsheetml/2006/main" count="2821" uniqueCount="1206">
  <si>
    <t>Nome</t>
  </si>
  <si>
    <t>Giocatore</t>
  </si>
  <si>
    <t>Natura</t>
  </si>
  <si>
    <t>Carattere</t>
  </si>
  <si>
    <t>Clan</t>
  </si>
  <si>
    <t>Generazione</t>
  </si>
  <si>
    <t>Profilo</t>
  </si>
  <si>
    <t>Attributi</t>
  </si>
  <si>
    <t>Fisici</t>
  </si>
  <si>
    <t>Sociali</t>
  </si>
  <si>
    <t>Mentali</t>
  </si>
  <si>
    <t>Forza</t>
  </si>
  <si>
    <t>Carisma</t>
  </si>
  <si>
    <t>Percezione</t>
  </si>
  <si>
    <t>Destrezza</t>
  </si>
  <si>
    <t>Costituzione</t>
  </si>
  <si>
    <t>Persuasione</t>
  </si>
  <si>
    <t>Aspetto</t>
  </si>
  <si>
    <t>Intelligenza</t>
  </si>
  <si>
    <t>Prontezza</t>
  </si>
  <si>
    <t>Forza di Volontà</t>
  </si>
  <si>
    <t>Abilità</t>
  </si>
  <si>
    <t>Attitudini</t>
  </si>
  <si>
    <t>Atletica</t>
  </si>
  <si>
    <t>Rissa</t>
  </si>
  <si>
    <t>Schivare</t>
  </si>
  <si>
    <t>Empatia</t>
  </si>
  <si>
    <t>Espressività</t>
  </si>
  <si>
    <t>Intimidire</t>
  </si>
  <si>
    <t>Sotterfugio</t>
  </si>
  <si>
    <t>Addestrare Animali</t>
  </si>
  <si>
    <t>Accademiche</t>
  </si>
  <si>
    <t>Autorità</t>
  </si>
  <si>
    <t>Armi da Fuoco</t>
  </si>
  <si>
    <t>Finanza</t>
  </si>
  <si>
    <t>Espressione Artistica</t>
  </si>
  <si>
    <t>Informatica</t>
  </si>
  <si>
    <t>Sesto Senso</t>
  </si>
  <si>
    <t>Furtività</t>
  </si>
  <si>
    <t>Galateo</t>
  </si>
  <si>
    <t>Guidare</t>
  </si>
  <si>
    <t>Manualità</t>
  </si>
  <si>
    <t>Mischia</t>
  </si>
  <si>
    <t>Sicurezza</t>
  </si>
  <si>
    <t>Sopravvivenza</t>
  </si>
  <si>
    <t>Investigare</t>
  </si>
  <si>
    <t>Legge</t>
  </si>
  <si>
    <t>Linguistica</t>
  </si>
  <si>
    <t>Medicina</t>
  </si>
  <si>
    <t>Occulto</t>
  </si>
  <si>
    <t>Politica</t>
  </si>
  <si>
    <t>Scienze</t>
  </si>
  <si>
    <t>Conoscenza d. Strada</t>
  </si>
  <si>
    <t>Capacità</t>
  </si>
  <si>
    <t>Conoscenza</t>
  </si>
  <si>
    <t>Background</t>
  </si>
  <si>
    <t>Discipline</t>
  </si>
  <si>
    <t>Virtù</t>
  </si>
  <si>
    <t>Coscienza/Convinzione</t>
  </si>
  <si>
    <t>Coraggio</t>
  </si>
  <si>
    <t>Punti</t>
  </si>
  <si>
    <t>Descrizione</t>
  </si>
  <si>
    <t>13th</t>
  </si>
  <si>
    <t>Pregi/Difetti</t>
  </si>
  <si>
    <t>Effetto</t>
  </si>
  <si>
    <t>Scheda Giocatore</t>
  </si>
  <si>
    <t>Umanità/Sentiero</t>
  </si>
  <si>
    <t>Punti Sangue</t>
  </si>
  <si>
    <t>Debolezze</t>
  </si>
  <si>
    <t>Affiliazione</t>
  </si>
  <si>
    <t>Linea di sangue</t>
  </si>
  <si>
    <t>Abilità Secondarie</t>
  </si>
  <si>
    <t>Rituali</t>
  </si>
  <si>
    <t>Livello</t>
  </si>
  <si>
    <t>Esperienza</t>
  </si>
  <si>
    <t>Totale speso</t>
  </si>
  <si>
    <t>Da Spendere</t>
  </si>
  <si>
    <t>Legami di Sangue/Vicoli</t>
  </si>
  <si>
    <t>Legato a</t>
  </si>
  <si>
    <t>Motivo</t>
  </si>
  <si>
    <t>Favori e Debiti</t>
  </si>
  <si>
    <t>Tipo</t>
  </si>
  <si>
    <t>Categoria</t>
  </si>
  <si>
    <t>a Chi/da Chi</t>
  </si>
  <si>
    <t>Stato</t>
  </si>
  <si>
    <t>Data</t>
  </si>
  <si>
    <t>Testimone</t>
  </si>
  <si>
    <t>Note</t>
  </si>
  <si>
    <t>Arma</t>
  </si>
  <si>
    <t>Danno</t>
  </si>
  <si>
    <t>Gittata</t>
  </si>
  <si>
    <t>Cadenza</t>
  </si>
  <si>
    <t>Caricatore</t>
  </si>
  <si>
    <t>Occultamento</t>
  </si>
  <si>
    <t>Armatura</t>
  </si>
  <si>
    <t>Alleati</t>
  </si>
  <si>
    <t>Mentore</t>
  </si>
  <si>
    <t>Contatti</t>
  </si>
  <si>
    <t>Risorse</t>
  </si>
  <si>
    <t>Fama</t>
  </si>
  <si>
    <t>Seguaci</t>
  </si>
  <si>
    <t>Gregge</t>
  </si>
  <si>
    <t>Status</t>
  </si>
  <si>
    <t>Influenza</t>
  </si>
  <si>
    <t>Nota</t>
  </si>
  <si>
    <t>Terreni di caccia</t>
  </si>
  <si>
    <t>Veicoli</t>
  </si>
  <si>
    <t>Attrezzatura</t>
  </si>
  <si>
    <t>Equipaggiamento</t>
  </si>
  <si>
    <t>Posizione</t>
  </si>
  <si>
    <t>Rifugio</t>
  </si>
  <si>
    <t>Storia</t>
  </si>
  <si>
    <t>Età Vampiro</t>
  </si>
  <si>
    <t>Età Apparente</t>
  </si>
  <si>
    <t>Nato il</t>
  </si>
  <si>
    <t>Rip</t>
  </si>
  <si>
    <t>Capelli</t>
  </si>
  <si>
    <t>Occhi</t>
  </si>
  <si>
    <t>Razza</t>
  </si>
  <si>
    <t>Nazionaità</t>
  </si>
  <si>
    <t xml:space="preserve">Altezza </t>
  </si>
  <si>
    <t>Peso</t>
  </si>
  <si>
    <t>Sesso</t>
  </si>
  <si>
    <t>Coterie</t>
  </si>
  <si>
    <t>Giovane fabbro abbracciato senza guida, in bilico tra umanità e istinto bestiale.</t>
  </si>
  <si>
    <t>Principato di Rimini</t>
  </si>
  <si>
    <t>Camarilla</t>
  </si>
  <si>
    <t>Ogni volta che entra in Frenesia, il Gangrel subisce una mutazione bestiale permanente (unghie ricurve, occhi animali, odore selvatico, ecc.). Queste mutazioni si accumulano con il tempo, rendendolo sempre più simile a una bestia.</t>
  </si>
  <si>
    <t>Uomo semplice diventato predatore</t>
  </si>
  <si>
    <t>Robustezza</t>
  </si>
  <si>
    <t>Proteide</t>
  </si>
  <si>
    <t>-</t>
  </si>
  <si>
    <t>Iniziativa Prontazza + 1D10 più alto inizia</t>
  </si>
  <si>
    <t>Tiro per colpire</t>
  </si>
  <si>
    <t>Rissa (pugni, artigli, morsi)</t>
  </si>
  <si>
    <t>Mischia (armi da mischia)</t>
  </si>
  <si>
    <t>Armi da fuoco (pistole, fucili)</t>
  </si>
  <si>
    <t>Dado più alto di difficoltà successo</t>
  </si>
  <si>
    <t>1 cancella successi, solo 1 fallimento critico</t>
  </si>
  <si>
    <t>Mischia / Rissa → Forza + modificatore dell’arma + successi extra</t>
  </si>
  <si>
    <t>Armi da fuoco → Valore fisso dell’arma + successi extra</t>
  </si>
  <si>
    <t>Assorbimento</t>
  </si>
  <si>
    <t>Contundente</t>
  </si>
  <si>
    <t>Letale</t>
  </si>
  <si>
    <t>Aggravato</t>
  </si>
  <si>
    <t>Vampiri</t>
  </si>
  <si>
    <t>Cost+Rob.</t>
  </si>
  <si>
    <t>Cost.</t>
  </si>
  <si>
    <t>Rob.</t>
  </si>
  <si>
    <t>Umani</t>
  </si>
  <si>
    <t>Recupero Danni</t>
  </si>
  <si>
    <t>Vampiri 1 Livello/turno di riposo con Sangue</t>
  </si>
  <si>
    <t>Vampiri 1 Livello/giorno di riposo (Sangue)</t>
  </si>
  <si>
    <t>1 Livello/giorno speso 5 Punti Sangue</t>
  </si>
  <si>
    <t>Per Umani a parte il contundente gli altri sono quasi sempre letali.</t>
  </si>
  <si>
    <t>Livelli di salute</t>
  </si>
  <si>
    <t>Contuso</t>
  </si>
  <si>
    <t>Graffiato</t>
  </si>
  <si>
    <t>Leso</t>
  </si>
  <si>
    <t>Ferito</t>
  </si>
  <si>
    <t>Straziato</t>
  </si>
  <si>
    <t>Menomato</t>
  </si>
  <si>
    <t>Incapacitato</t>
  </si>
  <si>
    <t>Dichiarazione dell'azione, Prontazza più basso dichiara</t>
  </si>
  <si>
    <t>Azioni Multiple</t>
  </si>
  <si>
    <t xml:space="preserve">2 azioni </t>
  </si>
  <si>
    <t>3 azioni</t>
  </si>
  <si>
    <t>4 azioni</t>
  </si>
  <si>
    <t>Celerita azione gratuita per ogni punto sangue speso e non da penalità</t>
  </si>
  <si>
    <t>Ottieni +1 all’iniziativa per ogni punto di Celerità posseduto</t>
  </si>
  <si>
    <t>Sui Vampiri il contundente si dimezza per difetto dopo assorbimento</t>
  </si>
  <si>
    <t>Danni - Dadi</t>
  </si>
  <si>
    <r>
      <t xml:space="preserve">Ogni dado ≥6 = un </t>
    </r>
    <r>
      <rPr>
        <b/>
        <sz val="11"/>
        <color theme="1"/>
        <rFont val="Aptos"/>
        <family val="2"/>
      </rPr>
      <t>livello di ferita</t>
    </r>
    <r>
      <rPr>
        <sz val="11"/>
        <color theme="1"/>
        <rFont val="Aptos"/>
        <family val="2"/>
      </rPr>
      <t xml:space="preserve"> inflitto (prima di assorbimento)</t>
    </r>
  </si>
  <si>
    <t>10 / 1</t>
  </si>
  <si>
    <t>Mantenere una azione oltre il proprio turno</t>
  </si>
  <si>
    <t>Successi Tiro del dado</t>
  </si>
  <si>
    <t>Pessimo</t>
  </si>
  <si>
    <t>Scarso</t>
  </si>
  <si>
    <t>Medio</t>
  </si>
  <si>
    <t>Buono</t>
  </si>
  <si>
    <t>Eccezionale</t>
  </si>
  <si>
    <t>Superbo</t>
  </si>
  <si>
    <t>Penalità</t>
  </si>
  <si>
    <t>Fallimento</t>
  </si>
  <si>
    <t>uno</t>
  </si>
  <si>
    <t>Numero massimo di dadi lanciabili è 10</t>
  </si>
  <si>
    <t>Se il numero dei dadi supera o e uguale alla difficoltà</t>
  </si>
  <si>
    <t>Successo automatico</t>
  </si>
  <si>
    <t>Spendendo un punto Volonta</t>
  </si>
  <si>
    <t>Riprovare</t>
  </si>
  <si>
    <t>se fallisce il primo si può riprovare ma con difficolta +1</t>
  </si>
  <si>
    <t>Azione prolungata</t>
  </si>
  <si>
    <t>servono un numero di successi che possono essere fatti nel tempi, un fallimento blocca il tutto</t>
  </si>
  <si>
    <t>Azione Contraposta</t>
  </si>
  <si>
    <t>Si tira i dadi ma la difficoltà è il numero di dai del tiro avversario e vice versa</t>
  </si>
  <si>
    <t>Se tiro sei dadi la difficolta del mio avversario e sei</t>
  </si>
  <si>
    <t>Lavoro di squadra</t>
  </si>
  <si>
    <t>Si tirano i dadi singlarmente e si sommano i successi</t>
  </si>
  <si>
    <t>Camminare 7 metri per turno</t>
  </si>
  <si>
    <t>Correre 12 + Destrezza</t>
  </si>
  <si>
    <t>Scatto 20+Destrezzax3</t>
  </si>
  <si>
    <t>PUNTI LIBERI</t>
  </si>
  <si>
    <t>Caratteristica</t>
  </si>
  <si>
    <t>Costo</t>
  </si>
  <si>
    <t>5 per pallino</t>
  </si>
  <si>
    <t>2 per pallino</t>
  </si>
  <si>
    <t>7 per pallino</t>
  </si>
  <si>
    <t>1 per pallino</t>
  </si>
  <si>
    <t>Umanità</t>
  </si>
  <si>
    <t>Scheda Assegnazione Punti Esperienza</t>
  </si>
  <si>
    <t>Apprendimento</t>
  </si>
  <si>
    <t>Interpretazione</t>
  </si>
  <si>
    <t>Atti Eroici</t>
  </si>
  <si>
    <t>Arianna</t>
  </si>
  <si>
    <t>Matteo</t>
  </si>
  <si>
    <t>Giulia</t>
  </si>
  <si>
    <t>Lorenzo</t>
  </si>
  <si>
    <t>Chiara</t>
  </si>
  <si>
    <t>Vincenzo</t>
  </si>
  <si>
    <t>Obiettivo Raggiunto</t>
  </si>
  <si>
    <t>Pericolo Grave</t>
  </si>
  <si>
    <t>Saggezza/Strategia</t>
  </si>
  <si>
    <t>Personaggi</t>
  </si>
  <si>
    <t>Assegna questo punto se il giocatore ha imparato qualcosa di nuovo (regole, ambientazione, debolezze/altrui, usi della Città) e lo ha messo in pratica al tavolo.</t>
  </si>
  <si>
    <t>Valuta come il giocatore ha interpretato il personaggio: coerenza con Natura/Comportamento, voce, scelte morali, difetti messi in scena.</t>
  </si>
  <si>
    <t>Riconosci gesti coraggiosi o sacrifici significativi a favore della Coterie o della Masquerade, anche se rischiosi o impopolari.</t>
  </si>
  <si>
    <t>Premi quando un personaggio porta a termine un obiettivo concreto (personale): ottenere un contatto, acquisire una risorsa, estorcere un segreto, chiudere una trama.</t>
  </si>
  <si>
    <t>Assegna il punto se il personaggio è sopravvissuto a una minaccia seria. Vale anche per scontri sociali ad alta posta, come trattare con un PNG potente e uscirne vivo e indenne (o quasi).</t>
  </si>
  <si>
    <t>PT.</t>
  </si>
  <si>
    <t>Masquerade</t>
  </si>
  <si>
    <t>Assegna 1 punto se il giocatore si è comportato secondo le Tradizioni della Masquerade quando rischiava di essere scoperto oppure ha aiutato a evitare l’esposizione dei vampiri.</t>
  </si>
  <si>
    <t>Voce</t>
  </si>
  <si>
    <t>Personale</t>
  </si>
  <si>
    <t>Un punto a chi preferisci, anche solo per simpatia.</t>
  </si>
  <si>
    <t>Il giocatore ha ideato piani o mosse che hanno fatto la differenza (tattiche, preparazione, coperture, uso creativo di Discipline o contatti) e hanno aiutato la Coterie a sopravvivere o prosperare.</t>
  </si>
  <si>
    <t>0/5</t>
  </si>
  <si>
    <t>Combattimento</t>
  </si>
  <si>
    <t>Difese reattive (tiro contro l’attacco)</t>
  </si>
  <si>
    <t>Danni e Assorbire (Soak)</t>
  </si>
  <si>
    <t>Azioni fisiche</t>
  </si>
  <si>
    <t>Azioni sociali</t>
  </si>
  <si>
    <t>Indagine / Tecnico</t>
  </si>
  <si>
    <t>Virtù, Umanità, Volontà</t>
  </si>
  <si>
    <t>Discipline (promemoria operativo)</t>
  </si>
  <si>
    <t>Modificatori comuni (rapidi)</t>
  </si>
  <si>
    <t>Iniziativa – Destrezza + Prontezza + d10</t>
  </si>
  <si>
    <t>Più alto agisce per primo. Celerità dà azioni extra; l’ordine base resta questo.</t>
  </si>
  <si>
    <t>Attacco: Pugni/Calci (Rissa) – Destrezza + Rissa — Diff 6</t>
  </si>
  <si>
    <t>Difese del bersaglio: Schivare, Blocco (vs Rissa), Parata (se ha arma).</t>
  </si>
  <si>
    <t>Danni: Forza (+ eventuale manovra). Tipo: Contundente.</t>
  </si>
  <si>
    <t>Attacco: Armi da mischia (Mischia) – Destrezza + Mischia — Diff 6–7</t>
  </si>
  <si>
    <t>Difese del bersaglio: Schivare o Parata.</t>
  </si>
  <si>
    <t>Danni: Forza + danno arma. Tipo: in genere Letale (bastoni possono restare Cont.).</t>
  </si>
  <si>
    <t>Attacco: Pistola piccola (Armi da Fuoco) – Destrezza + Armi da Fuoco — Diff 6 (corta) / 7 (media) / 8 (lunga)</t>
  </si>
  <si>
    <t>Difese del bersaglio: Schivare (contro il tiro dell’attaccante); copertura, luce, movimento applicano modificatori.</t>
  </si>
  <si>
    <t>Danni: come da arma (Letale). Mira 1 turno: +1 dado (cumulabile, a discrezione del Narratore).</t>
  </si>
  <si>
    <t>Colpo mirato – come attacco, +1–3 diff (a seconda della parte) – effetti speciali a discrezione.</t>
  </si>
  <si>
    <t>Presa (agganciare) – Destrezza + Rissa — Diff 6, opposto a Destrezza + Rissa</t>
  </si>
  <si>
    <t>In presa: contestazioni Forza + Rissa per immobilizzare/danni/strappare.</t>
  </si>
  <si>
    <t>Disarmo – Destrezza + Mischia — +1–2 diff – contro arma del bersaglio (opposto a Destrezza + Mischia).</t>
  </si>
  <si>
    <t>Schivare – Destrezza + Schivare — Diff = tiro dell’attaccante</t>
  </si>
  <si>
    <t>Ogni successo del difensore annulla un successo dell’attaccante.</t>
  </si>
  <si>
    <t>Usabile contro Rissa, Mischia e Fuoco (a distanza).</t>
  </si>
  <si>
    <t>Blocco (solo vs Rissa) – Destrezza + Rissa — Opposto al tiro d’attacco</t>
  </si>
  <si>
    <t>Valido solo contro attacchi a mani nude/prese.</t>
  </si>
  <si>
    <t>Parata (contro Mischia) – Destrezza + Mischia — Opposto al tiro d’attacco</t>
  </si>
  <si>
    <t>Richiede arma/oggetto adeguato.</t>
  </si>
  <si>
    <t>Nota: dichiarare difese multiple nello stesso turno può dare penalità cumulative (a discrezione del Narratore/allineamento alla tua tavola).</t>
  </si>
  <si>
    <t>Contundente/Letale – Costituzione (+ Armatura) — Diff 6</t>
  </si>
  <si>
    <t>I vampiri assorbono Contundente e Letale con Costituzione.</t>
  </si>
  <si>
    <t>L’Armatura aggiunge dadi (o riduce danno, secondo il tuo libro; usa una sola variante).</t>
  </si>
  <si>
    <t>Aggravato – Robustezza (Fortitude) (+ eventuale protezione soprannaturale) — Diff 6</t>
  </si>
  <si>
    <t>Senza Fortitude, in genere non si assorbe Aggravato.</t>
  </si>
  <si>
    <t>Correre/Atletica – Destrezza o Forza + Atletica — Diff 6–7</t>
  </si>
  <si>
    <t>Arrampicarsi – Forza + Atletica — Diff 6–8</t>
  </si>
  <si>
    <t>Muoversi Silenziosamente – Destrezza + Furtività — Diff 6–8 — Opposto a Percezione + Allerta</t>
  </si>
  <si>
    <t>Nascondersi – Destrezza + Furtività — Diff 6–8 — Opposto a Percezione + Allerta</t>
  </si>
  <si>
    <t>Percepire minacce – Percezione + Allerta — Diff 6</t>
  </si>
  <si>
    <t>Inseguimenti veicolari – Destrezza + Guida — Diff 6–8 — Opposto a Destrezza + Guida</t>
  </si>
  <si>
    <t>Intimidire – Forza o Carisma + Intimidazione — Diff 6–8</t>
  </si>
  <si>
    <t>Resistenza: Forza di Volontà del bersaglio o sangue freddo (a discrezione).</t>
  </si>
  <si>
    <t>Persuadere/Convincere – Carisma o Manipolazione + Espressione/Leadership — Diff 6–8</t>
  </si>
  <si>
    <t>Resistenza: Intelligenza o Forza di Volontà del bersaglio (in base alla situazione).</t>
  </si>
  <si>
    <t>Mentire/Raggirare – Prontezza o Manipolazione + Sotterfugio — Diff 6–8</t>
  </si>
  <si>
    <t>Opposto a Percezione + Empatia dell’interlocutore.</t>
  </si>
  <si>
    <t>Etichetta/Elysium – Carisma + Galateo (Etichetta) — Diff 6</t>
  </si>
  <si>
    <t>Comandare in crisi – Carisma + Leadership — Diff 6–7</t>
  </si>
  <si>
    <t>Osservare dettagli – Percezione + Investigazione — Diff 6–8</t>
  </si>
  <si>
    <t>Scassinare (fisico) – Destrezza + Sicurezza — Diff 6–8</t>
  </si>
  <si>
    <t>Allarmi/Impianti – Intelligenza + Sicurezza — Diff 6–8</t>
  </si>
  <si>
    <t>Ricerca digitale/OSINT – Intelligenza + Informatica — Diff 6–7</t>
  </si>
  <si>
    <t>Medicina di base – Intelligenza + Medicina — Diff 6–7</t>
  </si>
  <si>
    <t>Occultismo – Intelligenza + Occultismo — Diff 6–8</t>
  </si>
  <si>
    <t>Sopravvivenza – Percezione o Intelligenza + Sopravvivenza — Diff 6–7</t>
  </si>
  <si>
    <t>Resistere alla Frenesia – Autocontrollo (o Istinto) — Diff 5–9</t>
  </si>
  <si>
    <t>Resistere al Rötschreck – Coraggio — Diff 5–9</t>
  </si>
  <si>
    <t>Rimorso / Perdite di Umanità – Coscienza (o Convinzione) — Diff variabile</t>
  </si>
  <si>
    <t>Forza di Volontà (spesa) – spendi 1 FV per 1 successo automatico su un tiro (max 1/turno).</t>
  </si>
  <si>
    <t>Celerità – azioni extra (pagate in Sangue) per turno; risoluzione extra a fine turno.</t>
  </si>
  <si>
    <t>Potenza – aumenta i danni negli attacchi basati su Forza.</t>
  </si>
  <si>
    <t>Robustezza (Fortitude) – aggiunge dadi al Soak; permette assorbire Letale/Aggravato.</t>
  </si>
  <si>
    <t>Auspex – bonus/percezioni avanzate; può opporsi a Oscurazione.</t>
  </si>
  <si>
    <t>Oscurazione – occultamento; interazioni specifiche con Auspex secondo i livelli.</t>
  </si>
  <si>
    <t>Dominazione – tipicamente Manipolazione + Leadership/Intimidazione vs Forza di Volontà del bersaglio (dipende dal potere).</t>
  </si>
  <si>
    <t>Presenza – Carisma + Empatia vs Forza di Volontà (variabile per potere/effects).</t>
  </si>
  <si>
    <t>Luce scarsa/abbagliante: ±1 diff.</t>
  </si>
  <si>
    <t>Copertura parziale/piena (armi da fuoco): –1/–2 dadi all’attaccante o +1/+2 diff.</t>
  </si>
  <si>
    <t>Bersaglio in corsa/schiacciato: +1 diff all’attaccante.</t>
  </si>
  <si>
    <t>Ambiente difficile (pioggia, tetti bagnati): +1–2 diff a tiri fisici.</t>
  </si>
  <si>
    <t>Mirare 1+ turno: +1 dado/turno (limite ragionevole).</t>
  </si>
  <si>
    <t>Azioni multiple nello stesso turno: penalty cumulativo a discrezione (mantieni coerenza con il tuo tavolo).</t>
  </si>
  <si>
    <t>__________</t>
  </si>
  <si>
    <t>La colonna “Punti” indica quanti punti potete assegnare; è possibile anche non assegnarne, lasciare la riga vuota.</t>
  </si>
  <si>
    <t>Al massimo un punto per personaggio. Il massimo dei punti per un personaggio è 5</t>
  </si>
  <si>
    <t>Non si possono attribuire punti al proprio personaggio. Il narratore ha sempre l'ultima parola.</t>
  </si>
  <si>
    <t>Utilizzo di Attributi, Abilità, Discipline</t>
  </si>
  <si>
    <t>Animalismo</t>
  </si>
  <si>
    <t>Auspex</t>
  </si>
  <si>
    <t>Celerità</t>
  </si>
  <si>
    <t>Dominazione</t>
  </si>
  <si>
    <t>Presenza</t>
  </si>
  <si>
    <t>Taumaturgia</t>
  </si>
  <si>
    <t>Necromanzia</t>
  </si>
  <si>
    <t>Obtenebrazione</t>
  </si>
  <si>
    <t>Quietus</t>
  </si>
  <si>
    <t>Serpentis</t>
  </si>
  <si>
    <t>Vicissitudine</t>
  </si>
  <si>
    <t>Oscurazione</t>
  </si>
  <si>
    <t>Potenza</t>
  </si>
  <si>
    <t>Chimerismo</t>
  </si>
  <si>
    <t>Dementazione</t>
  </si>
  <si>
    <t>Diff</t>
  </si>
  <si>
    <t>Dadi</t>
  </si>
  <si>
    <t>Lancio</t>
  </si>
  <si>
    <t>Risul.</t>
  </si>
  <si>
    <t>DADI</t>
  </si>
  <si>
    <t>DIFF</t>
  </si>
  <si>
    <t>Società di Leopoldo</t>
  </si>
  <si>
    <t>Inquisitori</t>
  </si>
  <si>
    <t>Metodo Torquemada</t>
  </si>
  <si>
    <t>Stripe di Satana</t>
  </si>
  <si>
    <t>Fame</t>
  </si>
  <si>
    <t>Autocontrollo/Istinto</t>
  </si>
  <si>
    <t>Cronaca</t>
  </si>
  <si>
    <t>Claudio</t>
  </si>
  <si>
    <t>Maru</t>
  </si>
  <si>
    <t>Congiura della Lacrima</t>
  </si>
  <si>
    <t>Ventrue</t>
  </si>
  <si>
    <t>Concetto</t>
  </si>
  <si>
    <t>Ambizione</t>
  </si>
  <si>
    <t>Diventare Pricipe</t>
  </si>
  <si>
    <t>Criminalità</t>
  </si>
  <si>
    <t>Affinità Animale</t>
  </si>
  <si>
    <t>Bassifondi</t>
  </si>
  <si>
    <t>Convincere</t>
  </si>
  <si>
    <t>Intuito</t>
  </si>
  <si>
    <t>Sottefugio</t>
  </si>
  <si>
    <t>Insabbiare</t>
  </si>
  <si>
    <t>Allerta</t>
  </si>
  <si>
    <t>Tecnologia</t>
  </si>
  <si>
    <t>Dominzzione</t>
  </si>
  <si>
    <t>+1 x Simulatore</t>
  </si>
  <si>
    <t>Desiderio</t>
  </si>
  <si>
    <t>10/1</t>
  </si>
  <si>
    <t>Predatore</t>
  </si>
  <si>
    <t>Simulante</t>
  </si>
  <si>
    <t>Salute</t>
  </si>
  <si>
    <t>Volonta</t>
  </si>
  <si>
    <t>Autocontrollo</t>
  </si>
  <si>
    <t>Fermezza</t>
  </si>
  <si>
    <t>Rissonanza</t>
  </si>
  <si>
    <t>Discepolo della filosofia machiavellica</t>
  </si>
  <si>
    <t>Potenza del Sangue</t>
  </si>
  <si>
    <t>Alienazioni Mentali</t>
  </si>
  <si>
    <t>Impeto Sanguigno</t>
  </si>
  <si>
    <t>Danni Risanati</t>
  </si>
  <si>
    <t>Bonus ai Poteri</t>
  </si>
  <si>
    <t>Penalità alla Nutrizione</t>
  </si>
  <si>
    <t>Gravità della Deboleza</t>
  </si>
  <si>
    <t>Debolezze del clan</t>
  </si>
  <si>
    <t>Precetti della cronaca</t>
  </si>
  <si>
    <t>Punti di Riferimento e Convinzioni</t>
  </si>
  <si>
    <t>Sempre Leader, Mai Nemici (solo nemici morti), Mai Cedere</t>
  </si>
  <si>
    <t>Ritirare Prova di Risveglio</t>
  </si>
  <si>
    <t>Luca</t>
  </si>
  <si>
    <t>Tremere</t>
  </si>
  <si>
    <t>Pietro</t>
  </si>
  <si>
    <t>Toreador</t>
  </si>
  <si>
    <t>Bruja</t>
  </si>
  <si>
    <t>Rapporto</t>
  </si>
  <si>
    <t>Neri</t>
  </si>
  <si>
    <t>Caucasica</t>
  </si>
  <si>
    <t>Italiana</t>
  </si>
  <si>
    <t>100kg</t>
  </si>
  <si>
    <t>Maschio</t>
  </si>
  <si>
    <t>Famiglia dato dal archetipo Simulatore</t>
  </si>
  <si>
    <t xml:space="preserve">[Dif.] Segreto Oscuro </t>
  </si>
  <si>
    <t>Familiare con segreto, Simul.</t>
  </si>
  <si>
    <t>Casa Famiglia</t>
  </si>
  <si>
    <t>Centro Città</t>
  </si>
  <si>
    <t>Abitata dalla famiglia simulata, la famiglia è numerosa anche se non vivono tutti in casa</t>
  </si>
  <si>
    <t>Ufficio</t>
  </si>
  <si>
    <t>Zona uffici vicino città</t>
  </si>
  <si>
    <t>Allinterno dell'ufficio, simulato come bagno è in realtà una stanza antipanico</t>
  </si>
  <si>
    <t>Lexus guidata da un autosta</t>
  </si>
  <si>
    <t>Situazione patrimoniale buona</t>
  </si>
  <si>
    <t>Guadagna 2 punti sangue ogni settimana gratis</t>
  </si>
  <si>
    <t>Sire</t>
  </si>
  <si>
    <t>Annebbiare la mente</t>
  </si>
  <si>
    <t>Obbedienza Servile</t>
  </si>
  <si>
    <t>Comando sugli Oggetti</t>
  </si>
  <si>
    <t>Duro a morire</t>
  </si>
  <si>
    <t>[Pre.] Alleati</t>
  </si>
  <si>
    <t>[Pre.] Contatti</t>
  </si>
  <si>
    <t>Sapienta di tenebra da decidere</t>
  </si>
  <si>
    <t>[Dif.} Esclusione di Preda</t>
  </si>
  <si>
    <t>Tossici</t>
  </si>
  <si>
    <t>[Dif.] da definire</t>
  </si>
  <si>
    <t>Moglie umana da cui si nutre</t>
  </si>
  <si>
    <t>Farmi strada nel dominio</t>
  </si>
  <si>
    <t>+1 dado</t>
  </si>
  <si>
    <t>Nessuno</t>
  </si>
  <si>
    <t>Nessuna</t>
  </si>
  <si>
    <t>nessuno</t>
  </si>
  <si>
    <t>1 punto</t>
  </si>
  <si>
    <t>---</t>
  </si>
  <si>
    <t>Nutrirsi solo di saqngue estremamente pecifico</t>
  </si>
  <si>
    <t>Impegnato in politica e tutto quello che riguarda il potere</t>
  </si>
  <si>
    <t>Enrico Vitali</t>
  </si>
  <si>
    <t>Giovanni</t>
  </si>
  <si>
    <t>Prepotente</t>
  </si>
  <si>
    <t>Perfezionista</t>
  </si>
  <si>
    <t>(+PV) Quando porta a termine qualcosa in modo esatto e perfetto.</t>
  </si>
  <si>
    <t>Ama intimidire, controllare o sottomettere gli altri.</t>
  </si>
  <si>
    <t xml:space="preserve"> spietato +1D</t>
  </si>
  <si>
    <t>mosse inaspettate +1D</t>
  </si>
  <si>
    <t>Con. Strada</t>
  </si>
  <si>
    <t>Espr. Artistica</t>
  </si>
  <si>
    <t>Add. Animali</t>
  </si>
  <si>
    <t>combattimento sporco +1D</t>
  </si>
  <si>
    <t>Un successo automatico nel tiro che coinvolga Forza.</t>
  </si>
  <si>
    <t>Strazianto</t>
  </si>
  <si>
    <t>Per+Occ dif8/10, squardo penetrante, visione ultimi momenti</t>
  </si>
  <si>
    <t>Per+Occ dif7 o FV, richiamare un fantasma per porre domande</t>
  </si>
  <si>
    <t>Car+Dom vs FV, impartire ordine semplice (siediti, fermati, …)</t>
  </si>
  <si>
    <t>MECCANICHE DI GIOCO</t>
  </si>
  <si>
    <t>Dominazione 2 - Persuasione + Autorità (Diff = FdVvittima) → 1-2 suc.: solo ordini plausibili; 3-4: ordini complessi, non pericolosi; 5+: qualunque comando.</t>
  </si>
  <si>
    <t>Dominazione 1 - Persuasione + Intimidire (Diff = FdV vittima) → ogni successo prolunga o intensifica l’azione forzata.</t>
  </si>
  <si>
    <t>Potenza 1 - aggiungi 1 suc. automatico a ogni prova di Forza per punto di Potenza posseduto; nei combattimenti, i successi automatici si sommano ai danni.</t>
  </si>
  <si>
    <t xml:space="preserve">Necromanzia 1 - Percezione + Occulto (Diff 8 per i vivi, 10 per i non-viventi); ogni successo migliora la chiarezza della visione della morte del soggetto </t>
  </si>
  <si>
    <t>da percezione vaga (1) fino a esperienza sensoriale completa dell’ultima ora di vita (5).</t>
  </si>
  <si>
    <t>Necromanzia 2- Percezione + Occulto (Diff 7 o = Forza di Volontà del fantasma); i successi indicano disponibilità e durata della presenza.</t>
  </si>
  <si>
    <t>per ogni domanda, tiro aggiuntivo (Diff 6), serve almeno 1 successo per mantenere lo spirito. Fallimento critico → appare un fantasma ostile.</t>
  </si>
  <si>
    <t>Dominio</t>
  </si>
  <si>
    <t>Piccolo vicolo o area nascosta, accesso sporadico. Riduce di 1 la difficoltà dei tiri di Caccia nel tuo territorio</t>
  </si>
  <si>
    <t>Un piccolo gruppo o club (4–6 persone). Puoi ottenere 2 punti sangue a notte senza tiro di Caccia.</t>
  </si>
  <si>
    <t>Sei noto in un piccolo gruppo o ufficio locale. Una richiesta o favore minore per settimana nel tuo ambito di influenza (es. politica).</t>
  </si>
  <si>
    <t>Un servitore o ghoul debole ma fedele.1 PNG leale che può eseguire compiti semplici; tiri con le sue abilità quando agisce per te.</t>
  </si>
  <si>
    <t>Hai più contatti (2–3) in settori limitrofi. Una informazione o favore per notte (Diff 6–8, Manipolazione + Sotterfugio o Persuasione).</t>
  </si>
  <si>
    <t>Modesto benessere: piccolo appartamento, spese coperte. Accesso a beni fino a 500 € senza tiro; tiri di corruzione o acquisto hanno –1 alla diff.</t>
  </si>
  <si>
    <t>Miccia Corta</t>
  </si>
  <si>
    <t>Udito Fino</t>
  </si>
  <si>
    <t>Riduci di –2 la difficoltà per percepire suoni o rumori nascosti. Situazioni di offesa, tiro di Autocontrollo (Diff 6) per non esplodere</t>
  </si>
  <si>
    <t>Sei incline alla rabbia. e prove per resistere alla Frenesia hanno una difficoltà +2 (es. da 6 a 8) verbalmente o fisicamente</t>
  </si>
  <si>
    <t>Coscienza Dif.8 non perdere</t>
  </si>
  <si>
    <t>per tutti i test morali</t>
  </si>
  <si>
    <t>Peccato Minimo che richiede un test di Coscienza</t>
  </si>
  <si>
    <t>Pensieri egoisti, desideri meschini, irritazione ostile</t>
  </si>
  <si>
    <t>Piccole menzogne, scortesia grave, piccole cattiverie</t>
  </si>
  <si>
    <t>Ingannare deliberatamente, danneggiare socialmente qualcuno</t>
  </si>
  <si>
    <t>Furtarelli, piccole violenze non letali, crudeltà lieve</t>
  </si>
  <si>
    <t>Ferire seriamente qualcuno, furto importante, violenza grave</t>
  </si>
  <si>
    <t>Omicidio deliberato in circostanze emotive o impulsive</t>
  </si>
  <si>
    <t>Omicidio premeditato di estranei, tortura occasionale</t>
  </si>
  <si>
    <t>Tortura deliberata, omicidi multipli, omicidio per convenienza</t>
  </si>
  <si>
    <t>Atrocità, omicidio casuale, sadismo sistematico</t>
  </si>
  <si>
    <t>Nessun peccato è più considerato tale → totale perdita di Umanità</t>
  </si>
  <si>
    <t>res. frenesia Impulsi violenti</t>
  </si>
  <si>
    <t>Suc. Aut., Res. Frenesia/TR</t>
  </si>
  <si>
    <t>resistere TR/Terrore</t>
  </si>
  <si>
    <t>TR=Terrore Rosso</t>
  </si>
  <si>
    <t>con Punti Sangue sotto fame</t>
  </si>
  <si>
    <r>
      <t xml:space="preserve">Uccidere per autodifesa </t>
    </r>
    <r>
      <rPr>
        <b/>
        <sz val="9"/>
        <color theme="1"/>
        <rFont val="Aptos Narrow"/>
        <family val="2"/>
        <scheme val="minor"/>
      </rPr>
      <t>o</t>
    </r>
    <r>
      <rPr>
        <sz val="9"/>
        <color theme="1"/>
        <rFont val="Aptos Narrow"/>
        <family val="2"/>
        <scheme val="minor"/>
      </rPr>
      <t xml:space="preserve"> colpa grave; crudeltà significativa</t>
    </r>
  </si>
  <si>
    <t>Sconosciuto</t>
  </si>
  <si>
    <t>Coltello</t>
  </si>
  <si>
    <t>Forza+1</t>
  </si>
  <si>
    <t>Difficoltà</t>
  </si>
  <si>
    <t>Bastone</t>
  </si>
  <si>
    <t>Forza+2</t>
  </si>
  <si>
    <t>Manganello</t>
  </si>
  <si>
    <t>Blk+Cont.</t>
  </si>
  <si>
    <t>Pistola Pic.</t>
  </si>
  <si>
    <t>0/Forzax2</t>
  </si>
  <si>
    <t>T</t>
  </si>
  <si>
    <t>cura 1 Salute, +1 Attributi</t>
  </si>
  <si>
    <t>P.Sangue</t>
  </si>
  <si>
    <t>F.d.Volonta</t>
  </si>
  <si>
    <t>3 giorni</t>
  </si>
  <si>
    <t>Subito</t>
  </si>
  <si>
    <t>Fine Turno</t>
  </si>
  <si>
    <t>Attributi+Abilità</t>
  </si>
  <si>
    <t>Paolo Vanturi</t>
  </si>
  <si>
    <t>Brujah</t>
  </si>
  <si>
    <t>Protettore</t>
  </si>
  <si>
    <t>Galante</t>
  </si>
  <si>
    <t>(+PV) Quando cura o salva qualcuno a costo personale.</t>
  </si>
  <si>
    <t>Vive per essere ammirato.</t>
  </si>
  <si>
    <t>Una Regina senza corona e regno</t>
  </si>
  <si>
    <t>Indimenticabile +1D</t>
  </si>
  <si>
    <t>Indimenticabile</t>
  </si>
  <si>
    <t>Esempi: Seduzione, Entrata Teatrale, Distrazione, Lasciare un Ricordo</t>
  </si>
  <si>
    <t>Cantare +1D</t>
  </si>
  <si>
    <t>Velocità</t>
  </si>
  <si>
    <t>-1 Punto sangue, azioni normali uguali al punteggio</t>
  </si>
  <si>
    <t>Ascendente</t>
  </si>
  <si>
    <t>Car + Espr Art (diff. 7)  assoggettare da una a  più persone</t>
  </si>
  <si>
    <t>Car + Intim,  difficoltà pari a Pront + Cor, vittima impurita</t>
  </si>
  <si>
    <t>Disciplina</t>
  </si>
  <si>
    <t>Meccanica</t>
  </si>
  <si>
    <t>Descrizione breve</t>
  </si>
  <si>
    <t>Intimidire+Persuasione (Diff=FdV) → ordine semplice.</t>
  </si>
  <si>
    <t>Costringe un bersaglio a eseguire un comando immediato.</t>
  </si>
  <si>
    <t>Autorità+Persuasione (Diff=FdV) → 1-2 suc. plausibili; 3-4 complessi; 5+ totali.</t>
  </si>
  <si>
    <t>Permette ordini più complessi e innaturali.</t>
  </si>
  <si>
    <t>Espressività+Intelligenza (Diff=FdV) → comando post-ipnotico.</t>
  </si>
  <si>
    <t>Impianta ordini che si attivano più tardi.</t>
  </si>
  <si>
    <t>Carisma+Espressività (Diff7) → incanto.</t>
  </si>
  <si>
    <t>Inspira attrazione o ammirazione immediata.</t>
  </si>
  <si>
    <t>Carisma+Intimidire (Diff=Prontezza+Coraggio) → paura.</t>
  </si>
  <si>
    <t>Intimorisce o terrorizza la vittima.</t>
  </si>
  <si>
    <t>Carisma+Espressività Artistica (Diff7) → fascino di massa.</t>
  </si>
  <si>
    <t>Influenzare gruppi o folle intere.</t>
  </si>
  <si>
    <t>+1 successo automatico.</t>
  </si>
  <si>
    <t>Aumenta forza fisica in qualunque prova.</t>
  </si>
  <si>
    <t>+2 successi automatici.</t>
  </si>
  <si>
    <t>Forza ancora più devastante.</t>
  </si>
  <si>
    <t>+3 successi automatici.</t>
  </si>
  <si>
    <t>Impatto brutale nei combattimenti.</t>
  </si>
  <si>
    <t>Rapidità</t>
  </si>
  <si>
    <t>1 sangue→1 azione extra.</t>
  </si>
  <si>
    <t>Velocità sovrumana.</t>
  </si>
  <si>
    <t>1 sangue→fino a 2 azioni extra.</t>
  </si>
  <si>
    <t>Movimenti quasi invisibili.</t>
  </si>
  <si>
    <t>1 sangue→fino a 3 azioni extra.</t>
  </si>
  <si>
    <t>Velocità fulminea oltre l’umano.</t>
  </si>
  <si>
    <t>Empatia+Percezione (Diff6) → leggere emozioni.</t>
  </si>
  <si>
    <t>Percepisci pensieri superficiali.</t>
  </si>
  <si>
    <t>Allerta+Percezione (Diff variabile) → sensi aumentati.</t>
  </si>
  <si>
    <t>Udito, vista e tatto amplificati.</t>
  </si>
  <si>
    <t>Occulto+Percezione (Diff8) → leggere aura.</t>
  </si>
  <si>
    <t>Colori e stati emotivi dell’aura.</t>
  </si>
  <si>
    <t>Nessun tiro → invisibile.</t>
  </si>
  <si>
    <t>Svanisci alla percezione altrui.</t>
  </si>
  <si>
    <t>Nessun tiro → muoversi inosservati.</t>
  </si>
  <si>
    <t>Passi accanto agli altri senza farti notare.</t>
  </si>
  <si>
    <t>Nessun tiro → nascondere altri.</t>
  </si>
  <si>
    <t>Puoi rendere invisibili anche oggetti o persone.</t>
  </si>
  <si>
    <t>Nessun tiro → visione nel buio.</t>
  </si>
  <si>
    <t>Vista perfetta nell’oscurità totale.</t>
  </si>
  <si>
    <t>Nessun tiro → artigli aggravati.</t>
  </si>
  <si>
    <t>Artigli soprannaturali per il combattimento.</t>
  </si>
  <si>
    <t>Nessun tiro → fondersi nel terreno.</t>
  </si>
  <si>
    <t>Intangibile mentre ti fondi nel suolo.</t>
  </si>
  <si>
    <t>Carisma+Empatia (Diff6) → calmare/irritare animali.</t>
  </si>
  <si>
    <t>Influenza stati emotivi animali.</t>
  </si>
  <si>
    <t>Manipolazione+Empatia (Diff6) → ordine semplice.</t>
  </si>
  <si>
    <t>Comandi animali a eseguire azioni.</t>
  </si>
  <si>
    <t>Carisma+Empatia (Diff6) → possesso animale.</t>
  </si>
  <si>
    <t>Controlli un animale dall’interno.</t>
  </si>
  <si>
    <t>Nessun tiro → assorbi danni aggravati.</t>
  </si>
  <si>
    <t>Pelle dura, resistenza sovrumana.</t>
  </si>
  <si>
    <t>Nessun tiro → +2 assorbimento.</t>
  </si>
  <si>
    <t>Riduce enormemente i danni subiti.</t>
  </si>
  <si>
    <t>Nessun tiro → +3 assorbimento.</t>
  </si>
  <si>
    <t>Resistenza quasi inumana.</t>
  </si>
  <si>
    <t>Percezione+Occulto (Diff8/10) → visioni morte.</t>
  </si>
  <si>
    <t>Leggi ultimi istanti di vita.</t>
  </si>
  <si>
    <t>Percezione+Occulto (Diff7/FdV fantasma) → contatto spiriti.</t>
  </si>
  <si>
    <t>Comunichi con fantasmi.</t>
  </si>
  <si>
    <t>Manipolazione+Occulto (Diff6) → comando spirito.</t>
  </si>
  <si>
    <t>Obblighi uno spirito a servire.</t>
  </si>
  <si>
    <t>Intelligenza+Occulto (Diff6) → bolle sangue.</t>
  </si>
  <si>
    <t>Danni tramite manipolazione sanguigna.</t>
  </si>
  <si>
    <t>Percezione+Occulto (Diff7) → drena sangue.</t>
  </si>
  <si>
    <t>Ruba sangue a distanza.</t>
  </si>
  <si>
    <t>FdV+Occulto (Diff8) → controllo sangue.</t>
  </si>
  <si>
    <t>Muovi/coaguli sangue altrui.</t>
  </si>
  <si>
    <t>Nessun tiro → occhi del serpente.</t>
  </si>
  <si>
    <t>Sguardo ipnotico naturale.</t>
  </si>
  <si>
    <t>Nessun tiro → pelle serpentina.</t>
  </si>
  <si>
    <t>Resistenza e flessibilità rettiliana.</t>
  </si>
  <si>
    <t>Nessun tiro → forma cobra.</t>
  </si>
  <si>
    <t>Trasformazione parziale o totale in serpente.</t>
  </si>
  <si>
    <t>Ottenebrazione</t>
  </si>
  <si>
    <t>Manipolazione+Occulto (Diff7) → ombre.</t>
  </si>
  <si>
    <t>Crei ombre tangibili semplici.</t>
  </si>
  <si>
    <t>Destrezza+Occulto (Diff7) → tentacoli.</t>
  </si>
  <si>
    <t>Oscurità che afferra o attacca.</t>
  </si>
  <si>
    <t>FdV+Occulto (Diff7) → manto d’ombra.</t>
  </si>
  <si>
    <t>Avvolgi il luogo nel buio vivente.</t>
  </si>
  <si>
    <t>Carisma+Empatia (Diff=FdV) → emozioni caotiche.</t>
  </si>
  <si>
    <t>Induci confusione emotiva.</t>
  </si>
  <si>
    <t>Manipolazione+Empatia (Diff=FdV) → follia temporanea.</t>
  </si>
  <si>
    <t>Instilli stati mentali alterati.</t>
  </si>
  <si>
    <t>FdV+Empatia (Diff=FdV) → instabilità duratura.</t>
  </si>
  <si>
    <t>Crei deliri profondi e persistenti.</t>
  </si>
  <si>
    <t>Nessun tiro → voce silenziosa.</t>
  </si>
  <si>
    <t>Suoni soppressi, passi silenziosi.</t>
  </si>
  <si>
    <t>Destrezza+Medicina (Diff6) → sangue tossico.</t>
  </si>
  <si>
    <t>Avveleni la vittima col tuo sangue.</t>
  </si>
  <si>
    <t>Nessun tiro → colpo muto.</t>
  </si>
  <si>
    <t>Attacchi silenziosi, danni potenziati.</t>
  </si>
  <si>
    <t>Destrezza+Medicina (Diff6) → manipolare carne.</t>
  </si>
  <si>
    <t>Modelli piccole parti del corpo.</t>
  </si>
  <si>
    <t>Destrezza+Medicina (Diff7) → plasmare osso.</t>
  </si>
  <si>
    <t>Manipoli strutture più profonde.</t>
  </si>
  <si>
    <t>Destrezza+Medicina (Diff8) → chirurgia mostruosa.</t>
  </si>
  <si>
    <t>Rimodelli completamente un corpo.</t>
  </si>
  <si>
    <t>Rito</t>
  </si>
  <si>
    <t>Int+Occ (6) → percepisci magia.</t>
  </si>
  <si>
    <t>Occulto (6) → testa purezza sangue.</t>
  </si>
  <si>
    <t>Int+Occ (7) → marchi bersaglio.</t>
  </si>
  <si>
    <t>Percezione+Occ (7) → rintraccia sangue.</t>
  </si>
  <si>
    <t>FdV+Occ (7) → rafforza legame.</t>
  </si>
  <si>
    <t>Destrezza+Occ (6) → muovere oggetti.</t>
  </si>
  <si>
    <t>Percezione+Occ (7) → eco spirituale.</t>
  </si>
  <si>
    <t>Occ (6) → barriera spirituale.</t>
  </si>
  <si>
    <t>Manip+Occ (7) → comunicare.</t>
  </si>
  <si>
    <t>Percezione+Occ (8) → richiama spirito.</t>
  </si>
  <si>
    <t>Occulto (7) → segnare bersaglio.</t>
  </si>
  <si>
    <t>Int+Occ (8) → animare cadavere.</t>
  </si>
  <si>
    <t>Occhio del Mago - Riveli tracce di magia e poteri soprannaturali.</t>
  </si>
  <si>
    <t>Purificazione del Sangue - Scopri contaminazioni o proprietà del sangue.</t>
  </si>
  <si>
    <t>Sigillo del Vudù - Crea collegamento simbolico per rituali futuri.</t>
  </si>
  <si>
    <t>Traccia del Sangue - Localizzi chi ha fornito il sangue.</t>
  </si>
  <si>
    <t>Vincolo del Maestro - Aumenta potere dei vincoli di sangue.</t>
  </si>
  <si>
    <t>Mano del Mago - Telecinesi lieve, piccoli oggetti.</t>
  </si>
  <si>
    <t>Eco della Morte - Cogli tracce di morte recente in un luogo.</t>
  </si>
  <si>
    <t>Protezione dello Spirito - Limita influenza di spiriti ostili.</t>
  </si>
  <si>
    <t>Voce del Sepolcro - Parli con resti mortali senza evocare spirito.</t>
  </si>
  <si>
    <t>Richiamo del Defunto - Evoca un fantasma presente nei dintorni.</t>
  </si>
  <si>
    <t>Marchio della Tomba - Attira spiriti ostili sul bersaglio.</t>
  </si>
  <si>
    <t>Servitore Mortuario - Crea uno zombie semplice e ubbidiente.</t>
  </si>
  <si>
    <t>Dot (1-5)</t>
  </si>
  <si>
    <t>Descrizione meccanica (3a edizione, riassunta)</t>
  </si>
  <si>
    <t>Descrizione narrativa</t>
  </si>
  <si>
    <t>1 alleato mortale di potere modesto (impiegato, poliziotto di pattuglia, studente).</t>
  </si>
  <si>
    <t>Hai un amico che ti aiuta volentieri quando può.</t>
  </si>
  <si>
    <t>2–3 alleati; almeno uno con posizione utile (detective, medico, capo di un piccolo gang).</t>
  </si>
  <si>
    <t>Piccola rete di amici affidabili in due campi diversi.</t>
  </si>
  <si>
    <t>3–4 alleati, alcuni con autorità reale (funzionario comunale, ufficiale di polizia, dirigente).</t>
  </si>
  <si>
    <t>Riesci a muovere burocrazia, polizia o criminalità locale a tuo favore.</t>
  </si>
  <si>
    <t>5+ alleati molto influenti; accesso regolare a risorse o informazioni importanti.</t>
  </si>
  <si>
    <t>Sei al centro di una rete di favori incrociati in più settori della città.</t>
  </si>
  <si>
    <t>Numerosi alleati di altissimo livello (politici, boss, manager di grande azienda).</t>
  </si>
  <si>
    <t>Una telefonata tua può cambiare la vita di qualcuno o smuovere istituzioni intere.</t>
  </si>
  <si>
    <t>Uno o due contatti ben informati in un singolo settore.</t>
  </si>
  <si>
    <t>Conosci ‘quello che sa sempre tutto’ su un giro specifico.</t>
  </si>
  <si>
    <t>Contatti in due–tre ambienti diversi (polizia, stampa, criminalità…).</t>
  </si>
  <si>
    <t>Puoi reperire voci e pettegolezzi su buona parte della città.</t>
  </si>
  <si>
    <t>Solida rete informativa; quasi sempre puoi ottenere qualche dettaglio utile.</t>
  </si>
  <si>
    <t>Hai numeri di telefono e mail per gente che sente tutto prima degli altri.</t>
  </si>
  <si>
    <t>Accesso rapido a informazioni sensibili o semi‑segrete.</t>
  </si>
  <si>
    <t>Notizie di indagini, affari e faide girano da te prima che sui giornali.</t>
  </si>
  <si>
    <t>Rete estesa a livello nazionale / internazionale.</t>
  </si>
  <si>
    <t>Se esiste una voce su qualcosa, prima o poi arriva sulla tua scrivania.</t>
  </si>
  <si>
    <t>Famoso in un quartiere o in una sottocultura ristretta.</t>
  </si>
  <si>
    <t>Volto noto in un locale, scena musicale o giro sportivo locale.</t>
  </si>
  <si>
    <t>Fama cittadina.</t>
  </si>
  <si>
    <t>Il tuo nome dice qualcosa alla maggior parte delle persone della città.</t>
  </si>
  <si>
    <t>Conosciuto a livello regionale / in un settore di nicchia ampio.</t>
  </si>
  <si>
    <t>I media parlano regolarmente di te.</t>
  </si>
  <si>
    <t>Fama nazionale.</t>
  </si>
  <si>
    <t>La gente ti riconosce per strada in gran parte del Paese.</t>
  </si>
  <si>
    <t>Celebrità nazionale / internazionale.</t>
  </si>
  <si>
    <t>La tua immagine è un brand; difficile passare inosservato tra i mortali.</t>
  </si>
  <si>
    <t>Piccolo gruppo (3–5 persone). Facile ottenere 1–2 punti sangue quando serve.</t>
  </si>
  <si>
    <t>Pochi ‘amici intimi’ o frequentatori abituali che non faranno domande.</t>
  </si>
  <si>
    <t>Una decina di individui disponibili.</t>
  </si>
  <si>
    <t>Hai sempre qualcuno da cui bere in una notte normale.</t>
  </si>
  <si>
    <t>Gruppo più ampio (festa fissa, club, setta…).</t>
  </si>
  <si>
    <t>È raro che tu debba cacciare davvero: il gregge viene da te.</t>
  </si>
  <si>
    <t>Decine di potenziali vittime; difficilmente rischi di restare a secco.</t>
  </si>
  <si>
    <t>Gestisci un culto, una rete di tossici o un giro mondano totalmente tuo.</t>
  </si>
  <si>
    <t>Gregge enorme, praticamente inesauribile nella cronaca.</t>
  </si>
  <si>
    <t>Nel tuo ‘feudo di sangue’ puoi sfamare anche altri vampiri senza problemi.</t>
  </si>
  <si>
    <t>Puoi influenzare decisioni minori in un settore (municipio, media locali, criminalità di strada).</t>
  </si>
  <si>
    <t>Se insisti puoi far fare piccoli favori a impiegati e funzionari.</t>
  </si>
  <si>
    <t>Incarti pratiche, blocchi o avvii indagini locali, muovi una piccola gang o un giornale di quartiere.</t>
  </si>
  <si>
    <t>Hai voce in capitolo dove ‘gira’ il tuo nome.</t>
  </si>
  <si>
    <t>Influenza reale: puoi rovinare o favorire persone comuni.</t>
  </si>
  <si>
    <t>Sindaci, direttori e capi banda preferiscono non contrariarti.</t>
  </si>
  <si>
    <t>Controllo quasi totale di un settore cittadino.</t>
  </si>
  <si>
    <t>Una tua mossa muove polizia, media o criminalità a livello di città.</t>
  </si>
  <si>
    <t>Potere strutturale: influenzi decisioni a livello regionale/nazionale.</t>
  </si>
  <si>
    <t>Dietro molte decisioni importanti, ci sei tu.</t>
  </si>
  <si>
    <t>Vivi al limite: piccolo appartamento, pochi risparmi.</t>
  </si>
  <si>
    <t>Niente lusso, ma non sei in mezzo alla strada.</t>
  </si>
  <si>
    <t>Classe media: affitto pagato, qualche extra, auto modesta.</t>
  </si>
  <si>
    <t>Puoi permetterti equipaggiamento normale senza problemi.</t>
  </si>
  <si>
    <t>Benestante: casa confortevole, conti in banca, investimenti.</t>
  </si>
  <si>
    <t>Grandi acquisti richiedono un po’ di pianificazione, ma sono possibili.</t>
  </si>
  <si>
    <t>Molto ricco: ville, più proprietà, azienda o eredità importante.</t>
  </si>
  <si>
    <t>Puoi comprare quasi tutto ciò che un umano potrebbe avere.</t>
  </si>
  <si>
    <t>Ricchezza enorme (milionario, famiglia industriale, holding).</t>
  </si>
  <si>
    <t>I soldi raramente sono un problema; il problema è dove nasconderli.</t>
  </si>
  <si>
    <t>Un servitore competente (spesso ghoul) di livello medio.</t>
  </si>
  <si>
    <t>Autista, assistente o guardia del corpo personale.</t>
  </si>
  <si>
    <t>Due o tre servitori affidabili.</t>
  </si>
  <si>
    <t>Puoi coprire più incarichi (sicurezza, gestione soldi, faccende diurne).</t>
  </si>
  <si>
    <t>Piccola squadra ben addestrata.</t>
  </si>
  <si>
    <t>Hai un entourage che fa da scudo tra te e il mondo.</t>
  </si>
  <si>
    <t>Staff numeroso e leale, alcuni molto capaci.</t>
  </si>
  <si>
    <t>Praticamente una piccola organizzazione al tuo servizio.</t>
  </si>
  <si>
    <t>Organizzazione strutturata di ghoul e umani.</t>
  </si>
  <si>
    <t>Per molti mortali tu sei il ‘boss’ che non si vede mai.</t>
  </si>
  <si>
    <t>Neonato riconosciuto / membro di base della setta.</t>
  </si>
  <si>
    <t>Hai diritto di parola minima nelle riunioni.</t>
  </si>
  <si>
    <t>Figura rispettata (sceriffo di quartiere, ancilla notata).</t>
  </si>
  <si>
    <t>La tua opinione conta tra i pari.</t>
  </si>
  <si>
    <t>Carica ufficiale importante (Sceriffo, Arpia, Vescovo…).</t>
  </si>
  <si>
    <t>Molti devono almeno fingere di rispettarti.</t>
  </si>
  <si>
    <t>Leader di fatto di molti non‑morti in città.</t>
  </si>
  <si>
    <t>Principi, Arcivescovi o equivalenti in città minori.</t>
  </si>
  <si>
    <t>Figura di spicco a livello regionale / mondiale.</t>
  </si>
  <si>
    <t>Quando arrivi, anche gli anziani ascoltano.</t>
  </si>
  <si>
    <t>Mentore un po’ distratto o relativamente debole (neonato/ancilla).</t>
  </si>
  <si>
    <t>Qualcuno ti dà consigli e qualche piccolo favore.</t>
  </si>
  <si>
    <t>Mentore affidabile, di generazione/media potenza.</t>
  </si>
  <si>
    <t>Può tirarti fuori dai guai occasionalmente.</t>
  </si>
  <si>
    <t>Anziano influente in città.</t>
  </si>
  <si>
    <t>Ti fornisce risorse, insegnamenti e protezione tangibile.</t>
  </si>
  <si>
    <t>Vampiro molto potente (forse membro di un organo di governo).</t>
  </si>
  <si>
    <t>Può influenzare intere cronache, ma pretende molto da te.</t>
  </si>
  <si>
    <t>Mentore leggendario (Methuselah o simile).</t>
  </si>
  <si>
    <t>Il suo solo nome può salvarti… o condannarti.</t>
  </si>
  <si>
    <t>12ª generazione: Blood Pool 11, 1 punto sangue/turno.</t>
  </si>
  <si>
    <t>Sangue un po’ più forte di un 13ª, ma ancora ‘giovane’.</t>
  </si>
  <si>
    <t>11ª generazione: Blood Pool 12, 1 punto sangue/turno.</t>
  </si>
  <si>
    <t>Un passo in più verso gli anziani; leggero vantaggio di riserva.</t>
  </si>
  <si>
    <t>10ª generazione: Blood Pool 13, 1 punto sangue/turno.</t>
  </si>
  <si>
    <t>Tipico neonate potente; può apprendere Discipline con meno limiti.</t>
  </si>
  <si>
    <t>9ª generazione: Blood Pool 14, 2 punti/turno.</t>
  </si>
  <si>
    <t>Ancilla con sangue decisamente più denso dei giovani.</t>
  </si>
  <si>
    <t>8ª generazione: Blood Pool 15, 3 punti/turno.</t>
  </si>
  <si>
    <t>Quasi un elder: i tuoi poteri possono diventare davvero mostruosi.</t>
  </si>
  <si>
    <t>Identità Alternativa</t>
  </si>
  <si>
    <t>Identità di facciata: documenti minimi, regge controlli superficiali.</t>
  </si>
  <si>
    <t>Falsi documenti, profili social, qualche bolletta a tuo nome.</t>
  </si>
  <si>
    <t>Identità credibile: esiste nei database pubblici, sopporta controlli standard.</t>
  </si>
  <si>
    <t>Se la polizia controlla, non vede nulla di immediatamente sospetto.</t>
  </si>
  <si>
    <t>Vita completa: storia, lavoro, amicizie.</t>
  </si>
  <si>
    <t>Puoi vivere mesi o anni usando solo questa identità.</t>
  </si>
  <si>
    <t>Identità inserita in una setta / clan opposto.</t>
  </si>
  <si>
    <t>Hai un ‘doppio gioco’ anche nel mondo vampirico.</t>
  </si>
  <si>
    <t>Identità di alto profilo (funzionario, anziano di un’altra setta).</t>
  </si>
  <si>
    <t>Molti credono davvero che tu sia quella persona; difficile smentirlo.</t>
  </si>
  <si>
    <t>Rete Informativa</t>
  </si>
  <si>
    <t>Piccola rete di informatori, accesso a notizie locali di basso profilo.</t>
  </si>
  <si>
    <t>Qualche hacker, guardiano notturno e barista ti devono favori.</t>
  </si>
  <si>
    <t>Rete stabile su un intero quartiere o sottocultura.</t>
  </si>
  <si>
    <t>Difficile che qualcosa succeda lì senza che ti arrivi all’orecchio.</t>
  </si>
  <si>
    <t>Accesso regolare a dati riservati (registri, telecamere, banche dati).</t>
  </si>
  <si>
    <t>La tua ‘SchreckNet’ personale copre buona parte della città.</t>
  </si>
  <si>
    <t>Sistema di sorveglianza e spionaggio esteso a più città.</t>
  </si>
  <si>
    <t>Puoi seguire movimenti di altri Cainiti quasi in tempo reale.</t>
  </si>
  <si>
    <t>Rete globale o leggendaria.</t>
  </si>
  <si>
    <t>Se un vampiro muove un dito nel mondo, qualcuno del tuo network lo nota.</t>
  </si>
  <si>
    <t>Biblioteca Occulta</t>
  </si>
  <si>
    <t>Scaffale di testi occultistici comuni. Piccolo bonus alle ricerche rituali.</t>
  </si>
  <si>
    <t>Manuali, grimori moderni, appunti sparsi.</t>
  </si>
  <si>
    <t>Buona collezione specializzata; bonus decente a tiri di Occulto su magia del sangue.</t>
  </si>
  <si>
    <t>Hai un ‘laboratorio’ esoterico personale.</t>
  </si>
  <si>
    <t>Biblioteca rispettabile citata da altri mistici.</t>
  </si>
  <si>
    <t>Spesso trovi il rituale o il riferimento che ti serve.</t>
  </si>
  <si>
    <t>Archivio raro con testi unici o proibiti.</t>
  </si>
  <si>
    <t>Altri maghi verrebbero da te solo per consultarla.</t>
  </si>
  <si>
    <t>Una delle più grandi biblioteche occulte esistenti.</t>
  </si>
  <si>
    <t>La tua conoscenza teorica delle arti del sangue rasenta il leggendario.</t>
  </si>
  <si>
    <t>Forza Militare</t>
  </si>
  <si>
    <t>Fino a ~20 uomini male addestrati (piccola banda / milizia).</t>
  </si>
  <si>
    <t>Teppisti di quartiere, contadini armati, hooligan.</t>
  </si>
  <si>
    <t>20–40 soldati con qualche addestramento.</t>
  </si>
  <si>
    <t>Guardie cittadine o mercenari economici.</t>
  </si>
  <si>
    <t>40–90 veterani ben equipaggiati.</t>
  </si>
  <si>
    <t>Un reparto serio, con comando e struttura.</t>
  </si>
  <si>
    <t>90–180 professionisti esperti.</t>
  </si>
  <si>
    <t>Un’intera compagnia che può tenere un fronte o una città piccola.</t>
  </si>
  <si>
    <t>180–350 truppe d’élite.</t>
  </si>
  <si>
    <t>Una forza militare che fa tremare qualunque Principe umano.</t>
  </si>
  <si>
    <t>Appartenenza Mano Nera</t>
  </si>
  <si>
    <t>Recluta o membro di basso rango.</t>
  </si>
  <si>
    <t>Ricevi missioni sporche e poca spiegazione.</t>
  </si>
  <si>
    <t>Operativo rispettato.</t>
  </si>
  <si>
    <t>Hai accesso a risorse e briefing migliori.</t>
  </si>
  <si>
    <t>Veterano che comanda piccole cellule.</t>
  </si>
  <si>
    <t>Ti vengono affidate operazioni delicate.</t>
  </si>
  <si>
    <t>Ufficiale di medio‑alto comando.</t>
  </si>
  <si>
    <t>Puoi chiamare in causa squadre intere della Mano Nera.</t>
  </si>
  <si>
    <t>Figura quasi mitica all’interno dell’Ordine.</t>
  </si>
  <si>
    <t>Pochi sanno chi sei davvero, ma molti obbediscono ai tuoi ordini.</t>
  </si>
  <si>
    <t>Riconoscimento Branco</t>
  </si>
  <si>
    <t>Conosciuto in uno o due branchi.</t>
  </si>
  <si>
    <t>Gente del Sabbat ti riconosce nelle Messe Nere locali.</t>
  </si>
  <si>
    <t>Reputazione solida in una città Sabbat.</t>
  </si>
  <si>
    <t>Ti chiamano per raid e assalti importanti.</t>
  </si>
  <si>
    <t>Fama tra i branchi di una regione.</t>
  </si>
  <si>
    <t>Il tuo nome gira quando si parla di guerra santa.</t>
  </si>
  <si>
    <t>Figura di spicco in gran parte del Sabbat locale.</t>
  </si>
  <si>
    <t>Molti branchi aspirano a combattere al tuo fianco.</t>
  </si>
  <si>
    <t>Leggenda del Sabbat.</t>
  </si>
  <si>
    <t>Storie sulle tue imprese vengono raccontate ai nuovi vampiri.</t>
  </si>
  <si>
    <t>Rituali (Ritae Sabbat)</t>
  </si>
  <si>
    <t>Conosci pochi riti Sabbat di base.</t>
  </si>
  <si>
    <t>Sai condurre una Messa Nera semplice o un Vaulderie standard.</t>
  </si>
  <si>
    <t>Ampia gamma di riti comuni.</t>
  </si>
  <si>
    <t>Sei spesso chiamato a officiare le cerimonie del branco.</t>
  </si>
  <si>
    <t>Conosci riti rari o segreti.</t>
  </si>
  <si>
    <t>Alcune cerimonie dipendono solo da te.</t>
  </si>
  <si>
    <t>Gran Maestro di riti Sabbat in tutta una regione.</t>
  </si>
  <si>
    <t>Le gerarchie ti rispettano e ti temono.</t>
  </si>
  <si>
    <t>Custode di riti unici che definiscono il culto.</t>
  </si>
  <si>
    <t>Puoi praticamente riscrivere la liturgia del Sabbat locale.</t>
  </si>
  <si>
    <t>Reputazione</t>
  </si>
  <si>
    <t>Voce in un piccolo gruppo di cacciatori o mortali.</t>
  </si>
  <si>
    <t>Qualcuno ha sentito parlare delle tue ‘imprese’.</t>
  </si>
  <si>
    <t>Rispetto in una cellula o organizzazione regionale.</t>
  </si>
  <si>
    <t>Altri cacciatori/vampiri ti prendono sul serio.</t>
  </si>
  <si>
    <t>Reputazione nazionale tra chi si occupa di soprannaturale.</t>
  </si>
  <si>
    <t>Il tuo nome circola in dossier e leggende urbane.</t>
  </si>
  <si>
    <t>Figura quasi mitica nel tuo campo.</t>
  </si>
  <si>
    <t>Molti ti imitano o ti temono senza averti mai visto.</t>
  </si>
  <si>
    <t>Icôna vivente.</t>
  </si>
  <si>
    <t>Le tue azioni definiscono cosa significhi essere ‘famoso’ in quel mondo.</t>
  </si>
  <si>
    <t>Schiavi Spirituali</t>
  </si>
  <si>
    <t>Un fantasma debole legato ai tuoi ordini.</t>
  </si>
  <si>
    <t>Lo usi per piccoli favori o spionaggio.</t>
  </si>
  <si>
    <t>Due–tre spiriti moderatamente utili.</t>
  </si>
  <si>
    <t>Possono terrorizzare mortali o fare da sentinelle.</t>
  </si>
  <si>
    <t>Più spettri, alcuni potenti.</t>
  </si>
  <si>
    <t>Puoi usare i morti come una piccola ‘squadra’.</t>
  </si>
  <si>
    <t>Schiera di fantasmi legati, inclusi wraith pericolosi.</t>
  </si>
  <si>
    <t>Nel mondo dei morti sei un nome che conta.</t>
  </si>
  <si>
    <t>Legione di spiriti schiavi.</t>
  </si>
  <si>
    <t>Interi luoghi infestati rispondono ai tuoi comandi.</t>
  </si>
  <si>
    <t>Visione (Insight Thin‑Blood)</t>
  </si>
  <si>
    <t>Occasionali sogni o presagi confusi.</t>
  </si>
  <si>
    <t>A volte intuisci che ‘qualcosa non va’.</t>
  </si>
  <si>
    <t>Visioni più frequenti e leggibili.</t>
  </si>
  <si>
    <t>I tuoi presentimenti spesso si rivelano corretti.</t>
  </si>
  <si>
    <t>Vere e proprie profezie simboliche.</t>
  </si>
  <si>
    <t>Puoi fare domande al Narratore sul futuro prossimo.</t>
  </si>
  <si>
    <t>Capacità di cogliere minacce e complotti molto prima degli altri.</t>
  </si>
  <si>
    <t>Per alcuni sei un oracolo disturbante.</t>
  </si>
  <si>
    <t>Visioni di ampia portata sulla Jyhad e il destino dei Cainiti.</t>
  </si>
  <si>
    <t>Il futuro ti parla… che tu lo voglia o no.</t>
  </si>
  <si>
    <t>Massa Inquisitoriale (Mob)</t>
  </si>
  <si>
    <t>Piccolo gruppo di fanatici armati.</t>
  </si>
  <si>
    <t>Possono affrontare un singolo vampiro sfortunato.</t>
  </si>
  <si>
    <t>Banda di decine di inquisitori laici.</t>
  </si>
  <si>
    <t>Pericolosi per un’intera coterie.</t>
  </si>
  <si>
    <t>Moltitudine organizzata con capi e risorse.</t>
  </si>
  <si>
    <t>Possono ripulire un quartiere da mostri e streghe.</t>
  </si>
  <si>
    <t>Armata di crociati o milizia urbana enorme.</t>
  </si>
  <si>
    <t>Una città intera trema quando marcia.</t>
  </si>
  <si>
    <t>Movimento di massa con appoggio di autorità secolari o religiose.</t>
  </si>
  <si>
    <t>Per i vampiri locali è letteralmente una guerra santa.</t>
  </si>
  <si>
    <t>Reliquia</t>
  </si>
  <si>
    <t>Oggetto sacro/minore con debole potere soprannaturale.</t>
  </si>
  <si>
    <t>Piccoli bonus contro creature oscure.</t>
  </si>
  <si>
    <t>Reliquia che ferisce realmente i vampiri o respinge spiriti.</t>
  </si>
  <si>
    <t>Arma preziosa in uno scontro.</t>
  </si>
  <si>
    <t>Artefatto con poteri notevoli e ripetibili.</t>
  </si>
  <si>
    <t>Può ribaltare una scena quando usato bene.</t>
  </si>
  <si>
    <t>Oggetto leggendario con più capacità.</t>
  </si>
  <si>
    <t>Intere fazioni lo vorrebbero controllare.</t>
  </si>
  <si>
    <t>Relitto quasi miracoloso.</t>
  </si>
  <si>
    <t>La sua sola presenza può cambiare il tono della cronaca.</t>
  </si>
  <si>
    <t>Età</t>
  </si>
  <si>
    <t>Hai vissuto qualche decennio da vampiro; XP extra moderati.</t>
  </si>
  <si>
    <t>Ricordi ancora bene il mondo moderno.</t>
  </si>
  <si>
    <t>Secolo circa di non‑vita.</t>
  </si>
  <si>
    <t>Hai visto cambiare una città intera.</t>
  </si>
  <si>
    <t>Almeno due secoli di esperienza.</t>
  </si>
  <si>
    <t>Hai accumulato enormi conoscenze e nemici.</t>
  </si>
  <si>
    <t>Anziano del Vecchio Mondo.</t>
  </si>
  <si>
    <t>Molti eventi storici hanno il tuo tocco dietro le quinte.</t>
  </si>
  <si>
    <t>Elder antico, forse pre‑rivoluzioni industriali.</t>
  </si>
  <si>
    <t>La tua visione del mondo è quasi aliena ai neonati.</t>
  </si>
  <si>
    <t>Arcano</t>
  </si>
  <si>
    <t>Un po’ facile da ignorare; -1 dadi a chi ti cerca specificamente.</t>
  </si>
  <si>
    <t>La gente tende a dimenticarti dopo poco.</t>
  </si>
  <si>
    <t>Molto discreto; è difficile ricordare dettagli su di te.</t>
  </si>
  <si>
    <t>Volti e nomi ti scivolano addosso.</t>
  </si>
  <si>
    <t>Riesci quasi sempre a passare inosservato.</t>
  </si>
  <si>
    <t>Telecamere, testimoni e files ‘si perdono’ di frequente.</t>
  </si>
  <si>
    <t>Solo una caccia mirata può trovarti.</t>
  </si>
  <si>
    <t>Se non vuoi essere notato, è come se non fossi mai stato lì.</t>
  </si>
  <si>
    <t>Quasi impossibile da rintracciare se non mediante magia/poteri.</t>
  </si>
  <si>
    <t>Per il mondo, è come se fossi una leggenda urbana.</t>
  </si>
  <si>
    <t>Domitor</t>
  </si>
  <si>
    <t>Domitor relativamente debole o poco interessato.</t>
  </si>
  <si>
    <t>Ti dà sangue e ordini di tanto in tanto.</t>
  </si>
  <si>
    <t>Vampiro di media potenza che si cura di te.</t>
  </si>
  <si>
    <t>Ottieni supporto e protezione occasionale.</t>
  </si>
  <si>
    <t>Anziano influente.</t>
  </si>
  <si>
    <t>La tua posizione nella società ghoul dipende molto da lui.</t>
  </si>
  <si>
    <t>Potente elder che ti considera un asset importante.</t>
  </si>
  <si>
    <t>Ti manda in missioni cruciali e ti copre spesso.</t>
  </si>
  <si>
    <t>Domitor leggendario o di altissima generazione.</t>
  </si>
  <si>
    <t>Sei il servitore personale di una figura quasi mitica.</t>
  </si>
  <si>
    <t>Status Sabbat</t>
  </si>
  <si>
    <t>Membro riconosciuto di un branco.</t>
  </si>
  <si>
    <t>Hai partecipato ad almeno una Crociata.</t>
  </si>
  <si>
    <t>Sabbat locale ti rispetta.</t>
  </si>
  <si>
    <t>Spesso guidi cacce o Vaulderie.</t>
  </si>
  <si>
    <t>Carica (Priest, Ductus, Vescovo).</t>
  </si>
  <si>
    <t>Hai autorità formale su più branchi.</t>
  </si>
  <si>
    <t>Arcivescovo o figura equivalente.</t>
  </si>
  <si>
    <t>Decidi la politica Sabbat di un’area ampia.</t>
  </si>
  <si>
    <t>Cardinale o simili.</t>
  </si>
  <si>
    <t>Una porzione importante della setta segue la tua linea.</t>
  </si>
  <si>
    <t>Rifugio (Haven)</t>
  </si>
  <si>
    <t>Nascondiglio modesto con sicurezza minima.</t>
  </si>
  <si>
    <t>Cantina, stanza in affitto, scantinato.</t>
  </si>
  <si>
    <t>Rifugio sicuro di dimensioni normali.</t>
  </si>
  <si>
    <t>Appartamento ben protetto o casa modesta.</t>
  </si>
  <si>
    <t>Haven spazioso con buona sicurezza.</t>
  </si>
  <si>
    <t>Loft, villa di periferia, base condivisa con la coterie.</t>
  </si>
  <si>
    <t>Rifugio lussuoso e fortificato.</t>
  </si>
  <si>
    <t>Bunker, attico blindato, complesso con personale.</t>
  </si>
  <si>
    <t>Dominio‑fortezza.</t>
  </si>
  <si>
    <t>Intero palazzo, complesso sotterraneo, castello o simili.</t>
  </si>
  <si>
    <t>Piccolo vicolo o gruppo di isolati.</t>
  </si>
  <si>
    <t>Poche altre creature reclamano la zona.</t>
  </si>
  <si>
    <t>Quartiere modesto.</t>
  </si>
  <si>
    <t>La polizia locale o i gang ti ‘conoscono’.</t>
  </si>
  <si>
    <t>Distretto importante della città.</t>
  </si>
  <si>
    <t>La tua parola conta su cosa accade lì.</t>
  </si>
  <si>
    <t>Profilo metropolitano esteso (più distretti).</t>
  </si>
  <si>
    <t>Pochi vampiri osano cacciare senza chiederti permesso.</t>
  </si>
  <si>
    <t>Porzione enorme di città / intera cittadina.</t>
  </si>
  <si>
    <t>Di fatto sei un piccolo Principe nel tuo pezzo di mondo.</t>
  </si>
  <si>
    <t>Identità Alter.</t>
  </si>
  <si>
    <t>Uso nelle prove (tiri, diff, contrapposti)</t>
  </si>
  <si>
    <t>Quando chiedi aiuto concreto: Tiro Carisma + Espressività (diff 6–8). Se l’alleato è riluttante: Carisma + Intimidazione. Se contrapposto: Autocontrollo dell’alleato (diff = Liv. rischio).</t>
  </si>
  <si>
    <t>Per informazioni: Intelligenza + Investigazione (diff 6). Ogni punto di Contatti riduce la difficoltà di -1 o garantisce info automatiche. Se il contatto rischia: Carisma + Espressività (diff 7).</t>
  </si>
  <si>
    <t>Per influenzare mortali: Carisma + Espressività (diff 5). Per evitare sospetti: Aspetto + Espressività (diff 6). Bonus al nutrimento automatico pari al livello.</t>
  </si>
  <si>
    <t>Nutrimento automatico: 1–3 punti sangue/notte × livello. Nessun tiro salvo situazioni speciali.</t>
  </si>
  <si>
    <t>Per muovere burocrazia: Manipolazione + Politica (diff 6–8). Per ordini illegali: Carisma + Leadership (diff 7). Contro mortali ostili: Tiro contrapposto con Volontà mortale.</t>
  </si>
  <si>
    <t>Per grandi acquisti: Nessun tiro se entro Liv. risorse. Acquisti eccezionali: Intelligenza + Finanza (diff 7).</t>
  </si>
  <si>
    <t>Per impartire ordini rischiosi: Carisma + Leadership (diff 6–8). Prove contrapposte se il ghoul si oppone: Volontà ghoul (diff = comando).</t>
  </si>
  <si>
    <t>Per imporre autorità: Carisma + Leadership (diff 6). Contro un pari rango: Tiro contrapposto Carisma + Status.</t>
  </si>
  <si>
    <t>Per ottenere un favore: Carisma + Espressività (diff 6–9 in base al favore). Se il mentore è anziano: nessun tiro per favori minori.</t>
  </si>
  <si>
    <t>Tiri di sangue automatici. Nessun tiro, influenza solo valori di sangue.</t>
  </si>
  <si>
    <t>Per superare controlli: Prontezza + Sotterfugio (diff 6) oppure il livello riduce la diff delle verifiche documentali.</t>
  </si>
  <si>
    <t>Per informazioni via rete: Intelligenza + Informatica (diff 5–7). Livello fornisce info automatiche.</t>
  </si>
  <si>
    <t>Per ricerche: Intelligenza + Occulto (diff -1 per livello). Ricerche rare: diff 8–9.</t>
  </si>
  <si>
    <t>Per comandare truppe: Carisma + Leadership (diff 6). Battaglie: usare Regole Narratore (tiri estesi).</t>
  </si>
  <si>
    <t>Per ottenere missioni o aiuti: Carisma + Leadership (diff 7). Per evocare squadre: nessun tiro se entro il rango.</t>
  </si>
  <si>
    <t>Per influenzare un branco: Carisma + Intimidazione (diff 6). Per ottenere supporto: Carisma + Leadership (diff 6).</t>
  </si>
  <si>
    <t>Per eseguire rituali: Carisma + Occulto oppure il tiro indicato dal rituale. Diff 6–8 tipicamente.</t>
  </si>
  <si>
    <t>Per impressionare mortali/vampiri: Carisma + Espressività (diff 5–7). Riduce diff per socializzare.</t>
  </si>
  <si>
    <t>Per comandare spiriti: Carisma + Occulto (diff 6–8). Condizioni ostili: contrapposto con Forza di Volontà dello spirito.</t>
  </si>
  <si>
    <t>Per guidare la massa: Carisma + Leadership (diff 6–8). Per tenere il controllo: tiri estesi.</t>
  </si>
  <si>
    <t>Uso varia: spesso Forza di Volontà, Occulto o tiro speciale indicato dall’oggetto.</t>
  </si>
  <si>
    <t>Modifica XP e conoscenze; nessun tiro diretto.</t>
  </si>
  <si>
    <t>Chi ti cerca fa Percezione + Investigazione con difficoltà base + livello Arcano.</t>
  </si>
  <si>
    <t>Per ottenere favori: Carisma + Espressività (diff 6). Per resistere al Domitor: tiro Volontà (diff = 3 + Dominio).</t>
  </si>
  <si>
    <t>Tiri di sicurezza: Percezione + Allerta (diff 6). Livello fornisce bonus alla difficoltà per superare protezioni.</t>
  </si>
  <si>
    <t>Caccia senza tiri fino a Liv. 3. Per difendere il territorio: Carisma + Leadership (diff 6) o Tiri sociali contrapposti.</t>
  </si>
  <si>
    <t>Reali</t>
  </si>
  <si>
    <t>Game</t>
  </si>
  <si>
    <t>Minuti</t>
  </si>
  <si>
    <t>Scene</t>
  </si>
  <si>
    <t>1.1</t>
  </si>
  <si>
    <t>1.2</t>
  </si>
  <si>
    <t>2.1</t>
  </si>
  <si>
    <t>3.1</t>
  </si>
  <si>
    <t>3.2</t>
  </si>
  <si>
    <t>4.1</t>
  </si>
  <si>
    <t>5.1</t>
  </si>
  <si>
    <t>5.2</t>
  </si>
  <si>
    <t>5.3</t>
  </si>
  <si>
    <t>5.4</t>
  </si>
  <si>
    <t>6.1</t>
  </si>
  <si>
    <t>7.1</t>
  </si>
  <si>
    <t>7.2</t>
  </si>
  <si>
    <t>Ritorno degli assaitori morte dei giocatori</t>
  </si>
  <si>
    <t>Morte PG per Lupini</t>
  </si>
  <si>
    <t>Viaggio intermezzo se in ritardo no PV</t>
  </si>
  <si>
    <t>Arpia</t>
  </si>
  <si>
    <t>Principe</t>
  </si>
  <si>
    <t>PG Sono in Torpore</t>
  </si>
  <si>
    <t>13/10/2025 a Rimini il sole sorge alle ore 07:21 e tramonta alle 18:29</t>
  </si>
  <si>
    <t>Risveglio</t>
  </si>
  <si>
    <t>Crepuscolo</t>
  </si>
  <si>
    <t>Giudizio - Alba</t>
  </si>
  <si>
    <t>Soglia - Tramonto</t>
  </si>
  <si>
    <t>Predazione</t>
  </si>
  <si>
    <t>Tenebra</t>
  </si>
  <si>
    <t>Dannati</t>
  </si>
  <si>
    <t>Fuga</t>
  </si>
  <si>
    <t>Caccia</t>
  </si>
  <si>
    <t>Arrivo di Vampiri che cercano i Siri scappati</t>
  </si>
  <si>
    <t>Se in ritardo attacco sorpresa e scappa via</t>
  </si>
  <si>
    <t>Peronaggi si svegliano</t>
  </si>
  <si>
    <t>Polizia li ferma e morte, girato troppo città</t>
  </si>
  <si>
    <t>Agnese li congeda arrivo della vigilanza</t>
  </si>
  <si>
    <t>Fine</t>
  </si>
  <si>
    <t>Scheda Giocatore / v7</t>
  </si>
  <si>
    <t>Consapevol.</t>
  </si>
  <si>
    <t>Paolo Venturi</t>
  </si>
  <si>
    <t>Vive per aiutare e proteggere gli altri.</t>
  </si>
  <si>
    <t>+PV Quando cura o salva qualcuno a costo personale.    </t>
  </si>
  <si>
    <t>affascinante, vanitoso, simpatico</t>
  </si>
  <si>
    <t>intrattenere, essere ammirato, magari nascondendo insicurezze.</t>
  </si>
  <si>
    <t>Diva carismatica e provocatoria</t>
  </si>
  <si>
    <t>drag queen</t>
  </si>
  <si>
    <t>Punti Sangue Massimi</t>
  </si>
  <si>
    <t>Lingua</t>
  </si>
  <si>
    <t>Vecchia Fiamma</t>
  </si>
  <si>
    <t>Personalità Carismatica</t>
  </si>
  <si>
    <t>Vergogna di Sangue</t>
  </si>
  <si>
    <t>Scettico</t>
  </si>
  <si>
    <t>Non sei mai stato veramente convinto della maledizione di Caino, delle Tradizioni, o della religione vampirica in generale.</t>
  </si>
  <si>
    <t>Hai un'aura naturale che attira l'attenzione. Sei un leader nato, magnetico, e le persone tendono a seguirti o farsi influenzare</t>
  </si>
  <si>
    <t>Francese - parlare e leggere fluentemente</t>
  </si>
  <si>
    <t>Vantaggi/Difetti</t>
  </si>
  <si>
    <t>Ottieni +1 dado a tutti i tiri sociali che coinvolgono Autorità, Carisma o Persuasione.</t>
  </si>
  <si>
    <t>Sei disprezzato dal tuo clan, il tuo sire non ti ha riconosciuto</t>
  </si>
  <si>
    <t>Una persona umana con cui hai avuto una relazione intensa. Gelosia, vendetta, minaccie, ossessione. Complicazioni</t>
  </si>
  <si>
    <t>Hai una falsa identità completamente credibile, con documenti, storia e copertura sociale.</t>
  </si>
  <si>
    <t>Una volta per sessione puoi fare domande tramite i tuoi contatti per ottenere indizi, notizie o favori minori.</t>
  </si>
  <si>
    <t>Sei una celebrità di nicchia: noto in ambienti artistici o locali (Bonus tiri ambiente). Riconosciuta facilmente.</t>
  </si>
  <si>
    <t>Sei di dodicesima generazione, regole uguali alla 13th.</t>
  </si>
  <si>
    <t>12th</t>
  </si>
  <si>
    <t>Hai uno stipendio regolare, un appartamento comodo e accesso a beni di consumo moderni.</t>
  </si>
  <si>
    <t>Hai uno o due umani da cui ti nutri regolarmente e con poca resistenza. 1-2 punto a settimana</t>
  </si>
  <si>
    <t>Appartamento</t>
  </si>
  <si>
    <t>La schiatta de’ Montefeltro</t>
  </si>
  <si>
    <t>+1 Dado a schivare, +1 Iniziativa</t>
  </si>
  <si>
    <t>Attiri attenzione. Carisma + Espressione Artistica, Dif. 7</t>
  </si>
  <si>
    <t>Coraggio del bersaglio Dif. 8 o spendere 1 PV</t>
  </si>
  <si>
    <t>Intimidisci: paura, panico. Carisma + Intimidire, Dif. 6/7</t>
  </si>
  <si>
    <t>I Brujah cedono facilmente alla Frenesia: hanno +2 alla difficoltà per controllare rabbia, umiliazioni, provocazioni o frustrazioni. Anche piccoli insulti o ostacoli possono farli scattare, soprattutto se affamati o feriti. Tendono a reagire d’istinto e con violenza quando vengono sfidati o limitati.</t>
  </si>
  <si>
    <t>locali LGBTQ+, backstage, viali turistici.</t>
  </si>
  <si>
    <t>1,78 Mt</t>
  </si>
  <si>
    <t>72 Kg</t>
  </si>
  <si>
    <t>Castani</t>
  </si>
  <si>
    <t>Marrone nocciola</t>
  </si>
  <si>
    <t>Stile: Glamour, teatrale, provocatorio; fuori dal palco è casual ma sempre curato
Vibe: sguardo morbido ma deciso, sorriso magnetico, movenze sicure da performer veterano</t>
  </si>
  <si>
    <t>Borgo San Giulian</t>
  </si>
  <si>
    <t>Fiat 500L nera, interni glitterati fai-da-te. La definisce “il mio camerino mobile”.</t>
  </si>
  <si>
    <t>Stipendio intermittente ma stabile da performer + consulenze per giovani artisti</t>
  </si>
  <si>
    <t>secondo piano di una casa color pastello, con travi a vista e finestre che danno sui murales.</t>
  </si>
  <si>
    <t>Contatto</t>
  </si>
  <si>
    <t>Mirko “Due Mic”</t>
  </si>
  <si>
    <t>Conosce tutti i locali LGBTQ+ da Rimini a Riccione.Tipo di aiuto: informazioni, accesso in backstage, favori logistici.</t>
  </si>
  <si>
    <t>Avv. Sonia Belloni</t>
  </si>
  <si>
    <t>Fan della scena drag e tua amica da anni. Tipo di aiuto: consulenza legale, protezione da impresari aggressivi.</t>
  </si>
  <si>
    <t>Dario Fontana</t>
  </si>
  <si>
    <t>Ex Fiamma</t>
  </si>
  <si>
    <t>ex amante artista, emotivamente instabile, ritorna creando caos. Tende a seguirti e filmarti.</t>
  </si>
  <si>
    <t>Gruppo Esordienti</t>
  </si>
  <si>
    <t>3–4 ragazze e ragazzi giovani della scena drag che ti vedono come mentore (“Mama”).</t>
  </si>
  <si>
    <t>Legami di Sangue/Vicoli/Amici</t>
  </si>
  <si>
    <t>Luna (Allieva/Protetta)</t>
  </si>
  <si>
    <t>Sangue</t>
  </si>
  <si>
    <t>Giovane performer emergente, talentuosa ma insicura. Ti vede come mentore, confidente e ancora di salvezza</t>
  </si>
  <si>
    <t>Debolezza di Clan</t>
  </si>
  <si>
    <t>Amica</t>
  </si>
  <si>
    <t>Caucasico</t>
  </si>
  <si>
    <t>Gangrel</t>
  </si>
  <si>
    <t>Matteo Bechara</t>
  </si>
  <si>
    <t>| **Natura**                           | **Descrizione sintetica**                                        | **Come recupera Volontà**                                         |</t>
  </si>
  <si>
    <t>| ------------------------------------ | ---------------------------------------------------------------- | ----------------------------------------------------------------- |</t>
  </si>
  <si>
    <t>| **Architect** (Costruttore)          | Vuole creare qualcosa di duraturo, che lasci un segno nel mondo. | Quando crea o contribuisce a qualcosa che resiste al tempo.       |</t>
  </si>
  <si>
    <t>| **Autocrat** (Autocrate)             | Deve controllare tutto e tutti.                                  | Quando domina una situazione o impone la propria autorità.        |</t>
  </si>
  <si>
    <t>| **Bon Vivant** (Edonista)            | Vive per il piacere e la gioia del momento.                      | Quando si gode un piacere intenso o dona felicità ad altri.       |</t>
  </si>
  <si>
    <t>| **Bravo** (Prepotente)               | Ama intimidire, controllare o sottomettere gli altri.            | Quando impone la sua forza o mette qualcuno al proprio posto.     |</t>
  </si>
  <si>
    <t>| **Caregiver** (Protettore)           | Vive per aiutare e proteggere gli altri.                         | Quando cura o salva qualcuno a costo personale.                   |</t>
  </si>
  <si>
    <t>| **Celebrant** (Celebrand)            | Ha una passione o fede assoluta in qualcosa.                     | Quando agisce o combatte per ciò in cui crede.                    |</t>
  </si>
  <si>
    <t>| **Child** (Fanciullo)                | Cerca protezione e attenzione; ingenuo, curioso.                 | Quando riceve protezione o cura da qualcuno.                      |</t>
  </si>
  <si>
    <t>| **Competitor** (Competitivo)         | Deve essere sempre il migliore.                                  | Quando vince o supera qualcuno in una sfida.                      |</t>
  </si>
  <si>
    <t>| **Conformist** (Conformista)         | Ha bisogno di appartenere a un gruppo o seguire qualcuno.        | Quando ottiene approvazione o si integra in un gruppo.            |</t>
  </si>
  <si>
    <t>| **Conniver** (Intrigante)            | Manipola per ottenere ciò che vuole.                             | Quando ottiene vantaggi tramite inganno o furbizia.               |</t>
  </si>
  <si>
    <t>| **Curmudgeon** (Brontolone)          | Critico, disilluso, trova difetti in tutto.                      | Quando dimostra di avere ragione nel suo cinismo.                 |</t>
  </si>
  <si>
    <t>| **Deviant** (Deviato)                | Si oppone alle convenzioni sociali o morali.                     | Quando rompe una regola importante o sovverte l’ordine.           |</t>
  </si>
  <si>
    <t>| **Director** (Direttore)             | Ama organizzare e guidare gli altri.                             | Quando coordina un piano o porta altri al successo.               |</t>
  </si>
  <si>
    <t>| **Fanatic** (Fanatico)               | Vive solo per la propria fede o causa.                           | Quando avanza o difende la propria causa, qualunque il costo.     |</t>
  </si>
  <si>
    <t>| **Follower** (Seguace)               | Ha bisogno di qualcuno da seguire.                               | Quando sostiene o serve lealmente il suo leader.                  |</t>
  </si>
  <si>
    <t>| **Gallant** (Seduttore / Narcisista) | Vive per essere ammirato.                                        | Quando ottiene ammirazione o conquista l’attenzione.              |</t>
  </si>
  <si>
    <t>| **Jester** (Giullare)                | Usa l’umorismo per affrontare il mondo.                          | Quando sdrammatizza una situazione o fa ridere gli altri.         |</t>
  </si>
  <si>
    <t>| **Judge** (Giudice)                  | Cerca giustizia e coerenza morale.                               | Quando risolve un conflitto o smaschera un’ingiustizia.           |</t>
  </si>
  <si>
    <t>| **Loner** (Solitario)                | Si fida solo di sé stesso.                                       | Quando riesce da solo dove altri falliscono.                      |</t>
  </si>
  <si>
    <t>| **Martyr** (Martire)                 | Si sacrifica per gli altri o per una causa.                      | Quando soffre o si mette in pericolo per altri.                   |</t>
  </si>
  <si>
    <t>| **Masochist** (Masochista)           | Trova soddisfazione nel dolore o nella punizione.                | Quando si procura o accetta dolore con intenzione.                |</t>
  </si>
  <si>
    <t>| **Monster** (Mostro)                 | Accetta la propria natura vampirica e la abbraccia.              | Quando agisce come un predatore senza rimorsi.                    |</t>
  </si>
  <si>
    <t>| **Pedagogue** (Maestro)              | Ama insegnare e trasmettere conoscenza.                          | Quando istruisce con successo qualcuno.                           |</t>
  </si>
  <si>
    <t>| **Penitent** (Penitente)             | Cerca redenzione per le proprie colpe.                           | Quando confessa o espia una colpa.                                |</t>
  </si>
  <si>
    <t>| **Perfectionist** (Perfezionista)    | Vuole che tutto sia impeccabile.                                 | Quando porta a termine qualcosa in modo esatto e perfetto.        |</t>
  </si>
  <si>
    <t>| **Rebel** (Ribelle)                  | Odia l’autorità e le regole.                                     | Quando si oppone a un’autorità o rompe una costrizione.           |</t>
  </si>
  <si>
    <t>| **Rogue** (Canaglia)                 | Opportunista, agisce solo per sé stesso.                         | Quando trae profitto personale da una situazione.                 |</t>
  </si>
  <si>
    <t>| **Scientist** (Scienziato)           | Crede nella logica e nella conoscenza.                           | Quando scopre o dimostra qualcosa di nuovo.                       |</t>
  </si>
  <si>
    <t>| **Survivor** (Sopravvissuto)         | L’unica cosa che conta è restare vivo.                           | Quando supera un pericolo che avrebbe distrutto altri.            |</t>
  </si>
  <si>
    <t>| **Traditionalist** (Tradizionalista) | Crede nel passato e nelle regole consolidate.                    | Quando difende una tradizione o mantiene l’ordine.                |</t>
  </si>
  <si>
    <t>| **Trickster** (Burlone)              | Ama creare caos o far riflettere con scherzi.                    | Quando destabilizza qualcuno o cambia prospettiva con un inganno. |</t>
  </si>
  <si>
    <t>| **Visionary** (Visionario)           | Vive per un sogno o un futuro migliore.                          | Quando ispira altri o compie un passo verso il suo ideale.        |</t>
  </si>
  <si>
    <t>Visionario</t>
  </si>
  <si>
    <t>Vive per un sogno o un futuro migliore.</t>
  </si>
  <si>
    <t>+PV Quando ispira altri o compie un passo verso il suo ideale.</t>
  </si>
  <si>
    <t>Edonista</t>
  </si>
  <si>
    <t>Vive per il piacere e la gioia del momento.</t>
  </si>
  <si>
    <t>Ex Combattente diventato Mentore</t>
  </si>
  <si>
    <t>Evita la noia come una maledizione e rischia spesso più del necessario.</t>
  </si>
  <si>
    <t>Colpi Implacabili</t>
  </si>
  <si>
    <t>Reazioni</t>
  </si>
  <si>
    <t>Wrestling Realistico</t>
  </si>
  <si>
    <t>Combattimento da Gabbia</t>
  </si>
  <si>
    <t>Presenza Imponente</t>
  </si>
  <si>
    <t>Showman</t>
  </si>
  <si>
    <t>2 assorbimento Contundenti o +2 dadi per Letali o aggravati.</t>
  </si>
  <si>
    <t>I tuoi occhi diventano bestiali (rossi, ferini), vedi nel buio totale.</t>
  </si>
  <si>
    <t>Ti spuntano lunghi artigli da predatore, danno Aggravato</t>
  </si>
  <si>
    <t>Il dojo è territorio tuo: chi entra, chi osserva, chi cerca guai... tutto ti viene riferito.</t>
  </si>
  <si>
    <t>In Romagna sanno chi sei: il coach che rifiuta le scorciatoie, ma che non perde mai il colpo.</t>
  </si>
  <si>
    <t>Ivan “Smiles” Sarti</t>
  </si>
  <si>
    <t>Amico</t>
  </si>
  <si>
    <t>Silvano Ghirielli</t>
  </si>
  <si>
    <t>Può darti un’informazione, un contatto o protezione politica una volta per cronaca, in cambio: lealtà e risultati.</t>
  </si>
  <si>
    <t>Contatti da Background</t>
  </si>
  <si>
    <t>Silvano Ghirielli ex pugile, vive a Pesaro</t>
  </si>
  <si>
    <t>Inglese - parlare e leggere fluentemente</t>
  </si>
  <si>
    <t>Il dojo a Miramare è il tuo territorio. Non tolleri che venga sfruttato, violato o preso alla leggera.</t>
  </si>
  <si>
    <t>Subisci penalità (es. +2 difficoltà) nelle prove Sociali con chi “viola” il tuo territorio.</t>
  </si>
  <si>
    <t>Territoriale</t>
  </si>
  <si>
    <t>Miramare – zona del dojo e dintorni</t>
  </si>
  <si>
    <t>Vespa 125 nera opaca: elegante e silenziosa. Opel Astra grigia: utile per portare l’attrezzatura o allievi. Nulla di appariscente.</t>
  </si>
  <si>
    <t>stipendio modesto derivante da lezioni, dirette online e piccoli eventi locali. Abbastanza per vivere con dignità, ma senza lusso.</t>
  </si>
  <si>
    <t>Il Dojo</t>
  </si>
  <si>
    <t>trasformato per contenere una stanza sicura nel retro con tenda oscurante</t>
  </si>
  <si>
    <t>Miramare</t>
  </si>
  <si>
    <t>Rasato</t>
  </si>
  <si>
    <t>Castani profondi</t>
  </si>
  <si>
    <t>Medio Orientale</t>
  </si>
  <si>
    <t>Italiana, 2* generazione</t>
  </si>
  <si>
    <t>1,82 Mt</t>
  </si>
  <si>
    <t>84 Kg</t>
  </si>
  <si>
    <t>Ogni volta che un Gangrel entra in Frenesia, sviluppa una caratteristica animale visibile e permanente.
Dopo cinque manifestazioni, il personaggio subisce un punto di penalità permanente a un Attributo Sociale (a scelta del Narratore, spesso Aspetto o Carisma).
Alcuni esempi: occhi felini, artigli retrattili, peli irsuti, odore selvatico, o postura da predatore.</t>
  </si>
  <si>
    <t>Minimalista urbano: felpe scure, pantaloni tecnici, scarpe resistenti. Tutto funzionale.
Voce calma, mani pronte: parla poco, ma se lo fa è per dire la verità più dura.</t>
  </si>
  <si>
    <t>Amir</t>
  </si>
  <si>
    <t>Ex ragazzo difficile, trovato durante un corso di autodifesa in oratorio. Ora lo segue ovunque come un fratello minore.</t>
  </si>
  <si>
    <t>Sopravvissuto</t>
  </si>
  <si>
    <t>L’unica cosa che conta è restare vivo.</t>
  </si>
  <si>
    <t>+PV Quando supera un pericolo che avrebbe distrutto altri.</t>
  </si>
  <si>
    <t>Tradizionalista</t>
  </si>
  <si>
    <t>Crede nel passato e nelle regole consolidate.</t>
  </si>
  <si>
    <t>Sofia "Rusty" Rinaldi</t>
  </si>
  <si>
    <t>Nosferatu</t>
  </si>
  <si>
    <t>Non mi interessa cosa è di moda. Io rispetto l’ordine. Pretendo lo stesso.</t>
  </si>
  <si>
    <t>Attivista civica diventata predatrice.</t>
  </si>
  <si>
    <t>Sociologia</t>
  </si>
  <si>
    <t>Scatti, Gesti Fulminei</t>
  </si>
  <si>
    <t>Attenta</t>
  </si>
  <si>
    <t>Animalità</t>
  </si>
  <si>
    <t>Carisma+Add. Animali, puoi calmare o rendere aggressivo l'animale</t>
  </si>
  <si>
    <t>Offuscamento</t>
  </si>
  <si>
    <t>Rimani invisibile **se stai fermo** e in ombra.</t>
  </si>
  <si>
    <t>Destrezza+Furtività, Puoi muoverti rimanendo invisibile</t>
  </si>
  <si>
    <t>finché nessuno ti guarda direttamente</t>
  </si>
  <si>
    <t>Ispiratrice</t>
  </si>
  <si>
    <t>Camuffamento</t>
  </si>
  <si>
    <t>Elisabetta Ravelli</t>
  </si>
  <si>
    <t>Una volta per sessione puoi chiedere un intervento attivo (aiuto, influenza, contatti o risorse).</t>
  </si>
  <si>
    <t>Elisabetta Ravelli, archivista per l’Ufficio Storico del Comune di Rimini, mappature sotteranee.</t>
  </si>
  <si>
    <t>Deformità</t>
  </si>
  <si>
    <t>Infezione Parassita</t>
  </si>
  <si>
    <t>Hai due assistenti fedeli (ghoul o umani) che ti aiutano.</t>
  </si>
  <si>
    <t>Conosciuto e rispettato in una parte della Camarilla. Può aiutarti con l’accesso a luoghi, ottenere udienze, ricevere favori.</t>
  </si>
  <si>
    <t>Michela "Spina" Grassi</t>
  </si>
  <si>
    <t>Seguace</t>
  </si>
  <si>
    <t>Lavora in un bar al Borgo San Giuliano e si occupa informalmente di passaparola e informazioni tra cittadini e associazioni.</t>
  </si>
  <si>
    <t>Italo Cattani</t>
  </si>
  <si>
    <t>Ex-operaio metalmeccanico, oggi ai margini ma ancora capace. Ripara, costruisce, installa. È legato da anni</t>
  </si>
  <si>
    <t>Daniela Morotti</t>
  </si>
  <si>
    <t>Tecnica ambientale freelance / Attivista per l'accessibilità urbana. Conosciuta durante un'inchiesta civica</t>
  </si>
  <si>
    <t>All’inizio di una scena effettua un tiro di Autocontrollo (diff. 6). Se fallisci, un’ondata di dolore ti attraversa il corpo e perdi 1 punto Sangue.</t>
  </si>
  <si>
    <t>La metà destra del suo volto è afflosciata verso il basso, come se si fosse sciolta, lasciandole un’espressione storta e inquietante.</t>
  </si>
  <si>
    <t>Mortali: test Coraggio 6 per non arretrare o impaurirsi; –1 ai sociali con vampiri; +2 diff. per passare inosservata.</t>
  </si>
  <si>
    <t>Si muove quasi ovunque a piedi con le stampelle, in taxi, con mezzi pubblici o con passaggi offerti da persone che la conoscono.</t>
  </si>
  <si>
    <t>Non ricca, ma ha un flusso economico stabile. Vive bene ma senza lusso.</t>
  </si>
  <si>
    <t>Vicino al Ponte di Tiberio</t>
  </si>
  <si>
    <t>Un bilocale al terzo piano: modesto, ordinato, pieno di documenti, mappe, foto e appunti.</t>
  </si>
  <si>
    <t>Castani scuri</t>
  </si>
  <si>
    <t>Scuri, lucidi</t>
  </si>
  <si>
    <t>Mediterranea</t>
  </si>
  <si>
    <t>1,63 Mt</t>
  </si>
  <si>
    <t>54 Kg</t>
  </si>
  <si>
    <t>Femmina</t>
  </si>
  <si>
    <t>Debolezza (Nosferatu): Aspetto 0; impossibili le prove basate su Aspetto; mostruosa, non può passare per umana senza Oscurazione.Richiedono disguises estremi o l’uso di poteri (Oscurazione, Maschera delle Mille Facce, ecc.) per interagire normalmente con i mortali.</t>
  </si>
  <si>
    <t>Controlli due piccole aree urbane dove puoi muoverti, cacciare e operare senza interferenze, tra Ponte di Tiberio e il Comune.</t>
  </si>
  <si>
    <t>11th</t>
  </si>
  <si>
    <t>12 / 2</t>
  </si>
  <si>
    <t>Modo di agire: non urla mai; misura, osserva, taglia le bugie con fatti e fotografie.
Aura: chi la incontra sente prima disagio, poi rispetto, poi dipendenza dalla sua lucidità.</t>
  </si>
  <si>
    <t>Caccia “sociale e discreta”: conosce percorsi, dislivelli, movimenti delle persone; tra il Ponte di Tiberio e il Comune.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</si>
</sst>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9" x14ac:knownFonts="1">
    <font>
      <sz val="11"/>
      <color theme="1"/>
      <name val="Aptos Narrow"/>
      <family val="2"/>
      <scheme val="minor"/>
    </font>
    <font>
      <sz val="11"/>
      <color theme="1"/>
      <name val="Bahnschrift Condensed"/>
      <family val="2"/>
    </font>
    <font>
      <b/>
      <sz val="14"/>
      <color theme="1"/>
      <name val="Bahnschrift Condensed"/>
      <family val="2"/>
    </font>
    <font>
      <b/>
      <sz val="11"/>
      <color theme="1"/>
      <name val="Bahnschrift Condensed"/>
      <family val="2"/>
    </font>
    <font>
      <sz val="14"/>
      <color theme="1"/>
      <name val="Bahnschrift Condensed"/>
      <family val="2"/>
    </font>
    <font>
      <sz val="9"/>
      <color theme="1"/>
      <name val="Bahnschrift Condensed"/>
      <family val="2"/>
    </font>
    <font>
      <i/>
      <sz val="11"/>
      <color theme="1"/>
      <name val="Bahnschrift Condensed"/>
      <family val="2"/>
    </font>
    <font>
      <i/>
      <sz val="9"/>
      <color theme="1"/>
      <name val="Bahnschrift Condensed"/>
      <family val="2"/>
    </font>
    <font>
      <sz val="11"/>
      <color theme="1"/>
      <name val="Aptos"/>
      <family val="2"/>
    </font>
    <font>
      <b/>
      <sz val="11"/>
      <color theme="1"/>
      <name val="Aptos"/>
      <family val="2"/>
    </font>
    <font>
      <sz val="14"/>
      <color theme="1"/>
      <name val="Aptos Narrow"/>
      <family val="2"/>
      <scheme val="minor"/>
    </font>
    <font>
      <sz val="8"/>
      <name val="Aptos Narrow"/>
      <family val="2"/>
      <scheme val="minor"/>
    </font>
    <font>
      <b/>
      <sz val="16"/>
      <color theme="1"/>
      <name val="Bahnschrift SemiBold"/>
      <family val="2"/>
    </font>
    <font>
      <b/>
      <sz val="11"/>
      <color theme="1"/>
      <name val="Consolas"/>
      <family val="3"/>
    </font>
    <font>
      <b/>
      <sz val="14"/>
      <color theme="1"/>
      <name val="Bahnschrift SemiBold"/>
      <family val="2"/>
    </font>
    <font>
      <sz val="14"/>
      <color theme="1"/>
      <name val="Bahnschrift SemiBold"/>
      <family val="2"/>
    </font>
    <font>
      <sz val="12"/>
      <color theme="1"/>
      <name val="Segoe UI Variable Small Semilig"/>
    </font>
    <font>
      <sz val="11"/>
      <color theme="1"/>
      <name val="Bahnschrift SemiBold"/>
      <family val="2"/>
    </font>
    <font>
      <sz val="11"/>
      <color theme="1"/>
      <name val="Segoe UI Variable Small Semilig"/>
    </font>
    <font>
      <sz val="10"/>
      <color theme="1"/>
      <name val="Segoe UI Variable Small Semilig"/>
    </font>
    <font>
      <sz val="9"/>
      <color theme="1"/>
      <name val="Segoe UI Variable Small Semilig"/>
    </font>
    <font>
      <i/>
      <sz val="10"/>
      <color theme="1"/>
      <name val="Segoe UI Variable Small Semilig"/>
    </font>
    <font>
      <sz val="12"/>
      <color theme="5" tint="-0.249977111117893"/>
      <name val="Segoe UI Variable Small Semilig"/>
    </font>
    <font>
      <sz val="12"/>
      <color theme="7" tint="-0.249977111117893"/>
      <name val="Segoe UI Variable Small Semilig"/>
    </font>
    <font>
      <i/>
      <sz val="12"/>
      <color theme="8" tint="-0.249977111117893"/>
      <name val="Segoe UI Variable Small Semilig"/>
    </font>
    <font>
      <b/>
      <sz val="11"/>
      <color theme="1"/>
      <name val="Segoe UI"/>
      <family val="2"/>
    </font>
    <font>
      <sz val="11"/>
      <color theme="1"/>
      <name val="Segoe UI"/>
      <family val="2"/>
    </font>
    <font>
      <b/>
      <sz val="12"/>
      <color theme="1"/>
      <name val="Segoe UI"/>
      <family val="2"/>
    </font>
    <font>
      <b/>
      <sz val="11"/>
      <color theme="1"/>
      <name val="Segoe UI Variable Small Semilig"/>
    </font>
    <font>
      <b/>
      <sz val="14"/>
      <name val="Consolas"/>
      <family val="3"/>
    </font>
    <font>
      <sz val="11"/>
      <color theme="1"/>
      <name val="Consolas"/>
      <family val="3"/>
    </font>
    <font>
      <sz val="9"/>
      <color theme="1"/>
      <name val="Consolas"/>
      <family val="3"/>
    </font>
    <font>
      <sz val="14"/>
      <color theme="1"/>
      <name val="Consolas"/>
      <family val="3"/>
    </font>
    <font>
      <b/>
      <sz val="12"/>
      <color theme="1"/>
      <name val="Consolas"/>
      <family val="3"/>
    </font>
    <font>
      <b/>
      <sz val="16"/>
      <color theme="1"/>
      <name val="Consolas"/>
      <family val="3"/>
    </font>
    <font>
      <b/>
      <sz val="14"/>
      <color theme="1"/>
      <name val="Consolas"/>
      <family val="3"/>
    </font>
    <font>
      <b/>
      <sz val="11"/>
      <color rgb="FFFF0000"/>
      <name val="Consolas"/>
      <family val="3"/>
    </font>
    <font>
      <sz val="11"/>
      <color theme="5" tint="-0.499984740745262"/>
      <name val="Bahnschrift Condensed"/>
      <family val="2"/>
    </font>
    <font>
      <sz val="10"/>
      <color theme="1"/>
      <name val="Bahnschrift Condensed"/>
      <family val="2"/>
    </font>
    <font>
      <b/>
      <sz val="10"/>
      <color theme="1"/>
      <name val="Bahnschrift Condensed"/>
      <family val="2"/>
    </font>
    <font>
      <sz val="10"/>
      <color theme="8"/>
      <name val="Bahnschrift Condensed"/>
      <family val="2"/>
    </font>
    <font>
      <i/>
      <sz val="10"/>
      <color theme="1"/>
      <name val="Bahnschrift Condensed"/>
      <family val="2"/>
    </font>
    <font>
      <b/>
      <sz val="12"/>
      <color theme="1"/>
      <name val="Bahnschrift Condensed"/>
      <family val="2"/>
    </font>
    <font>
      <sz val="9"/>
      <color rgb="FF002060"/>
      <name val="Bahnschrift Condensed"/>
      <family val="2"/>
    </font>
    <font>
      <sz val="9"/>
      <color rgb="FFC00000"/>
      <name val="Bahnschrift Condensed"/>
      <family val="2"/>
    </font>
    <font>
      <sz val="9"/>
      <color theme="6"/>
      <name val="Bahnschrift Condensed"/>
      <family val="2"/>
    </font>
    <font>
      <sz val="8"/>
      <color theme="1"/>
      <name val="Bahnschrift Condensed"/>
      <family val="2"/>
    </font>
    <font>
      <sz val="9"/>
      <color theme="1"/>
      <name val="Aptos Narrow"/>
      <family val="2"/>
      <scheme val="minor"/>
    </font>
    <font>
      <b/>
      <sz val="9"/>
      <color theme="1"/>
      <name val="Aptos Narrow"/>
      <family val="2"/>
      <scheme val="minor"/>
    </font>
    <font>
      <b/>
      <sz val="11"/>
      <color theme="1"/>
      <name val="Verdana"/>
      <family val="2"/>
    </font>
    <font>
      <b/>
      <sz val="11"/>
      <color rgb="FF7030A0"/>
      <name val="Verdana"/>
      <family val="2"/>
    </font>
    <font>
      <sz val="10"/>
      <color rgb="FFC00000"/>
      <name val="Bahnschrift Condensed"/>
      <family val="2"/>
    </font>
    <font>
      <sz val="10"/>
      <color theme="5" tint="-0.499984740745262"/>
      <name val="Bahnschrift Condensed"/>
      <family val="2"/>
    </font>
    <font>
      <b/>
      <sz val="11"/>
      <color theme="1"/>
      <name val="Aptos Narrow"/>
      <family val="2"/>
      <scheme val="minor"/>
    </font>
    <font>
      <sz val="8"/>
      <color rgb="FF002060"/>
      <name val="Bahnschrift Condensed"/>
      <family val="2"/>
    </font>
    <font>
      <sz val="10"/>
      <color theme="1"/>
      <name val="Aptos Narrow"/>
      <family val="2"/>
      <scheme val="minor"/>
    </font>
    <font>
      <sz val="11"/>
      <color rgb="FFFF0000"/>
      <name val="Aptos Narrow"/>
      <family val="2"/>
      <scheme val="minor"/>
    </font>
    <font>
      <b/>
      <sz val="14"/>
      <color theme="1"/>
      <name val="Chiller"/>
      <family val="5"/>
    </font>
    <font>
      <b/>
      <sz val="14"/>
      <color theme="1"/>
      <name val="Aptos Narrow"/>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9" tint="0.79998168889431442"/>
        <bgColor indexed="64"/>
      </patternFill>
    </fill>
  </fills>
  <borders count="34">
    <border>
      <left/>
      <right/>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thin">
        <color indexed="64"/>
      </top>
      <bottom/>
      <diagonal/>
    </border>
    <border>
      <left/>
      <right/>
      <top/>
      <bottom style="thin">
        <color indexed="64"/>
      </bottom>
      <diagonal/>
    </border>
    <border>
      <left style="dashDot">
        <color indexed="64"/>
      </left>
      <right style="dashDot">
        <color indexed="64"/>
      </right>
      <top style="dashDot">
        <color indexed="64"/>
      </top>
      <bottom style="dashDot">
        <color indexed="64"/>
      </bottom>
      <diagonal/>
    </border>
    <border>
      <left/>
      <right/>
      <top/>
      <bottom style="dashDot">
        <color indexed="64"/>
      </bottom>
      <diagonal/>
    </border>
    <border>
      <left/>
      <right/>
      <top style="dashDot">
        <color indexed="64"/>
      </top>
      <bottom style="dashDot">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indexed="64"/>
      </top>
      <bottom style="thin">
        <color auto="1"/>
      </bottom>
      <diagonal/>
    </border>
    <border>
      <left style="thin">
        <color auto="1"/>
      </left>
      <right/>
      <top style="thin">
        <color indexed="64"/>
      </top>
      <bottom style="thin">
        <color auto="1"/>
      </bottom>
      <diagonal/>
    </border>
    <border>
      <left style="thin">
        <color indexed="64"/>
      </left>
      <right style="thin">
        <color indexed="64"/>
      </right>
      <top style="thin">
        <color indexed="64"/>
      </top>
      <bottom/>
      <diagonal/>
    </border>
    <border>
      <left style="thin">
        <color auto="1"/>
      </left>
      <right style="thin">
        <color indexed="64"/>
      </right>
      <top/>
      <bottom/>
      <diagonal/>
    </border>
    <border>
      <left/>
      <right style="slantDashDot">
        <color indexed="64"/>
      </right>
      <top/>
      <bottom/>
      <diagonal/>
    </border>
    <border>
      <left style="slantDashDot">
        <color indexed="64"/>
      </left>
      <right/>
      <top style="slantDashDot">
        <color indexed="64"/>
      </top>
      <bottom/>
      <diagonal/>
    </border>
    <border>
      <left/>
      <right style="thin">
        <color auto="1"/>
      </right>
      <top style="slantDashDot">
        <color indexed="64"/>
      </top>
      <bottom/>
      <diagonal/>
    </border>
    <border>
      <left style="thin">
        <color auto="1"/>
      </left>
      <right/>
      <top style="slantDashDot">
        <color indexed="64"/>
      </top>
      <bottom/>
      <diagonal/>
    </border>
    <border>
      <left/>
      <right style="slantDashDot">
        <color indexed="64"/>
      </right>
      <top style="slantDashDot">
        <color indexed="64"/>
      </top>
      <bottom/>
      <diagonal/>
    </border>
    <border>
      <left style="slantDashDot">
        <color indexed="64"/>
      </left>
      <right/>
      <top/>
      <bottom/>
      <diagonal/>
    </border>
    <border>
      <left style="slantDashDot">
        <color indexed="64"/>
      </left>
      <right/>
      <top/>
      <bottom style="thin">
        <color auto="1"/>
      </bottom>
      <diagonal/>
    </border>
    <border>
      <left/>
      <right style="slantDashDot">
        <color indexed="64"/>
      </right>
      <top/>
      <bottom style="thin">
        <color auto="1"/>
      </bottom>
      <diagonal/>
    </border>
    <border>
      <left style="slantDashDot">
        <color indexed="64"/>
      </left>
      <right/>
      <top style="thin">
        <color auto="1"/>
      </top>
      <bottom/>
      <diagonal/>
    </border>
    <border>
      <left/>
      <right style="slantDashDot">
        <color indexed="64"/>
      </right>
      <top style="thin">
        <color auto="1"/>
      </top>
      <bottom/>
      <diagonal/>
    </border>
    <border>
      <left style="slantDashDot">
        <color indexed="64"/>
      </left>
      <right/>
      <top/>
      <bottom style="slantDashDot">
        <color indexed="64"/>
      </bottom>
      <diagonal/>
    </border>
    <border>
      <left/>
      <right style="thin">
        <color auto="1"/>
      </right>
      <top/>
      <bottom style="slantDashDot">
        <color indexed="64"/>
      </bottom>
      <diagonal/>
    </border>
    <border>
      <left style="thin">
        <color auto="1"/>
      </left>
      <right/>
      <top/>
      <bottom style="slantDashDot">
        <color indexed="64"/>
      </bottom>
      <diagonal/>
    </border>
    <border>
      <left/>
      <right/>
      <top/>
      <bottom style="slantDashDot">
        <color indexed="64"/>
      </bottom>
      <diagonal/>
    </border>
    <border>
      <left/>
      <right style="slantDashDot">
        <color indexed="64"/>
      </right>
      <top/>
      <bottom style="slantDashDot">
        <color indexed="64"/>
      </bottom>
      <diagonal/>
    </border>
  </borders>
  <cellStyleXfs count="1">
    <xf numFmtId="0" fontId="0" fillId="0" borderId="0"/>
  </cellStyleXfs>
  <cellXfs count="243">
    <xf numFmtId="0" fontId="0" fillId="0" borderId="0" xfId="0"/>
    <xf numFmtId="0" fontId="8" fillId="0" borderId="0" xfId="0" applyFont="1"/>
    <xf numFmtId="0" fontId="1" fillId="0" borderId="0" xfId="0" applyFont="1" applyAlignment="1">
      <alignment horizontal="center" vertical="top"/>
    </xf>
    <xf numFmtId="0" fontId="8" fillId="0" borderId="0" xfId="0" applyFont="1" applyAlignment="1">
      <alignment horizontal="center"/>
    </xf>
    <xf numFmtId="0" fontId="9" fillId="0" borderId="0" xfId="0" applyFont="1"/>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alignment horizontal="left" vertical="center"/>
    </xf>
    <xf numFmtId="49" fontId="13" fillId="0" borderId="0" xfId="0" applyNumberFormat="1" applyFont="1" applyAlignment="1">
      <alignment horizontal="center" vertical="center"/>
    </xf>
    <xf numFmtId="0" fontId="15" fillId="0" borderId="0" xfId="0" applyFont="1" applyAlignment="1">
      <alignment vertical="center"/>
    </xf>
    <xf numFmtId="0" fontId="16" fillId="0" borderId="0" xfId="0" applyFont="1" applyAlignment="1">
      <alignment horizontal="left" vertical="center"/>
    </xf>
    <xf numFmtId="0" fontId="19" fillId="0" borderId="0" xfId="0" applyFont="1" applyAlignment="1">
      <alignment horizontal="center" vertical="center"/>
    </xf>
    <xf numFmtId="0" fontId="21" fillId="0" borderId="0" xfId="0" applyFont="1" applyAlignment="1">
      <alignment horizontal="left" vertical="center"/>
    </xf>
    <xf numFmtId="0" fontId="20" fillId="0" borderId="0" xfId="0" applyFont="1"/>
    <xf numFmtId="0" fontId="22" fillId="0" borderId="0" xfId="0" applyFont="1" applyAlignment="1">
      <alignment vertical="center"/>
    </xf>
    <xf numFmtId="0" fontId="22" fillId="0" borderId="0" xfId="0" applyFont="1" applyAlignment="1">
      <alignment horizontal="left" vertical="center"/>
    </xf>
    <xf numFmtId="0" fontId="23" fillId="0" borderId="0" xfId="0" applyFont="1" applyAlignment="1">
      <alignment horizontal="left" vertical="center"/>
    </xf>
    <xf numFmtId="0" fontId="24" fillId="0" borderId="0" xfId="0" applyFont="1" applyAlignment="1">
      <alignment horizontal="left" vertical="center"/>
    </xf>
    <xf numFmtId="0" fontId="17" fillId="0" borderId="0" xfId="0" applyFont="1" applyAlignment="1">
      <alignment horizontal="center" vertical="center"/>
    </xf>
    <xf numFmtId="0" fontId="0" fillId="0" borderId="0" xfId="0" applyAlignment="1">
      <alignment horizontal="center" vertical="center"/>
      <extLst>
        <ext xmlns:xfpb="http://schemas.microsoft.com/office/spreadsheetml/2022/featurepropertybag" uri="{C7286773-470A-42A8-94C5-96B5CB345126}">
          <xfpb:xfComplement i="0"/>
        </ext>
      </extLst>
    </xf>
    <xf numFmtId="0" fontId="13" fillId="0" borderId="0" xfId="0" applyFont="1" applyAlignment="1">
      <alignment horizontal="center" vertical="center"/>
    </xf>
    <xf numFmtId="0" fontId="26" fillId="0" borderId="0" xfId="0" applyFont="1"/>
    <xf numFmtId="0" fontId="25" fillId="0" borderId="0" xfId="0" applyFont="1" applyAlignment="1">
      <alignment wrapText="1"/>
    </xf>
    <xf numFmtId="0" fontId="26" fillId="0" borderId="0" xfId="0" applyFont="1" applyAlignment="1">
      <alignment wrapText="1"/>
    </xf>
    <xf numFmtId="0" fontId="25" fillId="0" borderId="0" xfId="0" applyFont="1"/>
    <xf numFmtId="0" fontId="27" fillId="0" borderId="0" xfId="0" applyFont="1"/>
    <xf numFmtId="0" fontId="14" fillId="0" borderId="0" xfId="0" applyFont="1" applyAlignment="1">
      <alignment horizontal="center" vertical="center"/>
    </xf>
    <xf numFmtId="0" fontId="15" fillId="0" borderId="0" xfId="0" applyFont="1" applyAlignment="1">
      <alignment horizontal="center" vertical="center"/>
    </xf>
    <xf numFmtId="0" fontId="12" fillId="0" borderId="0" xfId="0" applyFont="1" applyAlignment="1">
      <alignment horizontal="center" vertical="center"/>
    </xf>
    <xf numFmtId="0" fontId="10" fillId="2" borderId="0" xfId="0" applyFont="1" applyFill="1"/>
    <xf numFmtId="0" fontId="10" fillId="2" borderId="0" xfId="0" applyFont="1" applyFill="1" applyAlignment="1">
      <alignment horizontal="center"/>
    </xf>
    <xf numFmtId="0" fontId="0" fillId="2" borderId="0" xfId="0" applyFill="1"/>
    <xf numFmtId="0" fontId="10" fillId="0" borderId="0" xfId="0" applyFont="1"/>
    <xf numFmtId="0" fontId="12" fillId="0" borderId="0" xfId="0" applyFont="1" applyAlignment="1">
      <alignment vertical="center"/>
    </xf>
    <xf numFmtId="0" fontId="18" fillId="0" borderId="0" xfId="0" applyFont="1"/>
    <xf numFmtId="0" fontId="18" fillId="0" borderId="0" xfId="0" applyFont="1" applyAlignment="1">
      <alignment horizontal="left" vertical="top"/>
    </xf>
    <xf numFmtId="0" fontId="1" fillId="0" borderId="9" xfId="0" applyFont="1" applyBorder="1" applyAlignment="1">
      <alignment vertical="top"/>
    </xf>
    <xf numFmtId="0" fontId="1" fillId="0" borderId="9" xfId="0" applyFont="1" applyBorder="1" applyAlignment="1">
      <alignment horizontal="center" vertical="top"/>
    </xf>
    <xf numFmtId="0" fontId="0" fillId="0" borderId="9" xfId="0" applyBorder="1"/>
    <xf numFmtId="0" fontId="18" fillId="0" borderId="10" xfId="0" applyFont="1" applyBorder="1" applyAlignment="1">
      <alignment horizontal="left" vertical="top"/>
    </xf>
    <xf numFmtId="0" fontId="0" fillId="0" borderId="11" xfId="0" applyBorder="1"/>
    <xf numFmtId="0" fontId="18" fillId="0" borderId="11" xfId="0" applyFont="1" applyBorder="1" applyAlignment="1">
      <alignment horizontal="left" vertical="top"/>
    </xf>
    <xf numFmtId="0" fontId="28" fillId="0" borderId="0" xfId="0" applyFont="1"/>
    <xf numFmtId="0" fontId="29" fillId="0" borderId="0" xfId="0" applyFont="1" applyAlignment="1">
      <alignment horizontal="center" vertical="center" wrapText="1"/>
    </xf>
    <xf numFmtId="0" fontId="30" fillId="0" borderId="0" xfId="0" applyFont="1"/>
    <xf numFmtId="0" fontId="30" fillId="0" borderId="0" xfId="0" applyFont="1" applyAlignment="1">
      <alignment horizontal="center" vertical="center"/>
    </xf>
    <xf numFmtId="0" fontId="30" fillId="0" borderId="0" xfId="0" applyFont="1" applyAlignment="1">
      <alignment vertical="center"/>
    </xf>
    <xf numFmtId="0" fontId="32" fillId="0" borderId="0" xfId="0" applyFont="1" applyAlignment="1">
      <alignment horizontal="center" vertical="center"/>
    </xf>
    <xf numFmtId="0" fontId="34" fillId="0" borderId="0" xfId="0" applyFont="1" applyAlignment="1">
      <alignment horizontal="center" vertical="center"/>
    </xf>
    <xf numFmtId="0" fontId="33"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0" fontId="31" fillId="3" borderId="0" xfId="0" applyFont="1" applyFill="1" applyAlignment="1">
      <alignment horizontal="center" vertical="center"/>
    </xf>
    <xf numFmtId="0" fontId="1" fillId="0" borderId="0" xfId="0" applyFont="1" applyAlignment="1">
      <alignment horizontal="center" vertical="center"/>
    </xf>
    <xf numFmtId="0" fontId="5" fillId="0" borderId="0" xfId="0" applyFont="1" applyAlignment="1">
      <alignment horizontal="left" vertical="center"/>
    </xf>
    <xf numFmtId="0" fontId="4" fillId="0" borderId="0" xfId="0" applyFont="1" applyAlignment="1">
      <alignment horizontal="left" vertical="center"/>
    </xf>
    <xf numFmtId="0" fontId="1" fillId="0" borderId="0" xfId="0" applyFont="1" applyAlignment="1">
      <alignment vertical="center"/>
    </xf>
    <xf numFmtId="0" fontId="6" fillId="0" borderId="0" xfId="0" applyFont="1" applyAlignment="1">
      <alignment vertical="center"/>
    </xf>
    <xf numFmtId="0" fontId="6" fillId="0" borderId="0" xfId="0" applyFont="1" applyAlignment="1">
      <alignment horizontal="right" vertical="center"/>
    </xf>
    <xf numFmtId="0" fontId="38" fillId="0" borderId="1" xfId="0" applyFont="1" applyBorder="1" applyAlignment="1">
      <alignment vertical="center"/>
    </xf>
    <xf numFmtId="0" fontId="1" fillId="0" borderId="8" xfId="0" applyFont="1" applyBorder="1" applyAlignment="1">
      <alignment vertical="center"/>
    </xf>
    <xf numFmtId="0" fontId="1" fillId="0" borderId="3" xfId="0" applyFont="1" applyBorder="1" applyAlignment="1">
      <alignment vertical="center"/>
    </xf>
    <xf numFmtId="0" fontId="38" fillId="0" borderId="0" xfId="0" applyFont="1" applyAlignment="1">
      <alignment vertical="center"/>
    </xf>
    <xf numFmtId="0" fontId="1" fillId="0" borderId="8" xfId="0" applyFont="1" applyBorder="1" applyAlignment="1">
      <alignment horizontal="left" vertical="center"/>
    </xf>
    <xf numFmtId="49" fontId="1" fillId="0" borderId="8" xfId="0" applyNumberFormat="1" applyFont="1" applyBorder="1" applyAlignment="1">
      <alignment horizontal="center" vertical="center"/>
    </xf>
    <xf numFmtId="0" fontId="1" fillId="0" borderId="13" xfId="0" applyFont="1" applyBorder="1" applyAlignment="1">
      <alignment vertical="center"/>
    </xf>
    <xf numFmtId="0" fontId="1" fillId="0" borderId="12" xfId="0" applyFont="1" applyBorder="1" applyAlignment="1">
      <alignment vertical="center"/>
    </xf>
    <xf numFmtId="0" fontId="1" fillId="0" borderId="13" xfId="0" applyFont="1" applyBorder="1" applyAlignment="1">
      <alignment horizontal="left" vertical="center"/>
    </xf>
    <xf numFmtId="0" fontId="1" fillId="0" borderId="13" xfId="0" applyFont="1" applyBorder="1" applyAlignment="1">
      <alignment horizontal="center" vertical="center"/>
    </xf>
    <xf numFmtId="49" fontId="1" fillId="0" borderId="13" xfId="0" applyNumberFormat="1" applyFont="1" applyBorder="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center"/>
    </xf>
    <xf numFmtId="0" fontId="1" fillId="0" borderId="2" xfId="0" applyFont="1" applyBorder="1" applyAlignment="1">
      <alignment vertical="center"/>
    </xf>
    <xf numFmtId="0" fontId="5" fillId="0" borderId="0" xfId="0" applyFont="1" applyAlignment="1">
      <alignment horizontal="center" vertical="center"/>
    </xf>
    <xf numFmtId="0" fontId="1" fillId="0" borderId="1" xfId="0" applyFont="1" applyBorder="1" applyAlignment="1">
      <alignment vertical="center"/>
    </xf>
    <xf numFmtId="0" fontId="1" fillId="0" borderId="4" xfId="0" applyFont="1" applyBorder="1" applyAlignment="1">
      <alignment vertical="center"/>
    </xf>
    <xf numFmtId="0" fontId="1" fillId="0" borderId="8" xfId="0" applyFont="1" applyBorder="1" applyAlignment="1">
      <alignment horizontal="center" vertical="center"/>
    </xf>
    <xf numFmtId="0" fontId="38" fillId="0" borderId="0" xfId="0" applyFont="1" applyAlignment="1">
      <alignment horizontal="left" vertical="center"/>
    </xf>
    <xf numFmtId="0" fontId="5" fillId="0" borderId="0" xfId="0" applyFont="1" applyAlignment="1">
      <alignment vertical="center"/>
    </xf>
    <xf numFmtId="0" fontId="5" fillId="0" borderId="8" xfId="0" applyFont="1" applyBorder="1" applyAlignment="1">
      <alignment vertical="center"/>
    </xf>
    <xf numFmtId="0" fontId="5" fillId="0" borderId="13" xfId="0" applyFont="1" applyBorder="1" applyAlignment="1">
      <alignment vertical="center"/>
    </xf>
    <xf numFmtId="0" fontId="4" fillId="0" borderId="0" xfId="0" applyFont="1" applyAlignment="1">
      <alignment horizontal="center"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3" fillId="0" borderId="0" xfId="0" applyFont="1" applyAlignment="1">
      <alignment horizontal="left" vertical="center"/>
    </xf>
    <xf numFmtId="0" fontId="1" fillId="0" borderId="4" xfId="0" applyFont="1" applyBorder="1" applyAlignment="1">
      <alignment horizontal="center" vertical="center"/>
    </xf>
    <xf numFmtId="0" fontId="38" fillId="0" borderId="0" xfId="0" applyFont="1" applyAlignment="1">
      <alignment horizontal="center" vertical="center"/>
    </xf>
    <xf numFmtId="0" fontId="1" fillId="0" borderId="12" xfId="0" applyFont="1" applyBorder="1" applyAlignment="1">
      <alignment horizontal="center" vertical="center"/>
    </xf>
    <xf numFmtId="0" fontId="1" fillId="0" borderId="16" xfId="0" applyFont="1" applyBorder="1" applyAlignment="1">
      <alignment vertical="center"/>
    </xf>
    <xf numFmtId="0" fontId="1" fillId="0" borderId="17" xfId="0" applyFont="1" applyBorder="1" applyAlignment="1">
      <alignment vertical="center"/>
    </xf>
    <xf numFmtId="0" fontId="1" fillId="0" borderId="15" xfId="0" applyFont="1" applyBorder="1" applyAlignment="1">
      <alignment vertical="center"/>
    </xf>
    <xf numFmtId="0" fontId="1" fillId="0" borderId="18" xfId="0" applyFont="1" applyBorder="1" applyAlignment="1">
      <alignment vertical="center"/>
    </xf>
    <xf numFmtId="0" fontId="1" fillId="0" borderId="14" xfId="0" applyFont="1" applyBorder="1" applyAlignment="1">
      <alignment vertical="center"/>
    </xf>
    <xf numFmtId="0" fontId="38" fillId="0" borderId="13" xfId="0" applyFont="1" applyBorder="1" applyAlignment="1">
      <alignment vertical="center"/>
    </xf>
    <xf numFmtId="0" fontId="38" fillId="0" borderId="8" xfId="0" applyFont="1" applyBorder="1" applyAlignment="1">
      <alignment vertical="center"/>
    </xf>
    <xf numFmtId="0" fontId="39" fillId="0" borderId="0" xfId="0" applyFont="1" applyAlignment="1">
      <alignment horizontal="center" vertical="center"/>
    </xf>
    <xf numFmtId="0" fontId="39" fillId="0" borderId="0" xfId="0" applyFont="1" applyAlignment="1">
      <alignment vertical="center"/>
    </xf>
    <xf numFmtId="0" fontId="39" fillId="0" borderId="0" xfId="0" applyFont="1" applyAlignment="1">
      <alignment horizontal="right" vertical="center"/>
    </xf>
    <xf numFmtId="0" fontId="38" fillId="0" borderId="8" xfId="0" applyFont="1" applyBorder="1" applyAlignment="1">
      <alignment horizontal="left" vertical="center"/>
    </xf>
    <xf numFmtId="0" fontId="5" fillId="0" borderId="8" xfId="0" applyFont="1" applyBorder="1" applyAlignment="1">
      <alignment horizontal="left" vertical="center"/>
    </xf>
    <xf numFmtId="0" fontId="6" fillId="0" borderId="8" xfId="0" applyFont="1" applyBorder="1" applyAlignment="1">
      <alignment horizontal="left" vertical="center"/>
    </xf>
    <xf numFmtId="0" fontId="38" fillId="0" borderId="13" xfId="0" applyFont="1" applyBorder="1" applyAlignment="1">
      <alignment horizontal="left" vertical="center"/>
    </xf>
    <xf numFmtId="0" fontId="5" fillId="0" borderId="13" xfId="0" applyFont="1" applyBorder="1" applyAlignment="1">
      <alignment horizontal="left" vertical="center"/>
    </xf>
    <xf numFmtId="0" fontId="6" fillId="0" borderId="13" xfId="0" applyFont="1" applyBorder="1" applyAlignment="1">
      <alignment horizontal="left" vertical="center"/>
    </xf>
    <xf numFmtId="0" fontId="38" fillId="0" borderId="1" xfId="0" applyFont="1" applyBorder="1" applyAlignment="1">
      <alignment horizontal="left" vertical="center"/>
    </xf>
    <xf numFmtId="0" fontId="7" fillId="0" borderId="0" xfId="0" applyFont="1" applyAlignment="1">
      <alignment vertical="center"/>
    </xf>
    <xf numFmtId="0" fontId="39" fillId="0" borderId="8" xfId="0" applyFont="1" applyBorder="1" applyAlignment="1">
      <alignment horizontal="center" vertical="center"/>
    </xf>
    <xf numFmtId="0" fontId="39" fillId="0" borderId="8" xfId="0" applyFont="1" applyBorder="1" applyAlignment="1">
      <alignment vertical="center"/>
    </xf>
    <xf numFmtId="0" fontId="5" fillId="0" borderId="0" xfId="0" applyFont="1" applyAlignment="1">
      <alignment horizontal="right" vertical="center"/>
    </xf>
    <xf numFmtId="0" fontId="38" fillId="0" borderId="7" xfId="0" applyFont="1" applyBorder="1" applyAlignment="1">
      <alignment vertical="center"/>
    </xf>
    <xf numFmtId="0" fontId="38" fillId="0" borderId="5" xfId="0" applyFont="1" applyBorder="1" applyAlignment="1">
      <alignment horizontal="center" vertical="center"/>
    </xf>
    <xf numFmtId="0" fontId="38" fillId="0" borderId="2" xfId="0" applyFont="1" applyBorder="1" applyAlignment="1">
      <alignment horizontal="center" vertical="center"/>
    </xf>
    <xf numFmtId="0" fontId="38" fillId="0" borderId="3" xfId="0" applyFont="1" applyBorder="1" applyAlignment="1">
      <alignment horizontal="center" vertical="center"/>
    </xf>
    <xf numFmtId="0" fontId="40" fillId="0" borderId="6" xfId="0" applyFont="1" applyBorder="1" applyAlignment="1">
      <alignment vertical="center"/>
    </xf>
    <xf numFmtId="0" fontId="40" fillId="0" borderId="1" xfId="0" applyFont="1" applyBorder="1" applyAlignment="1">
      <alignment vertical="center"/>
    </xf>
    <xf numFmtId="0" fontId="40" fillId="0" borderId="4" xfId="0" applyFont="1" applyBorder="1" applyAlignment="1">
      <alignment vertical="center"/>
    </xf>
    <xf numFmtId="0" fontId="5" fillId="0" borderId="6" xfId="0" applyFont="1" applyBorder="1" applyAlignment="1">
      <alignment vertical="center"/>
    </xf>
    <xf numFmtId="0" fontId="5" fillId="0" borderId="1" xfId="0" applyFont="1" applyBorder="1" applyAlignment="1">
      <alignment vertical="center"/>
    </xf>
    <xf numFmtId="0" fontId="5" fillId="0" borderId="4" xfId="0" applyFont="1" applyBorder="1" applyAlignment="1">
      <alignment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7" xfId="0" applyFont="1" applyBorder="1" applyAlignment="1">
      <alignment vertical="center"/>
    </xf>
    <xf numFmtId="0" fontId="5" fillId="0" borderId="8" xfId="0" applyFont="1" applyBorder="1" applyAlignment="1">
      <alignment horizontal="right" vertical="center"/>
    </xf>
    <xf numFmtId="0" fontId="3" fillId="0" borderId="7" xfId="0" applyFont="1" applyBorder="1" applyAlignment="1">
      <alignment horizontal="center" vertical="center"/>
    </xf>
    <xf numFmtId="0" fontId="1" fillId="0" borderId="7" xfId="0" applyFont="1" applyBorder="1" applyAlignment="1">
      <alignment horizontal="center" vertical="center"/>
    </xf>
    <xf numFmtId="0" fontId="7" fillId="0" borderId="0" xfId="0" applyFont="1" applyAlignment="1">
      <alignment horizontal="left" vertical="center"/>
    </xf>
    <xf numFmtId="0" fontId="38" fillId="0" borderId="8" xfId="0" applyFont="1" applyBorder="1" applyAlignment="1">
      <alignment horizontal="center" vertical="center"/>
    </xf>
    <xf numFmtId="0" fontId="38" fillId="0" borderId="13" xfId="0" applyFont="1" applyBorder="1" applyAlignment="1">
      <alignment horizontal="center" vertical="center"/>
    </xf>
    <xf numFmtId="0" fontId="38" fillId="0" borderId="3" xfId="0" applyFont="1" applyBorder="1" applyAlignment="1">
      <alignment vertical="center"/>
    </xf>
    <xf numFmtId="0" fontId="38" fillId="0" borderId="12" xfId="0" applyFont="1" applyBorder="1" applyAlignment="1">
      <alignment vertical="center"/>
    </xf>
    <xf numFmtId="0" fontId="37" fillId="0" borderId="1" xfId="0" applyFont="1" applyBorder="1" applyAlignment="1">
      <alignment vertical="center"/>
    </xf>
    <xf numFmtId="0" fontId="39" fillId="0" borderId="0" xfId="0" applyFont="1" applyAlignment="1">
      <alignment horizontal="left" vertical="center"/>
    </xf>
    <xf numFmtId="0" fontId="1" fillId="0" borderId="7" xfId="0" applyFont="1" applyBorder="1" applyAlignment="1">
      <alignment horizontal="left" vertical="center"/>
    </xf>
    <xf numFmtId="0" fontId="5" fillId="0" borderId="7" xfId="0" applyFont="1" applyBorder="1" applyAlignment="1">
      <alignment horizontal="left" vertical="center"/>
    </xf>
    <xf numFmtId="0" fontId="6" fillId="0" borderId="7" xfId="0" applyFont="1" applyBorder="1" applyAlignment="1">
      <alignment horizontal="left" vertical="center"/>
    </xf>
    <xf numFmtId="0" fontId="39" fillId="0" borderId="7" xfId="0" applyFont="1" applyBorder="1" applyAlignment="1">
      <alignment horizontal="right" vertical="center"/>
    </xf>
    <xf numFmtId="0" fontId="38" fillId="0" borderId="16" xfId="0" applyFont="1" applyBorder="1" applyAlignment="1">
      <alignment vertical="center"/>
    </xf>
    <xf numFmtId="0" fontId="1" fillId="0" borderId="13" xfId="0" quotePrefix="1" applyFont="1" applyBorder="1" applyAlignment="1">
      <alignment vertical="center"/>
    </xf>
    <xf numFmtId="0" fontId="5" fillId="0" borderId="8" xfId="0" applyFont="1" applyBorder="1" applyAlignment="1">
      <alignment horizontal="center" vertical="center"/>
    </xf>
    <xf numFmtId="0" fontId="5" fillId="0" borderId="8" xfId="0" quotePrefix="1" applyFont="1" applyBorder="1" applyAlignment="1">
      <alignment horizontal="center" vertical="center"/>
    </xf>
    <xf numFmtId="0" fontId="5" fillId="0" borderId="13" xfId="0" applyFont="1" applyBorder="1" applyAlignment="1">
      <alignment horizontal="center" vertical="center"/>
    </xf>
    <xf numFmtId="0" fontId="38" fillId="0" borderId="8" xfId="0" quotePrefix="1" applyFont="1" applyBorder="1" applyAlignment="1">
      <alignment vertical="center"/>
    </xf>
    <xf numFmtId="0" fontId="41" fillId="0" borderId="8" xfId="0" applyFont="1" applyBorder="1" applyAlignment="1">
      <alignment horizontal="left" vertical="center"/>
    </xf>
    <xf numFmtId="0" fontId="42" fillId="0" borderId="0" xfId="0" applyFont="1" applyAlignment="1">
      <alignment horizontal="left" vertical="center"/>
    </xf>
    <xf numFmtId="49" fontId="1" fillId="0" borderId="0" xfId="0" applyNumberFormat="1" applyFont="1" applyAlignment="1">
      <alignment horizontal="center" vertical="center"/>
    </xf>
    <xf numFmtId="0" fontId="1" fillId="0" borderId="0" xfId="0" applyFont="1" applyAlignment="1">
      <alignment horizontal="left" vertical="center"/>
    </xf>
    <xf numFmtId="0" fontId="6" fillId="0" borderId="0" xfId="0" applyFont="1" applyAlignment="1">
      <alignment horizontal="left" vertical="center"/>
    </xf>
    <xf numFmtId="0" fontId="43" fillId="0" borderId="0" xfId="0" applyFont="1" applyAlignment="1">
      <alignment vertical="center"/>
    </xf>
    <xf numFmtId="0" fontId="44" fillId="0" borderId="0" xfId="0" applyFont="1" applyAlignment="1">
      <alignment horizontal="left" vertical="center"/>
    </xf>
    <xf numFmtId="0" fontId="45" fillId="0" borderId="0" xfId="0" applyFont="1" applyAlignment="1">
      <alignment vertical="center"/>
    </xf>
    <xf numFmtId="0" fontId="3" fillId="0" borderId="13" xfId="0" applyFont="1" applyBorder="1" applyAlignment="1">
      <alignment vertical="center"/>
    </xf>
    <xf numFmtId="0" fontId="3" fillId="0" borderId="13" xfId="0" applyFont="1" applyBorder="1" applyAlignment="1">
      <alignment horizontal="center" vertical="center"/>
    </xf>
    <xf numFmtId="0" fontId="1" fillId="0" borderId="0" xfId="0" applyFont="1" applyAlignment="1">
      <alignment vertical="center"/>
      <extLst>
        <ext xmlns:xfpb="http://schemas.microsoft.com/office/spreadsheetml/2022/featurepropertybag" uri="{C7286773-470A-42A8-94C5-96B5CB345126}">
          <xfpb:xfComplement i="0"/>
        </ext>
      </extLst>
    </xf>
    <xf numFmtId="0" fontId="1" fillId="0" borderId="0" xfId="0" applyFont="1" applyAlignment="1">
      <alignment horizontal="center" vertical="center"/>
      <extLst>
        <ext xmlns:xfpb="http://schemas.microsoft.com/office/spreadsheetml/2022/featurepropertybag" uri="{C7286773-470A-42A8-94C5-96B5CB345126}">
          <xfpb:xfComplement i="0"/>
        </ext>
      </extLst>
    </xf>
    <xf numFmtId="0" fontId="3" fillId="0" borderId="0" xfId="0" applyFont="1" applyAlignment="1">
      <alignment vertical="center"/>
      <extLst>
        <ext xmlns:xfpb="http://schemas.microsoft.com/office/spreadsheetml/2022/featurepropertybag" uri="{C7286773-470A-42A8-94C5-96B5CB345126}">
          <xfpb:xfComplement i="0"/>
        </ext>
      </extLst>
    </xf>
    <xf numFmtId="0" fontId="46"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51" fillId="0" borderId="0" xfId="0" applyFont="1" applyAlignment="1">
      <alignment horizontal="left" vertical="center"/>
    </xf>
    <xf numFmtId="0" fontId="52" fillId="0" borderId="0" xfId="0" applyFont="1" applyAlignment="1">
      <alignment vertical="center"/>
    </xf>
    <xf numFmtId="0" fontId="49" fillId="0" borderId="0" xfId="0" applyFont="1" applyAlignment="1">
      <alignment horizontal="center" vertical="center"/>
    </xf>
    <xf numFmtId="0" fontId="5" fillId="0" borderId="13" xfId="0" quotePrefix="1" applyFont="1" applyBorder="1" applyAlignment="1">
      <alignment horizontal="left" vertical="center"/>
    </xf>
    <xf numFmtId="0" fontId="49" fillId="0" borderId="13" xfId="0" applyFont="1" applyBorder="1" applyAlignment="1">
      <alignment horizontal="center" vertical="center"/>
    </xf>
    <xf numFmtId="0" fontId="46" fillId="0" borderId="0" xfId="0" applyFont="1" applyAlignment="1">
      <alignment horizontal="right" vertical="center"/>
    </xf>
    <xf numFmtId="0" fontId="3" fillId="0" borderId="8" xfId="0" applyFont="1" applyBorder="1" applyAlignment="1">
      <alignment vertical="center"/>
    </xf>
    <xf numFmtId="0" fontId="46" fillId="0" borderId="0" xfId="0" applyFont="1" applyAlignment="1">
      <alignment horizontal="center" vertical="center"/>
    </xf>
    <xf numFmtId="0" fontId="41" fillId="0" borderId="8" xfId="0" applyFont="1" applyBorder="1" applyAlignment="1">
      <alignment horizontal="right" vertical="center"/>
    </xf>
    <xf numFmtId="0" fontId="54" fillId="0" borderId="0" xfId="0" applyFont="1" applyAlignment="1">
      <alignment vertical="center"/>
    </xf>
    <xf numFmtId="0" fontId="5" fillId="0" borderId="0" xfId="0" quotePrefix="1" applyFont="1" applyAlignment="1">
      <alignment vertical="center"/>
    </xf>
    <xf numFmtId="0" fontId="0" fillId="0" borderId="0" xfId="0" applyAlignment="1">
      <alignment horizontal="left" vertical="center" wrapText="1"/>
    </xf>
    <xf numFmtId="0" fontId="53" fillId="0" borderId="7" xfId="0" applyFont="1" applyBorder="1"/>
    <xf numFmtId="0" fontId="53" fillId="0" borderId="7" xfId="0" applyFont="1" applyBorder="1" applyAlignment="1">
      <alignment horizontal="center"/>
    </xf>
    <xf numFmtId="0" fontId="55" fillId="0" borderId="0" xfId="0" applyFont="1"/>
    <xf numFmtId="0" fontId="55" fillId="0" borderId="0" xfId="0" applyFont="1" applyAlignment="1">
      <alignment horizontal="center"/>
    </xf>
    <xf numFmtId="0" fontId="55" fillId="0" borderId="0" xfId="0" applyFont="1" applyAlignment="1">
      <alignment horizontal="left" vertical="center" wrapText="1"/>
    </xf>
    <xf numFmtId="0" fontId="55" fillId="0" borderId="0" xfId="0" applyFont="1" applyAlignment="1">
      <alignment horizontal="left" vertical="center"/>
    </xf>
    <xf numFmtId="0" fontId="55" fillId="0" borderId="0" xfId="0" applyFont="1" applyAlignment="1">
      <alignment horizontal="center" vertical="center"/>
    </xf>
    <xf numFmtId="0" fontId="53" fillId="0" borderId="15" xfId="0" applyFont="1" applyBorder="1" applyAlignment="1">
      <alignment horizontal="center" vertical="top"/>
    </xf>
    <xf numFmtId="0" fontId="47" fillId="0" borderId="0" xfId="0" applyFont="1"/>
    <xf numFmtId="0" fontId="57" fillId="0" borderId="4" xfId="0" applyFont="1" applyBorder="1"/>
    <xf numFmtId="0" fontId="57" fillId="0" borderId="2" xfId="0" applyFont="1" applyBorder="1"/>
    <xf numFmtId="0" fontId="57" fillId="0" borderId="3" xfId="0" applyFont="1" applyBorder="1"/>
    <xf numFmtId="0" fontId="57" fillId="0" borderId="8" xfId="0" applyFont="1" applyBorder="1"/>
    <xf numFmtId="0" fontId="58" fillId="0" borderId="2" xfId="0" applyFont="1" applyBorder="1"/>
    <xf numFmtId="0" fontId="53" fillId="0" borderId="0" xfId="0" applyFont="1" applyAlignment="1">
      <alignment horizontal="center" vertical="center"/>
    </xf>
    <xf numFmtId="0" fontId="53" fillId="0" borderId="0" xfId="0" applyFont="1" applyAlignment="1">
      <alignment vertical="center"/>
    </xf>
    <xf numFmtId="164" fontId="0" fillId="0" borderId="0" xfId="0" applyNumberFormat="1" applyAlignment="1">
      <alignment vertical="center"/>
    </xf>
    <xf numFmtId="164" fontId="56" fillId="0" borderId="0" xfId="0" applyNumberFormat="1" applyFont="1" applyAlignment="1">
      <alignment vertical="center"/>
    </xf>
    <xf numFmtId="0" fontId="56" fillId="0" borderId="0" xfId="0" applyFont="1" applyAlignment="1">
      <alignment horizontal="center" vertical="center"/>
    </xf>
    <xf numFmtId="0" fontId="57" fillId="0" borderId="24" xfId="0" applyFont="1" applyBorder="1"/>
    <xf numFmtId="0" fontId="57" fillId="0" borderId="0" xfId="0" applyFont="1"/>
    <xf numFmtId="0" fontId="57" fillId="0" borderId="19" xfId="0" applyFont="1" applyBorder="1"/>
    <xf numFmtId="0" fontId="57" fillId="0" borderId="25" xfId="0" applyFont="1" applyBorder="1"/>
    <xf numFmtId="0" fontId="57" fillId="0" borderId="26" xfId="0" applyFont="1" applyBorder="1"/>
    <xf numFmtId="0" fontId="58" fillId="0" borderId="24" xfId="0" applyFont="1" applyBorder="1"/>
    <xf numFmtId="0" fontId="58" fillId="0" borderId="0" xfId="0" applyFont="1"/>
    <xf numFmtId="0" fontId="58" fillId="0" borderId="19" xfId="0" applyFont="1" applyBorder="1"/>
    <xf numFmtId="0" fontId="58" fillId="0" borderId="29" xfId="0" applyFont="1" applyBorder="1"/>
    <xf numFmtId="0" fontId="58" fillId="0" borderId="30" xfId="0" applyFont="1" applyBorder="1"/>
    <xf numFmtId="0" fontId="58" fillId="0" borderId="31" xfId="0" applyFont="1" applyBorder="1"/>
    <xf numFmtId="0" fontId="58" fillId="0" borderId="32" xfId="0" applyFont="1" applyBorder="1"/>
    <xf numFmtId="0" fontId="58" fillId="0" borderId="33" xfId="0" applyFont="1" applyBorder="1"/>
    <xf numFmtId="0" fontId="7" fillId="0" borderId="8" xfId="0" applyFont="1" applyBorder="1" applyAlignment="1">
      <alignment horizontal="right" vertical="center"/>
    </xf>
    <xf numFmtId="0" fontId="45" fillId="0" borderId="7" xfId="0" applyFont="1" applyBorder="1" applyAlignment="1">
      <alignment vertical="center"/>
    </xf>
    <xf numFmtId="0" fontId="1" fillId="0" borderId="13" xfId="0" applyFont="1" applyBorder="1" applyAlignment="1">
      <alignment horizontal="right" vertical="center"/>
    </xf>
    <xf numFmtId="0" fontId="1" fillId="0" borderId="0" xfId="0" applyFont="1" applyAlignment="1">
      <alignment horizontal="right" vertical="center"/>
    </xf>
    <xf numFmtId="14" fontId="1" fillId="0" borderId="13" xfId="0" applyNumberFormat="1" applyFont="1" applyBorder="1" applyAlignment="1">
      <alignment horizontal="right" vertical="center"/>
    </xf>
    <xf numFmtId="0" fontId="44" fillId="0" borderId="13" xfId="0" applyFont="1" applyBorder="1" applyAlignment="1">
      <alignment horizontal="left" vertical="center"/>
    </xf>
    <xf numFmtId="0" fontId="7" fillId="0" borderId="0" xfId="0" applyFont="1" applyAlignment="1">
      <alignment horizontal="right" vertical="center"/>
    </xf>
    <xf numFmtId="0" fontId="38" fillId="0" borderId="0" xfId="0" applyFont="1" applyAlignment="1">
      <alignment horizontal="left" vertical="center" wrapText="1"/>
    </xf>
    <xf numFmtId="0" fontId="1" fillId="0" borderId="0" xfId="0" applyFont="1" applyAlignment="1">
      <alignment horizontal="left" vertical="center" wrapText="1"/>
    </xf>
    <xf numFmtId="164" fontId="57" fillId="0" borderId="27" xfId="0" applyNumberFormat="1" applyFont="1" applyBorder="1" applyAlignment="1">
      <alignment horizontal="center"/>
    </xf>
    <xf numFmtId="164" fontId="57" fillId="0" borderId="5" xfId="0" applyNumberFormat="1" applyFont="1" applyBorder="1" applyAlignment="1">
      <alignment horizontal="center"/>
    </xf>
    <xf numFmtId="164" fontId="57" fillId="0" borderId="6" xfId="0" applyNumberFormat="1" applyFont="1" applyBorder="1" applyAlignment="1">
      <alignment horizontal="center"/>
    </xf>
    <xf numFmtId="164" fontId="57" fillId="0" borderId="28" xfId="0" applyNumberFormat="1" applyFont="1" applyBorder="1" applyAlignment="1">
      <alignment horizontal="center"/>
    </xf>
    <xf numFmtId="0" fontId="53" fillId="0" borderId="0" xfId="0" applyFont="1" applyAlignment="1">
      <alignment horizontal="center" vertical="center"/>
    </xf>
    <xf numFmtId="164" fontId="57" fillId="0" borderId="20" xfId="0" applyNumberFormat="1" applyFont="1" applyBorder="1" applyAlignment="1">
      <alignment horizontal="center"/>
    </xf>
    <xf numFmtId="164" fontId="57" fillId="0" borderId="21" xfId="0" applyNumberFormat="1" applyFont="1" applyBorder="1" applyAlignment="1">
      <alignment horizontal="center"/>
    </xf>
    <xf numFmtId="164" fontId="57" fillId="0" borderId="22" xfId="0" applyNumberFormat="1" applyFont="1" applyBorder="1" applyAlignment="1">
      <alignment horizontal="center"/>
    </xf>
    <xf numFmtId="164" fontId="57" fillId="0" borderId="23" xfId="0" applyNumberFormat="1" applyFont="1" applyBorder="1" applyAlignment="1">
      <alignment horizontal="center"/>
    </xf>
    <xf numFmtId="0" fontId="19" fillId="0" borderId="0" xfId="0" applyFont="1" applyAlignment="1">
      <alignment horizontal="left" vertical="center" wrapText="1"/>
    </xf>
    <xf numFmtId="0" fontId="12" fillId="0" borderId="0" xfId="0" applyFont="1" applyAlignment="1">
      <alignment horizontal="center" vertical="center"/>
    </xf>
    <xf numFmtId="0" fontId="35" fillId="0" borderId="0" xfId="0" applyFont="1" applyAlignment="1">
      <alignment vertical="center"/>
    </xf>
    <xf numFmtId="0" fontId="5" fillId="0" borderId="0" xfId="0" quotePrefix="1" applyFont="1" applyAlignment="1">
      <alignment horizontal="left" vertical="center"/>
    </xf>
    <xf numFmtId="0" fontId="44" fillId="0" borderId="8" xfId="0" applyFont="1" applyBorder="1" applyAlignment="1">
      <alignment horizontal="left" vertical="center"/>
    </xf>
    <xf numFmtId="0" fontId="38" fillId="0" borderId="0" xfId="0" applyFont="1" applyBorder="1" applyAlignment="1">
      <alignment vertical="center"/>
    </xf>
    <xf numFmtId="0" fontId="1" fillId="0" borderId="0" xfId="0" applyFont="1" applyBorder="1" applyAlignment="1">
      <alignment vertical="center"/>
    </xf>
    <xf numFmtId="0" fontId="1" fillId="0" borderId="0" xfId="0" applyFont="1" applyBorder="1" applyAlignment="1">
      <alignment horizontal="center" vertical="center"/>
    </xf>
    <xf numFmtId="14" fontId="1" fillId="0" borderId="0" xfId="0" applyNumberFormat="1" applyFont="1" applyAlignment="1">
      <alignment horizontal="right" vertical="center"/>
    </xf>
    <xf numFmtId="0" fontId="5" fillId="0" borderId="13" xfId="0" applyFont="1" applyBorder="1" applyAlignment="1">
      <alignment horizontal="right" vertical="center"/>
    </xf>
    <xf numFmtId="0" fontId="5" fillId="0" borderId="0" xfId="0" applyFont="1" applyAlignment="1">
      <alignment horizontal="left" vertical="center" wrapText="1"/>
    </xf>
    <xf numFmtId="0" fontId="46" fillId="0" borderId="13" xfId="0" applyFont="1" applyBorder="1" applyAlignment="1">
      <alignment vertical="center"/>
    </xf>
    <xf numFmtId="0" fontId="46" fillId="0" borderId="0" xfId="0" applyFont="1" applyAlignment="1">
      <alignment vertical="center"/>
    </xf>
    <xf numFmtId="0" fontId="44" fillId="0" borderId="0" xfId="0" applyFont="1" applyBorder="1" applyAlignment="1">
      <alignment horizontal="left" vertical="center"/>
    </xf>
    <xf numFmtId="0" fontId="5" fillId="0" borderId="0" xfId="0" applyFont="1" applyBorder="1" applyAlignment="1">
      <alignment vertical="center"/>
    </xf>
    <xf numFmtId="0" fontId="51" fillId="0" borderId="13" xfId="0" applyFont="1" applyBorder="1" applyAlignment="1">
      <alignment horizontal="left" vertical="center"/>
    </xf>
  </cellXfs>
  <cellStyles count="1">
    <cellStyle name="Normale" xfId="0" builtinId="0"/>
  </cellStyles>
  <dxfs count="8">
    <dxf>
      <font>
        <color rgb="FF9C0006"/>
      </font>
      <fill>
        <patternFill>
          <bgColor rgb="FFFFC7CE"/>
        </patternFill>
      </fill>
    </dxf>
    <dxf>
      <font>
        <color theme="0"/>
      </font>
      <fill>
        <patternFill>
          <bgColor theme="9" tint="-0.499984740745262"/>
        </patternFill>
      </fill>
    </dxf>
    <dxf>
      <font>
        <color rgb="FF9C5700"/>
      </font>
      <fill>
        <patternFill>
          <bgColor rgb="FFFFEB9C"/>
        </patternFill>
      </fill>
    </dxf>
    <dxf>
      <font>
        <color theme="0"/>
      </font>
      <fill>
        <patternFill>
          <bgColor theme="9" tint="-0.24994659260841701"/>
        </patternFill>
      </fill>
    </dxf>
    <dxf>
      <font>
        <color theme="1"/>
      </font>
      <fill>
        <patternFill>
          <bgColor theme="9" tint="0.39994506668294322"/>
        </patternFill>
      </fill>
    </dxf>
    <dxf>
      <font>
        <color theme="1"/>
      </font>
      <fill>
        <patternFill>
          <bgColor theme="9" tint="0.59996337778862885"/>
        </patternFill>
      </fill>
    </dxf>
    <dxf>
      <font>
        <color theme="1"/>
      </font>
      <fill>
        <patternFill>
          <bgColor theme="9" tint="0.79998168889431442"/>
        </patternFill>
      </fill>
    </dxf>
    <dxf>
      <font>
        <b/>
        <i val="0"/>
        <color theme="1"/>
      </font>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image" Target="../media/image10.svg"/><Relationship Id="rId13" Type="http://schemas.openxmlformats.org/officeDocument/2006/relationships/image" Target="../media/image15.png"/><Relationship Id="rId18" Type="http://schemas.microsoft.com/office/2007/relationships/hdphoto" Target="../media/hdphoto1.wdp"/><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svg"/><Relationship Id="rId17" Type="http://schemas.openxmlformats.org/officeDocument/2006/relationships/image" Target="../media/image19.png"/><Relationship Id="rId2" Type="http://schemas.openxmlformats.org/officeDocument/2006/relationships/image" Target="../media/image4.svg"/><Relationship Id="rId16" Type="http://schemas.openxmlformats.org/officeDocument/2006/relationships/image" Target="../media/image18.svg"/><Relationship Id="rId1" Type="http://schemas.openxmlformats.org/officeDocument/2006/relationships/image" Target="../media/image3.png"/><Relationship Id="rId6" Type="http://schemas.openxmlformats.org/officeDocument/2006/relationships/image" Target="../media/image8.sv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svg"/><Relationship Id="rId4" Type="http://schemas.openxmlformats.org/officeDocument/2006/relationships/image" Target="../media/image6.svg"/><Relationship Id="rId9" Type="http://schemas.openxmlformats.org/officeDocument/2006/relationships/image" Target="../media/image11.png"/><Relationship Id="rId14" Type="http://schemas.openxmlformats.org/officeDocument/2006/relationships/image" Target="../media/image16.svg"/></Relationships>
</file>

<file path=xl/drawings/_rels/drawing8.xml.rels><?xml version="1.0" encoding="UTF-8" standalone="yes"?>
<Relationships xmlns="http://schemas.openxmlformats.org/package/2006/relationships"><Relationship Id="rId8" Type="http://schemas.openxmlformats.org/officeDocument/2006/relationships/image" Target="../media/image25.svg"/><Relationship Id="rId3" Type="http://schemas.openxmlformats.org/officeDocument/2006/relationships/image" Target="../media/image22.png"/><Relationship Id="rId7" Type="http://schemas.openxmlformats.org/officeDocument/2006/relationships/image" Target="../media/image24.png"/><Relationship Id="rId2" Type="http://schemas.openxmlformats.org/officeDocument/2006/relationships/image" Target="../media/image21.svg"/><Relationship Id="rId1" Type="http://schemas.openxmlformats.org/officeDocument/2006/relationships/image" Target="../media/image20.png"/><Relationship Id="rId6" Type="http://schemas.openxmlformats.org/officeDocument/2006/relationships/image" Target="../media/image2.svg"/><Relationship Id="rId5" Type="http://schemas.openxmlformats.org/officeDocument/2006/relationships/image" Target="../media/image1.png"/><Relationship Id="rId10" Type="http://schemas.openxmlformats.org/officeDocument/2006/relationships/image" Target="../media/image27.svg"/><Relationship Id="rId4" Type="http://schemas.openxmlformats.org/officeDocument/2006/relationships/image" Target="../media/image23.svg"/><Relationship Id="rId9"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44BBD6FB-E476-40EA-A23E-B329BB36F6D4}"/>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B90894B1-B489-84DC-792A-F4AC7F4A0C1F}"/>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EE964F4B-0E0D-CF8E-62CE-1E85A635469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FECF91C3-05CF-5374-69AB-E375C0E8D8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9C9AF628-1483-0A00-A94F-213826B499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224AB696-F8E4-8C4C-7129-038950C72A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B5B189BB-0239-BE97-E451-599E6B0A50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4AA0E361-4E37-98B3-52B0-B2A5B3D22362}"/>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E921C3EB-6366-83C9-3722-572D86AC95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115BB54F-0A9C-82AE-C662-BF15C34CDF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CB4A1305-BA31-3595-7D71-C501EF3BE9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5879EFC0-A089-5926-673F-2DDCCCFB54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4E5DED92-51F7-A48E-30DD-3CFC4C9D37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48D4331D-E4DC-4469-A946-C122CBFD85E3}"/>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7B2C491E-1E8F-AC6F-237B-A001F3EBFE7A}"/>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41F5E087-2523-B2B0-F3C8-4D979AC0AE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B264180B-A559-1383-68A2-ED1879D6C3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5BF142EA-70E8-0554-FFAD-A9825D0F83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A5FCD90D-03E7-2048-7BCD-DA35FD4960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4013DAF-DB07-FB44-5143-3F9510E584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4F00C611-1F50-30DA-04EB-7A4E5F526F8B}"/>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A11CD85D-B5D1-375C-AEE9-62034E9571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89A101AB-0572-68DD-3E2F-803A63045D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435EC9FF-D679-D0DF-B265-FF234D90D0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88AA528A-C778-4D51-9B94-D845A14FD9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5C26B8E9-BB53-3CB4-1945-8ADC883B50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10</xdr:col>
      <xdr:colOff>22859</xdr:colOff>
      <xdr:row>38</xdr:row>
      <xdr:rowOff>26666</xdr:rowOff>
    </xdr:from>
    <xdr:to>
      <xdr:col>10</xdr:col>
      <xdr:colOff>530569</xdr:colOff>
      <xdr:row>38</xdr:row>
      <xdr:rowOff>151158</xdr:rowOff>
    </xdr:to>
    <xdr:grpSp>
      <xdr:nvGrpSpPr>
        <xdr:cNvPr id="3" name="Gruppo 2">
          <a:extLst>
            <a:ext uri="{FF2B5EF4-FFF2-40B4-BE49-F238E27FC236}">
              <a16:creationId xmlns:a16="http://schemas.microsoft.com/office/drawing/2014/main" id="{AEFFAA5C-2A37-B656-07DA-0E1B56F6A5A1}"/>
            </a:ext>
          </a:extLst>
        </xdr:cNvPr>
        <xdr:cNvGrpSpPr/>
      </xdr:nvGrpSpPr>
      <xdr:grpSpPr>
        <a:xfrm>
          <a:off x="5491330" y="6660548"/>
          <a:ext cx="507710" cy="124492"/>
          <a:chOff x="7275648" y="2818024"/>
          <a:chExt cx="668635" cy="152753"/>
        </a:xfrm>
        <a:solidFill>
          <a:schemeClr val="accent5"/>
        </a:solidFill>
      </xdr:grpSpPr>
      <xdr:pic>
        <xdr:nvPicPr>
          <xdr:cNvPr id="10" name="Elemento grafico 9" descr="Acqua contorno">
            <a:extLst>
              <a:ext uri="{FF2B5EF4-FFF2-40B4-BE49-F238E27FC236}">
                <a16:creationId xmlns:a16="http://schemas.microsoft.com/office/drawing/2014/main" id="{296A6BDD-5960-9906-8889-66167A5614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8" y="2818024"/>
            <a:ext cx="151498" cy="152753"/>
          </a:xfrm>
          <a:prstGeom prst="rect">
            <a:avLst/>
          </a:prstGeom>
        </xdr:spPr>
      </xdr:pic>
      <xdr:pic>
        <xdr:nvPicPr>
          <xdr:cNvPr id="11" name="Elemento grafico 10" descr="Acqua contorno">
            <a:extLst>
              <a:ext uri="{FF2B5EF4-FFF2-40B4-BE49-F238E27FC236}">
                <a16:creationId xmlns:a16="http://schemas.microsoft.com/office/drawing/2014/main" id="{2BCB9E7F-45CD-0725-6D1C-AF8392A327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64" y="2818028"/>
            <a:ext cx="152399" cy="152398"/>
          </a:xfrm>
          <a:prstGeom prst="rect">
            <a:avLst/>
          </a:prstGeom>
        </xdr:spPr>
      </xdr:pic>
      <xdr:pic>
        <xdr:nvPicPr>
          <xdr:cNvPr id="12" name="Elemento grafico 11" descr="Acqua contorno">
            <a:extLst>
              <a:ext uri="{FF2B5EF4-FFF2-40B4-BE49-F238E27FC236}">
                <a16:creationId xmlns:a16="http://schemas.microsoft.com/office/drawing/2014/main" id="{8F637C46-65E0-AD74-6158-33E168A20A0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79" y="2818034"/>
            <a:ext cx="152399" cy="152399"/>
          </a:xfrm>
          <a:prstGeom prst="rect">
            <a:avLst/>
          </a:prstGeom>
        </xdr:spPr>
      </xdr:pic>
      <xdr:pic>
        <xdr:nvPicPr>
          <xdr:cNvPr id="13" name="Elemento grafico 12" descr="Acqua contorno">
            <a:extLst>
              <a:ext uri="{FF2B5EF4-FFF2-40B4-BE49-F238E27FC236}">
                <a16:creationId xmlns:a16="http://schemas.microsoft.com/office/drawing/2014/main" id="{8BE7450B-5D88-C3ED-914A-39039F30F51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85" y="2818041"/>
            <a:ext cx="151497" cy="152399"/>
          </a:xfrm>
          <a:prstGeom prst="rect">
            <a:avLst/>
          </a:prstGeom>
        </xdr:spPr>
      </xdr:pic>
      <xdr:pic>
        <xdr:nvPicPr>
          <xdr:cNvPr id="14" name="Elemento grafico 13" descr="Acqua contorno">
            <a:extLst>
              <a:ext uri="{FF2B5EF4-FFF2-40B4-BE49-F238E27FC236}">
                <a16:creationId xmlns:a16="http://schemas.microsoft.com/office/drawing/2014/main" id="{71D5D8F2-6C7E-A802-695B-7BD93F1A51F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clientData/>
  </xdr:twoCellAnchor>
  <xdr:twoCellAnchor>
    <xdr:from>
      <xdr:col>10</xdr:col>
      <xdr:colOff>22860</xdr:colOff>
      <xdr:row>39</xdr:row>
      <xdr:rowOff>28396</xdr:rowOff>
    </xdr:from>
    <xdr:to>
      <xdr:col>10</xdr:col>
      <xdr:colOff>530571</xdr:colOff>
      <xdr:row>39</xdr:row>
      <xdr:rowOff>152888</xdr:rowOff>
    </xdr:to>
    <xdr:grpSp>
      <xdr:nvGrpSpPr>
        <xdr:cNvPr id="4" name="Gruppo 3">
          <a:extLst>
            <a:ext uri="{FF2B5EF4-FFF2-40B4-BE49-F238E27FC236}">
              <a16:creationId xmlns:a16="http://schemas.microsoft.com/office/drawing/2014/main" id="{C14D96C0-720C-A395-EDF3-A77C4281004E}"/>
            </a:ext>
          </a:extLst>
        </xdr:cNvPr>
        <xdr:cNvGrpSpPr/>
      </xdr:nvGrpSpPr>
      <xdr:grpSpPr>
        <a:xfrm>
          <a:off x="5491331" y="6837090"/>
          <a:ext cx="507711" cy="124492"/>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6486FB54-1D41-126D-5031-9A9ADC72B1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CD386991-A269-83FD-FC04-7AD448C671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A037C73D-0F19-E21D-DAD4-C8A66E10A23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EF332036-E995-98DD-F461-4BA1C5B558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B1107873-8EB1-168B-025E-945EA7C240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B141AD30-59D6-470E-AB8F-8B271E11D653}"/>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21441C5E-8FED-B4E9-5A5C-B7B1BB20F93B}"/>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2F9F9D7B-0017-6302-A18D-E06C45128C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A602BE6B-F049-5FEF-2B93-FDA516F64A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560B8064-57E3-76D9-0BAD-A41E511187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AAEF946A-46C0-A1CD-284E-E825AB9295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356BE475-3141-D9A4-AD83-B486CC43525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1C5B29AB-6C72-9249-D6DA-009D3DEDB338}"/>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C0EA6711-1B77-F7EB-991F-CED68C1D9AE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49729FCD-73BC-6D63-0841-A27DF26BBCB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EA81BCC2-A639-124E-645A-8031B9BF24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1D67C31B-6B1E-50D1-AE6F-F692055EF08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1EBBE0FE-F1CD-2976-D021-E918DF636D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9</xdr:col>
      <xdr:colOff>317199</xdr:colOff>
      <xdr:row>38</xdr:row>
      <xdr:rowOff>26681</xdr:rowOff>
    </xdr:from>
    <xdr:to>
      <xdr:col>9</xdr:col>
      <xdr:colOff>432234</xdr:colOff>
      <xdr:row>38</xdr:row>
      <xdr:rowOff>150884</xdr:rowOff>
    </xdr:to>
    <xdr:pic>
      <xdr:nvPicPr>
        <xdr:cNvPr id="32" name="Elemento grafico 31" descr="Acqua contorno">
          <a:extLst>
            <a:ext uri="{FF2B5EF4-FFF2-40B4-BE49-F238E27FC236}">
              <a16:creationId xmlns:a16="http://schemas.microsoft.com/office/drawing/2014/main" id="{6824DCC3-5F22-6FC9-B9A2-747DD1B98C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8823" y="6660563"/>
          <a:ext cx="115035" cy="124203"/>
        </a:xfrm>
        <a:prstGeom prst="rect">
          <a:avLst/>
        </a:prstGeom>
      </xdr:spPr>
    </xdr:pic>
    <xdr:clientData/>
  </xdr:twoCellAnchor>
  <xdr:twoCellAnchor>
    <xdr:from>
      <xdr:col>9</xdr:col>
      <xdr:colOff>414847</xdr:colOff>
      <xdr:row>38</xdr:row>
      <xdr:rowOff>26687</xdr:rowOff>
    </xdr:from>
    <xdr:to>
      <xdr:col>9</xdr:col>
      <xdr:colOff>530567</xdr:colOff>
      <xdr:row>38</xdr:row>
      <xdr:rowOff>150890</xdr:rowOff>
    </xdr:to>
    <xdr:pic>
      <xdr:nvPicPr>
        <xdr:cNvPr id="33" name="Elemento grafico 32" descr="Acqua contorno">
          <a:extLst>
            <a:ext uri="{FF2B5EF4-FFF2-40B4-BE49-F238E27FC236}">
              <a16:creationId xmlns:a16="http://schemas.microsoft.com/office/drawing/2014/main" id="{3EA0EAFE-D0D2-4243-99B1-392CFC9F68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36471" y="6660569"/>
          <a:ext cx="115720" cy="1242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274B1CB6-0B50-4A51-8F3C-DF3CF213AA14}"/>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4A6707E9-22F0-57DC-36D4-CF160AABD2B7}"/>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4144A5E0-AB51-EB1D-0E40-1A52DECFAF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D8BABF9D-B867-6991-5125-9A008B7195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FF0859E3-08DE-81E5-0655-8A36958A36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12BB8A2C-14A2-7E5C-E431-4A923D99B8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80E03F79-3763-5732-14FC-13716327BC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80D3E100-4EC3-F5A2-2B93-36AFA9E54453}"/>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B1D3ADA3-1F02-BCB2-ED6D-C3E6AF0D58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73D034DB-647F-6E76-D69D-2569D97F12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DA2F2EDA-010C-ECFD-7E12-ED919A873A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972AAA31-AC92-5EFA-91AB-01742B42795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1DEB3756-83E6-C89D-0778-6FC6AC361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1BE391C9-44B1-41ED-86DD-9A848FE5BED2}"/>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1DC53ECF-1A31-0BD5-777B-6EEEA25ED18E}"/>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D068CE76-CD21-49D4-25CB-B261052F72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7F448629-9FB0-A3A3-E057-4AD22DE8B9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296639A3-7C47-6321-3FC7-A88C8F03F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63B1996C-13FD-4750-6D74-4011C04B64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51BCA845-D321-57F8-41D5-0A812CCC433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F74B6768-16F6-EC71-2FCA-A91204579413}"/>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30253DC9-C731-9920-1C9B-833D7316F1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F195768D-EC6B-F58B-90C1-69A0513940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DE84205B-01CA-6E30-490D-C9441C0F3E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98282BA8-3C4C-6413-E693-24A8FDD3B20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CDC0A6B7-9305-198D-223A-0AAAA9F463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22860</xdr:colOff>
      <xdr:row>38</xdr:row>
      <xdr:rowOff>26670</xdr:rowOff>
    </xdr:from>
    <xdr:to>
      <xdr:col>10</xdr:col>
      <xdr:colOff>530571</xdr:colOff>
      <xdr:row>39</xdr:row>
      <xdr:rowOff>152888</xdr:rowOff>
    </xdr:to>
    <xdr:grpSp>
      <xdr:nvGrpSpPr>
        <xdr:cNvPr id="2" name="Gruppo 1">
          <a:extLst>
            <a:ext uri="{FF2B5EF4-FFF2-40B4-BE49-F238E27FC236}">
              <a16:creationId xmlns:a16="http://schemas.microsoft.com/office/drawing/2014/main" id="{39602950-F9FC-4960-80DF-9764526EF1DC}"/>
            </a:ext>
          </a:extLst>
        </xdr:cNvPr>
        <xdr:cNvGrpSpPr/>
      </xdr:nvGrpSpPr>
      <xdr:grpSpPr>
        <a:xfrm>
          <a:off x="5491331" y="6660552"/>
          <a:ext cx="507711" cy="301030"/>
          <a:chOff x="4411980" y="6503670"/>
          <a:chExt cx="507711" cy="301478"/>
        </a:xfrm>
      </xdr:grpSpPr>
      <xdr:grpSp>
        <xdr:nvGrpSpPr>
          <xdr:cNvPr id="3" name="Gruppo 2">
            <a:extLst>
              <a:ext uri="{FF2B5EF4-FFF2-40B4-BE49-F238E27FC236}">
                <a16:creationId xmlns:a16="http://schemas.microsoft.com/office/drawing/2014/main" id="{68EFC57F-2A20-B604-3EA1-449F348415DE}"/>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EA6C06A4-9E4A-BADC-05EC-538F113274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33C98981-9973-8503-0B2C-67AFC2B65EF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9CBCE14D-50CC-3EC1-B473-676EB83A92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E0BB2CC5-B14D-2889-2E04-05509E75A4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862EC85D-3E20-44D9-4D8D-3F6C09BA2D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27940B4C-0EB9-4A92-20FB-36948D21C309}"/>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AD28D89B-EBF0-841A-F75A-82679C2C83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A2EDD5F4-112B-037B-C1A6-2DBDE6BBE1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4E86F216-7798-F087-6825-F77209B023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667F18A5-325D-AA38-34A9-C4A3A456B1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74266B1B-E3B3-A0D6-46FD-8EA3E858A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38</xdr:row>
      <xdr:rowOff>26670</xdr:rowOff>
    </xdr:from>
    <xdr:to>
      <xdr:col>11</xdr:col>
      <xdr:colOff>534381</xdr:colOff>
      <xdr:row>39</xdr:row>
      <xdr:rowOff>152888</xdr:rowOff>
    </xdr:to>
    <xdr:grpSp>
      <xdr:nvGrpSpPr>
        <xdr:cNvPr id="15" name="Gruppo 14">
          <a:extLst>
            <a:ext uri="{FF2B5EF4-FFF2-40B4-BE49-F238E27FC236}">
              <a16:creationId xmlns:a16="http://schemas.microsoft.com/office/drawing/2014/main" id="{29DF3ADA-B7D5-4A51-B9BD-F77D20EE742A}"/>
            </a:ext>
          </a:extLst>
        </xdr:cNvPr>
        <xdr:cNvGrpSpPr/>
      </xdr:nvGrpSpPr>
      <xdr:grpSpPr>
        <a:xfrm>
          <a:off x="6041988" y="6660552"/>
          <a:ext cx="507711" cy="301030"/>
          <a:chOff x="4411980" y="6503670"/>
          <a:chExt cx="507711" cy="301478"/>
        </a:xfrm>
      </xdr:grpSpPr>
      <xdr:grpSp>
        <xdr:nvGrpSpPr>
          <xdr:cNvPr id="16" name="Gruppo 15">
            <a:extLst>
              <a:ext uri="{FF2B5EF4-FFF2-40B4-BE49-F238E27FC236}">
                <a16:creationId xmlns:a16="http://schemas.microsoft.com/office/drawing/2014/main" id="{791ED92E-DDF4-C2BA-525F-6C43237D318E}"/>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AA3FA09E-ABE2-4AB8-6771-7A07BE45B77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AC0B36C6-F79D-ACDD-53B0-487E9919B6D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DB614644-EB5F-77B8-6BB8-17B3AB0279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36B0E9DE-206E-BB83-D305-900573DD54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ED939A50-10FB-534D-8F7E-405D879B5C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B7A0CE9B-4104-6448-9929-01FF684CE0BA}"/>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9966D7FD-0090-E74B-4969-353C37F2DB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9F503D82-908A-7B39-385F-15085652E11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C9D5C5FA-EC33-9F51-565F-ADE95FA425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2389CA36-6838-1340-630B-246F65AE7A6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08C61F32-2926-A963-9C7E-97CD3EFBFA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5.xml><?xml version="1.0" encoding="utf-8"?>
<xdr:wsDr xmlns:xdr="http://schemas.openxmlformats.org/drawingml/2006/spreadsheetDrawing" xmlns:a="http://schemas.openxmlformats.org/drawingml/2006/main">
  <xdr:twoCellAnchor>
    <xdr:from>
      <xdr:col>10</xdr:col>
      <xdr:colOff>22860</xdr:colOff>
      <xdr:row>37</xdr:row>
      <xdr:rowOff>26670</xdr:rowOff>
    </xdr:from>
    <xdr:to>
      <xdr:col>10</xdr:col>
      <xdr:colOff>530571</xdr:colOff>
      <xdr:row>38</xdr:row>
      <xdr:rowOff>152888</xdr:rowOff>
    </xdr:to>
    <xdr:grpSp>
      <xdr:nvGrpSpPr>
        <xdr:cNvPr id="21" name="Gruppo 20">
          <a:extLst>
            <a:ext uri="{FF2B5EF4-FFF2-40B4-BE49-F238E27FC236}">
              <a16:creationId xmlns:a16="http://schemas.microsoft.com/office/drawing/2014/main" id="{40DAF9BC-244D-B5FE-5A60-5F05C9E9B4D2}"/>
            </a:ext>
          </a:extLst>
        </xdr:cNvPr>
        <xdr:cNvGrpSpPr/>
      </xdr:nvGrpSpPr>
      <xdr:grpSpPr>
        <a:xfrm>
          <a:off x="5491331" y="6485741"/>
          <a:ext cx="507711" cy="301029"/>
          <a:chOff x="4411980" y="6503670"/>
          <a:chExt cx="507711" cy="301478"/>
        </a:xfrm>
      </xdr:grpSpPr>
      <xdr:grpSp>
        <xdr:nvGrpSpPr>
          <xdr:cNvPr id="3" name="Gruppo 2">
            <a:extLst>
              <a:ext uri="{FF2B5EF4-FFF2-40B4-BE49-F238E27FC236}">
                <a16:creationId xmlns:a16="http://schemas.microsoft.com/office/drawing/2014/main" id="{88B0A2C7-0506-8195-89DD-B2F31D9B8AE2}"/>
              </a:ext>
            </a:extLst>
          </xdr:cNvPr>
          <xdr:cNvGrpSpPr/>
        </xdr:nvGrpSpPr>
        <xdr:grpSpPr>
          <a:xfrm>
            <a:off x="4411980" y="6503670"/>
            <a:ext cx="507711" cy="124677"/>
            <a:chOff x="7275647" y="2818048"/>
            <a:chExt cx="668636" cy="152754"/>
          </a:xfrm>
          <a:solidFill>
            <a:schemeClr val="accent5"/>
          </a:solidFill>
        </xdr:grpSpPr>
        <xdr:pic>
          <xdr:nvPicPr>
            <xdr:cNvPr id="16" name="Elemento grafico 15" descr="Acqua contorno">
              <a:extLst>
                <a:ext uri="{FF2B5EF4-FFF2-40B4-BE49-F238E27FC236}">
                  <a16:creationId xmlns:a16="http://schemas.microsoft.com/office/drawing/2014/main" id="{A858B1E1-C272-A825-EF79-A5E357592D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7" name="Elemento grafico 16" descr="Acqua contorno">
              <a:extLst>
                <a:ext uri="{FF2B5EF4-FFF2-40B4-BE49-F238E27FC236}">
                  <a16:creationId xmlns:a16="http://schemas.microsoft.com/office/drawing/2014/main" id="{231EE874-8DD8-F2C3-A2B8-84A38A750E4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8" name="Elemento grafico 17" descr="Acqua contorno">
              <a:extLst>
                <a:ext uri="{FF2B5EF4-FFF2-40B4-BE49-F238E27FC236}">
                  <a16:creationId xmlns:a16="http://schemas.microsoft.com/office/drawing/2014/main" id="{7F4A4EF2-27A3-4DEA-B39B-F4DA7EA042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9" name="Elemento grafico 18" descr="Acqua contorno">
              <a:extLst>
                <a:ext uri="{FF2B5EF4-FFF2-40B4-BE49-F238E27FC236}">
                  <a16:creationId xmlns:a16="http://schemas.microsoft.com/office/drawing/2014/main" id="{F6A84BAB-77CB-99F3-6832-2A75B12AB8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0" name="Elemento grafico 19" descr="Acqua contorno">
              <a:extLst>
                <a:ext uri="{FF2B5EF4-FFF2-40B4-BE49-F238E27FC236}">
                  <a16:creationId xmlns:a16="http://schemas.microsoft.com/office/drawing/2014/main" id="{903246AC-5B8F-770C-FBF3-13617BE869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54E08664-6659-89E2-66D1-CDF3AC822E11}"/>
              </a:ext>
            </a:extLst>
          </xdr:cNvPr>
          <xdr:cNvGrpSpPr/>
        </xdr:nvGrpSpPr>
        <xdr:grpSpPr>
          <a:xfrm>
            <a:off x="4411980" y="6680471"/>
            <a:ext cx="507711" cy="124677"/>
            <a:chOff x="7275647" y="2818048"/>
            <a:chExt cx="668636" cy="152754"/>
          </a:xfrm>
          <a:solidFill>
            <a:schemeClr val="accent5"/>
          </a:solidFill>
        </xdr:grpSpPr>
        <xdr:pic>
          <xdr:nvPicPr>
            <xdr:cNvPr id="11" name="Elemento grafico 10" descr="Acqua contorno">
              <a:extLst>
                <a:ext uri="{FF2B5EF4-FFF2-40B4-BE49-F238E27FC236}">
                  <a16:creationId xmlns:a16="http://schemas.microsoft.com/office/drawing/2014/main" id="{12F6A2AD-EC90-3E51-F6B3-A110B286A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2" name="Elemento grafico 11" descr="Acqua contorno">
              <a:extLst>
                <a:ext uri="{FF2B5EF4-FFF2-40B4-BE49-F238E27FC236}">
                  <a16:creationId xmlns:a16="http://schemas.microsoft.com/office/drawing/2014/main" id="{D8E85B6D-C2AE-E815-8BFB-3B47D0CE5A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3" name="Elemento grafico 12" descr="Acqua contorno">
              <a:extLst>
                <a:ext uri="{FF2B5EF4-FFF2-40B4-BE49-F238E27FC236}">
                  <a16:creationId xmlns:a16="http://schemas.microsoft.com/office/drawing/2014/main" id="{563F9B2D-1AD0-9B69-F405-955B18328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4" name="Elemento grafico 13" descr="Acqua contorno">
              <a:extLst>
                <a:ext uri="{FF2B5EF4-FFF2-40B4-BE49-F238E27FC236}">
                  <a16:creationId xmlns:a16="http://schemas.microsoft.com/office/drawing/2014/main" id="{3C3374BD-45B4-DA61-FCE0-41FC30B79F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5" name="Elemento grafico 14" descr="Acqua contorno">
              <a:extLst>
                <a:ext uri="{FF2B5EF4-FFF2-40B4-BE49-F238E27FC236}">
                  <a16:creationId xmlns:a16="http://schemas.microsoft.com/office/drawing/2014/main" id="{F8927CFB-88C7-86DE-EFA1-70CDC2CC082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37</xdr:row>
      <xdr:rowOff>26670</xdr:rowOff>
    </xdr:from>
    <xdr:to>
      <xdr:col>11</xdr:col>
      <xdr:colOff>534381</xdr:colOff>
      <xdr:row>38</xdr:row>
      <xdr:rowOff>152888</xdr:rowOff>
    </xdr:to>
    <xdr:grpSp>
      <xdr:nvGrpSpPr>
        <xdr:cNvPr id="22" name="Gruppo 21">
          <a:extLst>
            <a:ext uri="{FF2B5EF4-FFF2-40B4-BE49-F238E27FC236}">
              <a16:creationId xmlns:a16="http://schemas.microsoft.com/office/drawing/2014/main" id="{771EED11-0344-4EAC-AF34-E25AF551C857}"/>
            </a:ext>
          </a:extLst>
        </xdr:cNvPr>
        <xdr:cNvGrpSpPr/>
      </xdr:nvGrpSpPr>
      <xdr:grpSpPr>
        <a:xfrm>
          <a:off x="6041988" y="6485741"/>
          <a:ext cx="507711" cy="301029"/>
          <a:chOff x="4411980" y="6503670"/>
          <a:chExt cx="507711" cy="301478"/>
        </a:xfrm>
      </xdr:grpSpPr>
      <xdr:grpSp>
        <xdr:nvGrpSpPr>
          <xdr:cNvPr id="23" name="Gruppo 22">
            <a:extLst>
              <a:ext uri="{FF2B5EF4-FFF2-40B4-BE49-F238E27FC236}">
                <a16:creationId xmlns:a16="http://schemas.microsoft.com/office/drawing/2014/main" id="{D84713A1-5D07-DFBB-887B-B4D75112D72A}"/>
              </a:ext>
            </a:extLst>
          </xdr:cNvPr>
          <xdr:cNvGrpSpPr/>
        </xdr:nvGrpSpPr>
        <xdr:grpSpPr>
          <a:xfrm>
            <a:off x="4411980" y="6503670"/>
            <a:ext cx="507711" cy="124677"/>
            <a:chOff x="7275647" y="2818048"/>
            <a:chExt cx="668636" cy="152754"/>
          </a:xfrm>
          <a:solidFill>
            <a:schemeClr val="accent5"/>
          </a:solidFill>
        </xdr:grpSpPr>
        <xdr:pic>
          <xdr:nvPicPr>
            <xdr:cNvPr id="30" name="Elemento grafico 29" descr="Acqua contorno">
              <a:extLst>
                <a:ext uri="{FF2B5EF4-FFF2-40B4-BE49-F238E27FC236}">
                  <a16:creationId xmlns:a16="http://schemas.microsoft.com/office/drawing/2014/main" id="{C627B237-1AE4-796C-C6DB-9BADE4D3062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31" name="Elemento grafico 30" descr="Acqua contorno">
              <a:extLst>
                <a:ext uri="{FF2B5EF4-FFF2-40B4-BE49-F238E27FC236}">
                  <a16:creationId xmlns:a16="http://schemas.microsoft.com/office/drawing/2014/main" id="{16158154-3820-337D-F9B7-55BB9CA9AD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32" name="Elemento grafico 31" descr="Acqua contorno">
              <a:extLst>
                <a:ext uri="{FF2B5EF4-FFF2-40B4-BE49-F238E27FC236}">
                  <a16:creationId xmlns:a16="http://schemas.microsoft.com/office/drawing/2014/main" id="{6D9A0A1F-049E-C74B-3A55-91B99674AB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33" name="Elemento grafico 32" descr="Acqua contorno">
              <a:extLst>
                <a:ext uri="{FF2B5EF4-FFF2-40B4-BE49-F238E27FC236}">
                  <a16:creationId xmlns:a16="http://schemas.microsoft.com/office/drawing/2014/main" id="{0A845B9F-22A9-5ECF-F6D7-2486C8BD53C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34" name="Elemento grafico 33" descr="Acqua contorno">
              <a:extLst>
                <a:ext uri="{FF2B5EF4-FFF2-40B4-BE49-F238E27FC236}">
                  <a16:creationId xmlns:a16="http://schemas.microsoft.com/office/drawing/2014/main" id="{73AB7780-E923-30F2-B1D0-F7DFC0037F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24" name="Gruppo 23">
            <a:extLst>
              <a:ext uri="{FF2B5EF4-FFF2-40B4-BE49-F238E27FC236}">
                <a16:creationId xmlns:a16="http://schemas.microsoft.com/office/drawing/2014/main" id="{D7F3CA6A-55E2-63F4-8BEE-8921899B7CC4}"/>
              </a:ext>
            </a:extLst>
          </xdr:cNvPr>
          <xdr:cNvGrpSpPr/>
        </xdr:nvGrpSpPr>
        <xdr:grpSpPr>
          <a:xfrm>
            <a:off x="4411980" y="6680471"/>
            <a:ext cx="507711" cy="124677"/>
            <a:chOff x="7275647" y="2818048"/>
            <a:chExt cx="668636" cy="152754"/>
          </a:xfrm>
          <a:solidFill>
            <a:schemeClr val="accent5"/>
          </a:solidFill>
        </xdr:grpSpPr>
        <xdr:pic>
          <xdr:nvPicPr>
            <xdr:cNvPr id="25" name="Elemento grafico 24" descr="Acqua contorno">
              <a:extLst>
                <a:ext uri="{FF2B5EF4-FFF2-40B4-BE49-F238E27FC236}">
                  <a16:creationId xmlns:a16="http://schemas.microsoft.com/office/drawing/2014/main" id="{BB05E8C1-A856-7DB1-3D7B-3CC21CB51C8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6" name="Elemento grafico 25" descr="Acqua contorno">
              <a:extLst>
                <a:ext uri="{FF2B5EF4-FFF2-40B4-BE49-F238E27FC236}">
                  <a16:creationId xmlns:a16="http://schemas.microsoft.com/office/drawing/2014/main" id="{EC71B870-1210-6533-E2FB-7996F4857A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7" name="Elemento grafico 26" descr="Acqua contorno">
              <a:extLst>
                <a:ext uri="{FF2B5EF4-FFF2-40B4-BE49-F238E27FC236}">
                  <a16:creationId xmlns:a16="http://schemas.microsoft.com/office/drawing/2014/main" id="{7861DF4F-F877-8707-B3F8-4C4E9D6CABD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8" name="Elemento grafico 27" descr="Acqua contorno">
              <a:extLst>
                <a:ext uri="{FF2B5EF4-FFF2-40B4-BE49-F238E27FC236}">
                  <a16:creationId xmlns:a16="http://schemas.microsoft.com/office/drawing/2014/main" id="{E8154BDB-0421-F704-C424-98B8453C36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9" name="Elemento grafico 28" descr="Acqua contorno">
              <a:extLst>
                <a:ext uri="{FF2B5EF4-FFF2-40B4-BE49-F238E27FC236}">
                  <a16:creationId xmlns:a16="http://schemas.microsoft.com/office/drawing/2014/main" id="{FDB76FE8-DC4E-60D5-716E-10803E13E3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10</xdr:col>
      <xdr:colOff>22860</xdr:colOff>
      <xdr:row>37</xdr:row>
      <xdr:rowOff>26670</xdr:rowOff>
    </xdr:from>
    <xdr:to>
      <xdr:col>10</xdr:col>
      <xdr:colOff>530571</xdr:colOff>
      <xdr:row>38</xdr:row>
      <xdr:rowOff>152888</xdr:rowOff>
    </xdr:to>
    <xdr:grpSp>
      <xdr:nvGrpSpPr>
        <xdr:cNvPr id="2" name="Gruppo 1">
          <a:extLst>
            <a:ext uri="{FF2B5EF4-FFF2-40B4-BE49-F238E27FC236}">
              <a16:creationId xmlns:a16="http://schemas.microsoft.com/office/drawing/2014/main" id="{09E6572B-A88D-4BF8-A3AE-58F0EECA0250}"/>
            </a:ext>
          </a:extLst>
        </xdr:cNvPr>
        <xdr:cNvGrpSpPr/>
      </xdr:nvGrpSpPr>
      <xdr:grpSpPr>
        <a:xfrm>
          <a:off x="5491331" y="6485741"/>
          <a:ext cx="507711" cy="301029"/>
          <a:chOff x="4411980" y="6503670"/>
          <a:chExt cx="507711" cy="301478"/>
        </a:xfrm>
      </xdr:grpSpPr>
      <xdr:grpSp>
        <xdr:nvGrpSpPr>
          <xdr:cNvPr id="3" name="Gruppo 2">
            <a:extLst>
              <a:ext uri="{FF2B5EF4-FFF2-40B4-BE49-F238E27FC236}">
                <a16:creationId xmlns:a16="http://schemas.microsoft.com/office/drawing/2014/main" id="{29F17E3F-DFD4-937B-28BB-9FF621695C0B}"/>
              </a:ext>
            </a:extLst>
          </xdr:cNvPr>
          <xdr:cNvGrpSpPr/>
        </xdr:nvGrpSpPr>
        <xdr:grpSpPr>
          <a:xfrm>
            <a:off x="4411980" y="6503670"/>
            <a:ext cx="507711" cy="124677"/>
            <a:chOff x="7275647" y="2818048"/>
            <a:chExt cx="668636" cy="152754"/>
          </a:xfrm>
          <a:solidFill>
            <a:schemeClr val="accent5"/>
          </a:solidFill>
        </xdr:grpSpPr>
        <xdr:pic>
          <xdr:nvPicPr>
            <xdr:cNvPr id="10" name="Elemento grafico 9" descr="Acqua contorno">
              <a:extLst>
                <a:ext uri="{FF2B5EF4-FFF2-40B4-BE49-F238E27FC236}">
                  <a16:creationId xmlns:a16="http://schemas.microsoft.com/office/drawing/2014/main" id="{CA22F985-0FB5-8D1E-4094-E582422001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1" name="Elemento grafico 10" descr="Acqua contorno">
              <a:extLst>
                <a:ext uri="{FF2B5EF4-FFF2-40B4-BE49-F238E27FC236}">
                  <a16:creationId xmlns:a16="http://schemas.microsoft.com/office/drawing/2014/main" id="{A6091725-BC44-3D1B-D4DB-633290F2C2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12" name="Elemento grafico 11" descr="Acqua contorno">
              <a:extLst>
                <a:ext uri="{FF2B5EF4-FFF2-40B4-BE49-F238E27FC236}">
                  <a16:creationId xmlns:a16="http://schemas.microsoft.com/office/drawing/2014/main" id="{8CDDEF8D-B7F5-8C38-8E0B-BC5A71350EB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13" name="Elemento grafico 12" descr="Acqua contorno">
              <a:extLst>
                <a:ext uri="{FF2B5EF4-FFF2-40B4-BE49-F238E27FC236}">
                  <a16:creationId xmlns:a16="http://schemas.microsoft.com/office/drawing/2014/main" id="{AF4E06F4-4A97-AEAC-697F-C0C21142DB8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14" name="Elemento grafico 13" descr="Acqua contorno">
              <a:extLst>
                <a:ext uri="{FF2B5EF4-FFF2-40B4-BE49-F238E27FC236}">
                  <a16:creationId xmlns:a16="http://schemas.microsoft.com/office/drawing/2014/main" id="{BF5FBE26-8E63-D0F2-C246-DB4A45B5A55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4" name="Gruppo 3">
            <a:extLst>
              <a:ext uri="{FF2B5EF4-FFF2-40B4-BE49-F238E27FC236}">
                <a16:creationId xmlns:a16="http://schemas.microsoft.com/office/drawing/2014/main" id="{9EDDD38D-8154-38DC-BFEB-B1F329662EDE}"/>
              </a:ext>
            </a:extLst>
          </xdr:cNvPr>
          <xdr:cNvGrpSpPr/>
        </xdr:nvGrpSpPr>
        <xdr:grpSpPr>
          <a:xfrm>
            <a:off x="4411980" y="6680471"/>
            <a:ext cx="507711" cy="124677"/>
            <a:chOff x="7275647" y="2818048"/>
            <a:chExt cx="668636" cy="152754"/>
          </a:xfrm>
          <a:solidFill>
            <a:schemeClr val="accent5"/>
          </a:solidFill>
        </xdr:grpSpPr>
        <xdr:pic>
          <xdr:nvPicPr>
            <xdr:cNvPr id="5" name="Elemento grafico 4" descr="Acqua contorno">
              <a:extLst>
                <a:ext uri="{FF2B5EF4-FFF2-40B4-BE49-F238E27FC236}">
                  <a16:creationId xmlns:a16="http://schemas.microsoft.com/office/drawing/2014/main" id="{112AA4EE-0DFA-4995-09FB-AAD861A767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6" name="Elemento grafico 5" descr="Acqua contorno">
              <a:extLst>
                <a:ext uri="{FF2B5EF4-FFF2-40B4-BE49-F238E27FC236}">
                  <a16:creationId xmlns:a16="http://schemas.microsoft.com/office/drawing/2014/main" id="{B999AAF9-1EEC-85FE-4A7D-5E2A67B835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7" name="Elemento grafico 6" descr="Acqua contorno">
              <a:extLst>
                <a:ext uri="{FF2B5EF4-FFF2-40B4-BE49-F238E27FC236}">
                  <a16:creationId xmlns:a16="http://schemas.microsoft.com/office/drawing/2014/main" id="{33CC7487-BF0A-384B-697A-4CF33F208B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8" name="Elemento grafico 7" descr="Acqua contorno">
              <a:extLst>
                <a:ext uri="{FF2B5EF4-FFF2-40B4-BE49-F238E27FC236}">
                  <a16:creationId xmlns:a16="http://schemas.microsoft.com/office/drawing/2014/main" id="{6B460A22-F6FE-CC65-ECD3-BA80508CCF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9" name="Elemento grafico 8" descr="Acqua contorno">
              <a:extLst>
                <a:ext uri="{FF2B5EF4-FFF2-40B4-BE49-F238E27FC236}">
                  <a16:creationId xmlns:a16="http://schemas.microsoft.com/office/drawing/2014/main" id="{46BE2819-5759-95FF-7F6B-ACACBDACD5D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twoCellAnchor>
    <xdr:from>
      <xdr:col>11</xdr:col>
      <xdr:colOff>26670</xdr:colOff>
      <xdr:row>37</xdr:row>
      <xdr:rowOff>26670</xdr:rowOff>
    </xdr:from>
    <xdr:to>
      <xdr:col>11</xdr:col>
      <xdr:colOff>534381</xdr:colOff>
      <xdr:row>38</xdr:row>
      <xdr:rowOff>152888</xdr:rowOff>
    </xdr:to>
    <xdr:grpSp>
      <xdr:nvGrpSpPr>
        <xdr:cNvPr id="15" name="Gruppo 14">
          <a:extLst>
            <a:ext uri="{FF2B5EF4-FFF2-40B4-BE49-F238E27FC236}">
              <a16:creationId xmlns:a16="http://schemas.microsoft.com/office/drawing/2014/main" id="{E5F59F5A-1912-4CD7-B7BB-8C3ADC21C4CF}"/>
            </a:ext>
          </a:extLst>
        </xdr:cNvPr>
        <xdr:cNvGrpSpPr/>
      </xdr:nvGrpSpPr>
      <xdr:grpSpPr>
        <a:xfrm>
          <a:off x="6041988" y="6485741"/>
          <a:ext cx="507711" cy="301029"/>
          <a:chOff x="4411980" y="6503670"/>
          <a:chExt cx="507711" cy="301478"/>
        </a:xfrm>
      </xdr:grpSpPr>
      <xdr:grpSp>
        <xdr:nvGrpSpPr>
          <xdr:cNvPr id="16" name="Gruppo 15">
            <a:extLst>
              <a:ext uri="{FF2B5EF4-FFF2-40B4-BE49-F238E27FC236}">
                <a16:creationId xmlns:a16="http://schemas.microsoft.com/office/drawing/2014/main" id="{EE59EFDE-8810-364F-F5E0-03E94D00A484}"/>
              </a:ext>
            </a:extLst>
          </xdr:cNvPr>
          <xdr:cNvGrpSpPr/>
        </xdr:nvGrpSpPr>
        <xdr:grpSpPr>
          <a:xfrm>
            <a:off x="4411980" y="6503670"/>
            <a:ext cx="507711" cy="124677"/>
            <a:chOff x="7275647" y="2818048"/>
            <a:chExt cx="668636" cy="152754"/>
          </a:xfrm>
          <a:solidFill>
            <a:schemeClr val="accent5"/>
          </a:solidFill>
        </xdr:grpSpPr>
        <xdr:pic>
          <xdr:nvPicPr>
            <xdr:cNvPr id="23" name="Elemento grafico 22" descr="Acqua contorno">
              <a:extLst>
                <a:ext uri="{FF2B5EF4-FFF2-40B4-BE49-F238E27FC236}">
                  <a16:creationId xmlns:a16="http://schemas.microsoft.com/office/drawing/2014/main" id="{2CE18E93-16AB-96C0-20FD-56E017A82C7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24" name="Elemento grafico 23" descr="Acqua contorno">
              <a:extLst>
                <a:ext uri="{FF2B5EF4-FFF2-40B4-BE49-F238E27FC236}">
                  <a16:creationId xmlns:a16="http://schemas.microsoft.com/office/drawing/2014/main" id="{C27D26BC-3660-5759-3531-D0EA5189518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5" name="Elemento grafico 24" descr="Acqua contorno">
              <a:extLst>
                <a:ext uri="{FF2B5EF4-FFF2-40B4-BE49-F238E27FC236}">
                  <a16:creationId xmlns:a16="http://schemas.microsoft.com/office/drawing/2014/main" id="{3E6FD8F2-B798-9B0E-B39C-4966F985251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6" name="Elemento grafico 25" descr="Acqua contorno">
              <a:extLst>
                <a:ext uri="{FF2B5EF4-FFF2-40B4-BE49-F238E27FC236}">
                  <a16:creationId xmlns:a16="http://schemas.microsoft.com/office/drawing/2014/main" id="{60FE1E74-463F-80CC-4A3E-51523102CE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7" name="Elemento grafico 26" descr="Acqua contorno">
              <a:extLst>
                <a:ext uri="{FF2B5EF4-FFF2-40B4-BE49-F238E27FC236}">
                  <a16:creationId xmlns:a16="http://schemas.microsoft.com/office/drawing/2014/main" id="{40B49E17-A683-52CE-10D9-0D1C07B369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nvGrpSpPr>
          <xdr:cNvPr id="17" name="Gruppo 16">
            <a:extLst>
              <a:ext uri="{FF2B5EF4-FFF2-40B4-BE49-F238E27FC236}">
                <a16:creationId xmlns:a16="http://schemas.microsoft.com/office/drawing/2014/main" id="{8AC624A4-C4B6-2F2F-C1A7-49D9A87C4DDA}"/>
              </a:ext>
            </a:extLst>
          </xdr:cNvPr>
          <xdr:cNvGrpSpPr/>
        </xdr:nvGrpSpPr>
        <xdr:grpSpPr>
          <a:xfrm>
            <a:off x="4411980" y="6680471"/>
            <a:ext cx="507711" cy="124677"/>
            <a:chOff x="7275647" y="2818048"/>
            <a:chExt cx="668636" cy="152754"/>
          </a:xfrm>
          <a:solidFill>
            <a:schemeClr val="accent5"/>
          </a:solidFill>
        </xdr:grpSpPr>
        <xdr:pic>
          <xdr:nvPicPr>
            <xdr:cNvPr id="18" name="Elemento grafico 17" descr="Acqua contorno">
              <a:extLst>
                <a:ext uri="{FF2B5EF4-FFF2-40B4-BE49-F238E27FC236}">
                  <a16:creationId xmlns:a16="http://schemas.microsoft.com/office/drawing/2014/main" id="{C98D0E2A-2677-7F95-9BD0-91309AD2133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75647" y="2818048"/>
              <a:ext cx="151498" cy="152754"/>
            </a:xfrm>
            <a:prstGeom prst="rect">
              <a:avLst/>
            </a:prstGeom>
          </xdr:spPr>
        </xdr:pic>
        <xdr:pic>
          <xdr:nvPicPr>
            <xdr:cNvPr id="19" name="Elemento grafico 18" descr="Acqua contorno">
              <a:extLst>
                <a:ext uri="{FF2B5EF4-FFF2-40B4-BE49-F238E27FC236}">
                  <a16:creationId xmlns:a16="http://schemas.microsoft.com/office/drawing/2014/main" id="{8070A48F-5110-645A-8B43-C15E43F4DEB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404256" y="2818049"/>
              <a:ext cx="152399" cy="152399"/>
            </a:xfrm>
            <a:prstGeom prst="rect">
              <a:avLst/>
            </a:prstGeom>
          </xdr:spPr>
        </xdr:pic>
        <xdr:pic>
          <xdr:nvPicPr>
            <xdr:cNvPr id="20" name="Elemento grafico 19" descr="Acqua contorno">
              <a:extLst>
                <a:ext uri="{FF2B5EF4-FFF2-40B4-BE49-F238E27FC236}">
                  <a16:creationId xmlns:a16="http://schemas.microsoft.com/office/drawing/2014/main" id="{9C359931-86BF-8EB4-9EC1-E7EA7CDB25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533766" y="2818048"/>
              <a:ext cx="152399" cy="152399"/>
            </a:xfrm>
            <a:prstGeom prst="rect">
              <a:avLst/>
            </a:prstGeom>
          </xdr:spPr>
        </xdr:pic>
        <xdr:pic>
          <xdr:nvPicPr>
            <xdr:cNvPr id="21" name="Elemento grafico 20" descr="Acqua contorno">
              <a:extLst>
                <a:ext uri="{FF2B5EF4-FFF2-40B4-BE49-F238E27FC236}">
                  <a16:creationId xmlns:a16="http://schemas.microsoft.com/office/drawing/2014/main" id="{1B9D6AE1-393C-010F-F91E-9F2E9710F4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63276" y="2818048"/>
              <a:ext cx="151497" cy="152399"/>
            </a:xfrm>
            <a:prstGeom prst="rect">
              <a:avLst/>
            </a:prstGeom>
          </xdr:spPr>
        </xdr:pic>
        <xdr:pic>
          <xdr:nvPicPr>
            <xdr:cNvPr id="22" name="Elemento grafico 21" descr="Acqua contorno">
              <a:extLst>
                <a:ext uri="{FF2B5EF4-FFF2-40B4-BE49-F238E27FC236}">
                  <a16:creationId xmlns:a16="http://schemas.microsoft.com/office/drawing/2014/main" id="{005E9298-C11F-55DF-A1C0-CCA09DA6FE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91884" y="2818048"/>
              <a:ext cx="152399" cy="152399"/>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17</xdr:col>
      <xdr:colOff>111365</xdr:colOff>
      <xdr:row>21</xdr:row>
      <xdr:rowOff>4</xdr:rowOff>
    </xdr:from>
    <xdr:to>
      <xdr:col>18</xdr:col>
      <xdr:colOff>468919</xdr:colOff>
      <xdr:row>24</xdr:row>
      <xdr:rowOff>228604</xdr:rowOff>
    </xdr:to>
    <xdr:pic>
      <xdr:nvPicPr>
        <xdr:cNvPr id="5" name="Elemento grafico 4" descr="Scena tramonto con riempimento a tinta unita">
          <a:extLst>
            <a:ext uri="{FF2B5EF4-FFF2-40B4-BE49-F238E27FC236}">
              <a16:creationId xmlns:a16="http://schemas.microsoft.com/office/drawing/2014/main" id="{B9F8A5BF-52A4-43AE-14FA-2CD1A4B502C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562488" y="4923696"/>
          <a:ext cx="914400" cy="914400"/>
        </a:xfrm>
        <a:prstGeom prst="rect">
          <a:avLst/>
        </a:prstGeom>
      </xdr:spPr>
    </xdr:pic>
    <xdr:clientData/>
  </xdr:twoCellAnchor>
  <xdr:twoCellAnchor editAs="oneCell">
    <xdr:from>
      <xdr:col>9</xdr:col>
      <xdr:colOff>105510</xdr:colOff>
      <xdr:row>1</xdr:row>
      <xdr:rowOff>23453</xdr:rowOff>
    </xdr:from>
    <xdr:to>
      <xdr:col>10</xdr:col>
      <xdr:colOff>463064</xdr:colOff>
      <xdr:row>5</xdr:row>
      <xdr:rowOff>7</xdr:rowOff>
    </xdr:to>
    <xdr:pic>
      <xdr:nvPicPr>
        <xdr:cNvPr id="7" name="Elemento grafico 6" descr="Occhio con riempimento a tinta unita">
          <a:extLst>
            <a:ext uri="{FF2B5EF4-FFF2-40B4-BE49-F238E27FC236}">
              <a16:creationId xmlns:a16="http://schemas.microsoft.com/office/drawing/2014/main" id="{9CFFAE34-8966-5859-E30C-6F5B847D774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101864" y="257915"/>
          <a:ext cx="914400" cy="914400"/>
        </a:xfrm>
        <a:prstGeom prst="rect">
          <a:avLst/>
        </a:prstGeom>
      </xdr:spPr>
    </xdr:pic>
    <xdr:clientData/>
  </xdr:twoCellAnchor>
  <xdr:twoCellAnchor editAs="oneCell">
    <xdr:from>
      <xdr:col>11</xdr:col>
      <xdr:colOff>99646</xdr:colOff>
      <xdr:row>1</xdr:row>
      <xdr:rowOff>23450</xdr:rowOff>
    </xdr:from>
    <xdr:to>
      <xdr:col>12</xdr:col>
      <xdr:colOff>457200</xdr:colOff>
      <xdr:row>5</xdr:row>
      <xdr:rowOff>4</xdr:rowOff>
    </xdr:to>
    <xdr:pic>
      <xdr:nvPicPr>
        <xdr:cNvPr id="9" name="Elemento grafico 8" descr="Luna della sera con riempimento a tinta unita">
          <a:extLst>
            <a:ext uri="{FF2B5EF4-FFF2-40B4-BE49-F238E27FC236}">
              <a16:creationId xmlns:a16="http://schemas.microsoft.com/office/drawing/2014/main" id="{F8174270-27AE-0202-D7E4-88B2B9B2CBC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09692" y="257912"/>
          <a:ext cx="914400" cy="914400"/>
        </a:xfrm>
        <a:prstGeom prst="rect">
          <a:avLst/>
        </a:prstGeom>
      </xdr:spPr>
    </xdr:pic>
    <xdr:clientData/>
  </xdr:twoCellAnchor>
  <xdr:twoCellAnchor editAs="oneCell">
    <xdr:from>
      <xdr:col>17</xdr:col>
      <xdr:colOff>117230</xdr:colOff>
      <xdr:row>1</xdr:row>
      <xdr:rowOff>23441</xdr:rowOff>
    </xdr:from>
    <xdr:to>
      <xdr:col>18</xdr:col>
      <xdr:colOff>474784</xdr:colOff>
      <xdr:row>4</xdr:row>
      <xdr:rowOff>234457</xdr:rowOff>
    </xdr:to>
    <xdr:pic>
      <xdr:nvPicPr>
        <xdr:cNvPr id="11" name="Elemento grafico 10" descr="Fuoco con riempimento a tinta unita">
          <a:extLst>
            <a:ext uri="{FF2B5EF4-FFF2-40B4-BE49-F238E27FC236}">
              <a16:creationId xmlns:a16="http://schemas.microsoft.com/office/drawing/2014/main" id="{BC8740DD-1F5C-7D68-A787-A5633C969DA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568353" y="257903"/>
          <a:ext cx="914400" cy="914400"/>
        </a:xfrm>
        <a:prstGeom prst="rect">
          <a:avLst/>
        </a:prstGeom>
      </xdr:spPr>
    </xdr:pic>
    <xdr:clientData/>
  </xdr:twoCellAnchor>
  <xdr:twoCellAnchor editAs="oneCell">
    <xdr:from>
      <xdr:col>11</xdr:col>
      <xdr:colOff>103106</xdr:colOff>
      <xdr:row>11</xdr:row>
      <xdr:rowOff>21047</xdr:rowOff>
    </xdr:from>
    <xdr:to>
      <xdr:col>12</xdr:col>
      <xdr:colOff>460660</xdr:colOff>
      <xdr:row>14</xdr:row>
      <xdr:rowOff>232062</xdr:rowOff>
    </xdr:to>
    <xdr:pic>
      <xdr:nvPicPr>
        <xdr:cNvPr id="13" name="Elemento grafico 12" descr="Acqua con riempimento a tinta unita">
          <a:extLst>
            <a:ext uri="{FF2B5EF4-FFF2-40B4-BE49-F238E27FC236}">
              <a16:creationId xmlns:a16="http://schemas.microsoft.com/office/drawing/2014/main" id="{28692748-416A-CF7E-E971-D833991F5A0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13152" y="2600124"/>
          <a:ext cx="914400" cy="914400"/>
        </a:xfrm>
        <a:prstGeom prst="rect">
          <a:avLst/>
        </a:prstGeom>
      </xdr:spPr>
    </xdr:pic>
    <xdr:clientData/>
  </xdr:twoCellAnchor>
  <xdr:twoCellAnchor editAs="oneCell">
    <xdr:from>
      <xdr:col>11</xdr:col>
      <xdr:colOff>100704</xdr:colOff>
      <xdr:row>16</xdr:row>
      <xdr:rowOff>24515</xdr:rowOff>
    </xdr:from>
    <xdr:to>
      <xdr:col>12</xdr:col>
      <xdr:colOff>458258</xdr:colOff>
      <xdr:row>20</xdr:row>
      <xdr:rowOff>1069</xdr:rowOff>
    </xdr:to>
    <xdr:pic>
      <xdr:nvPicPr>
        <xdr:cNvPr id="15" name="Elemento grafico 14" descr="Dramma con riempimento a tinta unita">
          <a:extLst>
            <a:ext uri="{FF2B5EF4-FFF2-40B4-BE49-F238E27FC236}">
              <a16:creationId xmlns:a16="http://schemas.microsoft.com/office/drawing/2014/main" id="{4999F68C-D2C1-464B-E3C9-1C9C25ABD56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210750" y="3775900"/>
          <a:ext cx="914400" cy="914400"/>
        </a:xfrm>
        <a:prstGeom prst="rect">
          <a:avLst/>
        </a:prstGeom>
      </xdr:spPr>
    </xdr:pic>
    <xdr:clientData/>
  </xdr:twoCellAnchor>
  <xdr:twoCellAnchor editAs="oneCell">
    <xdr:from>
      <xdr:col>15</xdr:col>
      <xdr:colOff>104169</xdr:colOff>
      <xdr:row>6</xdr:row>
      <xdr:rowOff>22114</xdr:rowOff>
    </xdr:from>
    <xdr:to>
      <xdr:col>16</xdr:col>
      <xdr:colOff>461723</xdr:colOff>
      <xdr:row>9</xdr:row>
      <xdr:rowOff>233129</xdr:rowOff>
    </xdr:to>
    <xdr:pic>
      <xdr:nvPicPr>
        <xdr:cNvPr id="17" name="Elemento grafico 16" descr="Occhi con riempimento a tinta unita">
          <a:extLst>
            <a:ext uri="{FF2B5EF4-FFF2-40B4-BE49-F238E27FC236}">
              <a16:creationId xmlns:a16="http://schemas.microsoft.com/office/drawing/2014/main" id="{EBE76045-5799-7988-916A-162FCD22302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441600" y="1428883"/>
          <a:ext cx="914400" cy="914400"/>
        </a:xfrm>
        <a:prstGeom prst="rect">
          <a:avLst/>
        </a:prstGeom>
      </xdr:spPr>
    </xdr:pic>
    <xdr:clientData/>
  </xdr:twoCellAnchor>
  <xdr:twoCellAnchor editAs="oneCell">
    <xdr:from>
      <xdr:col>9</xdr:col>
      <xdr:colOff>99369</xdr:colOff>
      <xdr:row>20</xdr:row>
      <xdr:rowOff>234187</xdr:rowOff>
    </xdr:from>
    <xdr:to>
      <xdr:col>10</xdr:col>
      <xdr:colOff>456923</xdr:colOff>
      <xdr:row>24</xdr:row>
      <xdr:rowOff>228326</xdr:rowOff>
    </xdr:to>
    <xdr:pic>
      <xdr:nvPicPr>
        <xdr:cNvPr id="21" name="Elemento grafico 20" descr="Pedina con riempimento a tinta unita">
          <a:extLst>
            <a:ext uri="{FF2B5EF4-FFF2-40B4-BE49-F238E27FC236}">
              <a16:creationId xmlns:a16="http://schemas.microsoft.com/office/drawing/2014/main" id="{832957D3-4AF9-9E3A-7422-65FDD10F4FE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095723" y="4923418"/>
          <a:ext cx="914400" cy="914400"/>
        </a:xfrm>
        <a:prstGeom prst="rect">
          <a:avLst/>
        </a:prstGeom>
      </xdr:spPr>
    </xdr:pic>
    <xdr:clientData/>
  </xdr:twoCellAnchor>
  <xdr:twoCellAnchor editAs="oneCell">
    <xdr:from>
      <xdr:col>8</xdr:col>
      <xdr:colOff>257908</xdr:colOff>
      <xdr:row>0</xdr:row>
      <xdr:rowOff>158260</xdr:rowOff>
    </xdr:from>
    <xdr:to>
      <xdr:col>19</xdr:col>
      <xdr:colOff>158262</xdr:colOff>
      <xdr:row>26</xdr:row>
      <xdr:rowOff>216875</xdr:rowOff>
    </xdr:to>
    <xdr:pic>
      <xdr:nvPicPr>
        <xdr:cNvPr id="23" name="Immagine 22">
          <a:extLst>
            <a:ext uri="{FF2B5EF4-FFF2-40B4-BE49-F238E27FC236}">
              <a16:creationId xmlns:a16="http://schemas.microsoft.com/office/drawing/2014/main" id="{64EE5D8A-676C-862E-8F85-550C9A839F50}"/>
            </a:ext>
          </a:extLst>
        </xdr:cNvPr>
        <xdr:cNvPicPr>
          <a:picLocks noChangeAspect="1"/>
        </xdr:cNvPicPr>
      </xdr:nvPicPr>
      <xdr:blipFill>
        <a:blip xmlns:r="http://schemas.openxmlformats.org/officeDocument/2006/relationships" r:embed="rId17">
          <a:duotone>
            <a:prstClr val="black"/>
            <a:schemeClr val="accent2">
              <a:tint val="45000"/>
              <a:satMod val="400000"/>
            </a:schemeClr>
          </a:duotone>
          <a:alphaModFix amt="27000"/>
          <a:extLst>
            <a:ext uri="{BEBA8EAE-BF5A-486C-A8C5-ECC9F3942E4B}">
              <a14:imgProps xmlns:a14="http://schemas.microsoft.com/office/drawing/2010/main">
                <a14:imgLayer r:embed="rId18">
                  <a14:imgEffect>
                    <a14:colorTemperature colorTemp="5900"/>
                  </a14:imgEffect>
                </a14:imgLayer>
              </a14:imgProps>
            </a:ext>
            <a:ext uri="{28A0092B-C50C-407E-A947-70E740481C1C}">
              <a14:useLocalDpi xmlns:a14="http://schemas.microsoft.com/office/drawing/2010/main" val="0"/>
            </a:ext>
          </a:extLst>
        </a:blip>
        <a:stretch>
          <a:fillRect/>
        </a:stretch>
      </xdr:blipFill>
      <xdr:spPr>
        <a:xfrm>
          <a:off x="5644662" y="158260"/>
          <a:ext cx="6131169" cy="6131169"/>
        </a:xfrm>
        <a:prstGeom prst="rect">
          <a:avLst/>
        </a:prstGeom>
        <a:noFill/>
        <a:ln>
          <a:noFill/>
        </a:ln>
        <a:effectLst>
          <a:glow rad="127000">
            <a:schemeClr val="accent2">
              <a:alpha val="2000"/>
            </a:schemeClr>
          </a:glow>
          <a:softEdge rad="38100"/>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10</xdr:col>
      <xdr:colOff>8390</xdr:colOff>
      <xdr:row>30</xdr:row>
      <xdr:rowOff>39800</xdr:rowOff>
    </xdr:from>
    <xdr:to>
      <xdr:col>12</xdr:col>
      <xdr:colOff>919</xdr:colOff>
      <xdr:row>30</xdr:row>
      <xdr:rowOff>152891</xdr:rowOff>
    </xdr:to>
    <xdr:grpSp>
      <xdr:nvGrpSpPr>
        <xdr:cNvPr id="16" name="Gruppo 15">
          <a:extLst>
            <a:ext uri="{FF2B5EF4-FFF2-40B4-BE49-F238E27FC236}">
              <a16:creationId xmlns:a16="http://schemas.microsoft.com/office/drawing/2014/main" id="{8285C2DC-7BAC-25BD-27EE-378BDFE77FE1}"/>
            </a:ext>
          </a:extLst>
        </xdr:cNvPr>
        <xdr:cNvGrpSpPr/>
      </xdr:nvGrpSpPr>
      <xdr:grpSpPr>
        <a:xfrm>
          <a:off x="5664472" y="5338449"/>
          <a:ext cx="1123746" cy="113091"/>
          <a:chOff x="4863962" y="5810256"/>
          <a:chExt cx="1860412" cy="175591"/>
        </a:xfrm>
      </xdr:grpSpPr>
      <xdr:pic>
        <xdr:nvPicPr>
          <xdr:cNvPr id="6" name="Elemento grafico 5" descr="Smile di Harvey Ball 100% contorno">
            <a:extLst>
              <a:ext uri="{FF2B5EF4-FFF2-40B4-BE49-F238E27FC236}">
                <a16:creationId xmlns:a16="http://schemas.microsoft.com/office/drawing/2014/main" id="{3ECC1409-2DD8-2AA6-7371-79363CE5F5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7" name="Elemento grafico 6" descr="Smile di Harvey Ball 100% contorno">
            <a:extLst>
              <a:ext uri="{FF2B5EF4-FFF2-40B4-BE49-F238E27FC236}">
                <a16:creationId xmlns:a16="http://schemas.microsoft.com/office/drawing/2014/main" id="{E4F85CB2-07BA-4023-B7AD-3F56891234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8" name="Elemento grafico 7" descr="Smile di Harvey Ball 100% contorno">
            <a:extLst>
              <a:ext uri="{FF2B5EF4-FFF2-40B4-BE49-F238E27FC236}">
                <a16:creationId xmlns:a16="http://schemas.microsoft.com/office/drawing/2014/main" id="{3C8AC2E2-90E1-4D72-B8C1-E45FDA31F4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9" name="Elemento grafico 8" descr="Smile di Harvey Ball 100% contorno">
            <a:extLst>
              <a:ext uri="{FF2B5EF4-FFF2-40B4-BE49-F238E27FC236}">
                <a16:creationId xmlns:a16="http://schemas.microsoft.com/office/drawing/2014/main" id="{68A75A2C-1B56-4F77-B974-BAED0B87B36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10" name="Elemento grafico 9" descr="Smile di Harvey Ball 100% contorno">
            <a:extLst>
              <a:ext uri="{FF2B5EF4-FFF2-40B4-BE49-F238E27FC236}">
                <a16:creationId xmlns:a16="http://schemas.microsoft.com/office/drawing/2014/main" id="{A48BAA1C-71E3-4BB1-BA3C-99BEF59A90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11" name="Elemento grafico 10" descr="Smile di Harvey Ball 100% contorno">
            <a:extLst>
              <a:ext uri="{FF2B5EF4-FFF2-40B4-BE49-F238E27FC236}">
                <a16:creationId xmlns:a16="http://schemas.microsoft.com/office/drawing/2014/main" id="{1BD7CE22-1F76-43D1-90FB-298E81F87C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12" name="Elemento grafico 11" descr="Smile di Harvey Ball 100% contorno">
            <a:extLst>
              <a:ext uri="{FF2B5EF4-FFF2-40B4-BE49-F238E27FC236}">
                <a16:creationId xmlns:a16="http://schemas.microsoft.com/office/drawing/2014/main" id="{A9C2312E-5D77-42F7-AD01-6A79B73E4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13" name="Elemento grafico 12" descr="Smile di Harvey Ball 100% contorno">
            <a:extLst>
              <a:ext uri="{FF2B5EF4-FFF2-40B4-BE49-F238E27FC236}">
                <a16:creationId xmlns:a16="http://schemas.microsoft.com/office/drawing/2014/main" id="{6A6F0DD2-775F-4843-B9C8-C7F93090123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14" name="Elemento grafico 13" descr="Smile di Harvey Ball 100% contorno">
            <a:extLst>
              <a:ext uri="{FF2B5EF4-FFF2-40B4-BE49-F238E27FC236}">
                <a16:creationId xmlns:a16="http://schemas.microsoft.com/office/drawing/2014/main" id="{62D54A6F-63F7-445E-A6D8-44E812CA127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15" name="Elemento grafico 14" descr="Smile di Harvey Ball 100% contorno">
            <a:extLst>
              <a:ext uri="{FF2B5EF4-FFF2-40B4-BE49-F238E27FC236}">
                <a16:creationId xmlns:a16="http://schemas.microsoft.com/office/drawing/2014/main" id="{D3ABFBFA-0816-4DDF-BD15-319DABEBEC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28</xdr:row>
      <xdr:rowOff>41418</xdr:rowOff>
    </xdr:from>
    <xdr:to>
      <xdr:col>12</xdr:col>
      <xdr:colOff>919</xdr:colOff>
      <xdr:row>28</xdr:row>
      <xdr:rowOff>154509</xdr:rowOff>
    </xdr:to>
    <xdr:grpSp>
      <xdr:nvGrpSpPr>
        <xdr:cNvPr id="28" name="Gruppo 27">
          <a:extLst>
            <a:ext uri="{FF2B5EF4-FFF2-40B4-BE49-F238E27FC236}">
              <a16:creationId xmlns:a16="http://schemas.microsoft.com/office/drawing/2014/main" id="{833F8206-8677-4389-A03C-BAA0E9353191}"/>
            </a:ext>
          </a:extLst>
        </xdr:cNvPr>
        <xdr:cNvGrpSpPr/>
      </xdr:nvGrpSpPr>
      <xdr:grpSpPr>
        <a:xfrm>
          <a:off x="5664472" y="4986562"/>
          <a:ext cx="1123746" cy="113091"/>
          <a:chOff x="4863962" y="5810256"/>
          <a:chExt cx="1860412" cy="175591"/>
        </a:xfrm>
      </xdr:grpSpPr>
      <xdr:pic>
        <xdr:nvPicPr>
          <xdr:cNvPr id="29" name="Elemento grafico 28" descr="Smile di Harvey Ball 100% contorno">
            <a:extLst>
              <a:ext uri="{FF2B5EF4-FFF2-40B4-BE49-F238E27FC236}">
                <a16:creationId xmlns:a16="http://schemas.microsoft.com/office/drawing/2014/main" id="{56419443-9904-0140-14DB-E7D0C6231C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30" name="Elemento grafico 29" descr="Smile di Harvey Ball 100% contorno">
            <a:extLst>
              <a:ext uri="{FF2B5EF4-FFF2-40B4-BE49-F238E27FC236}">
                <a16:creationId xmlns:a16="http://schemas.microsoft.com/office/drawing/2014/main" id="{7DD2BAC7-3177-11CC-15DE-76E8158D3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31" name="Elemento grafico 30" descr="Smile di Harvey Ball 100% contorno">
            <a:extLst>
              <a:ext uri="{FF2B5EF4-FFF2-40B4-BE49-F238E27FC236}">
                <a16:creationId xmlns:a16="http://schemas.microsoft.com/office/drawing/2014/main" id="{3741451F-0201-E524-8A95-3703DF66F3F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32" name="Elemento grafico 31" descr="Smile di Harvey Ball 100% contorno">
            <a:extLst>
              <a:ext uri="{FF2B5EF4-FFF2-40B4-BE49-F238E27FC236}">
                <a16:creationId xmlns:a16="http://schemas.microsoft.com/office/drawing/2014/main" id="{9959230F-294E-C344-BCA4-1637EE98E6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33" name="Elemento grafico 32" descr="Smile di Harvey Ball 100% contorno">
            <a:extLst>
              <a:ext uri="{FF2B5EF4-FFF2-40B4-BE49-F238E27FC236}">
                <a16:creationId xmlns:a16="http://schemas.microsoft.com/office/drawing/2014/main" id="{3DC9D7D1-65F2-4E26-A6E8-4DCBE73BA2A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34" name="Elemento grafico 33" descr="Smile di Harvey Ball 100% contorno">
            <a:extLst>
              <a:ext uri="{FF2B5EF4-FFF2-40B4-BE49-F238E27FC236}">
                <a16:creationId xmlns:a16="http://schemas.microsoft.com/office/drawing/2014/main" id="{878BBD37-E73F-D77D-1C1A-6B8845788B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35" name="Elemento grafico 34" descr="Smile di Harvey Ball 100% contorno">
            <a:extLst>
              <a:ext uri="{FF2B5EF4-FFF2-40B4-BE49-F238E27FC236}">
                <a16:creationId xmlns:a16="http://schemas.microsoft.com/office/drawing/2014/main" id="{41820397-9867-EC86-1397-1266A54156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36" name="Elemento grafico 35" descr="Smile di Harvey Ball 100% contorno">
            <a:extLst>
              <a:ext uri="{FF2B5EF4-FFF2-40B4-BE49-F238E27FC236}">
                <a16:creationId xmlns:a16="http://schemas.microsoft.com/office/drawing/2014/main" id="{4FCAB5A4-F245-552C-96FC-881C7B96A6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37" name="Elemento grafico 36" descr="Smile di Harvey Ball 100% contorno">
            <a:extLst>
              <a:ext uri="{FF2B5EF4-FFF2-40B4-BE49-F238E27FC236}">
                <a16:creationId xmlns:a16="http://schemas.microsoft.com/office/drawing/2014/main" id="{941DD053-5BE8-05CA-2072-9533FB9A34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38" name="Elemento grafico 37" descr="Smile di Harvey Ball 100% contorno">
            <a:extLst>
              <a:ext uri="{FF2B5EF4-FFF2-40B4-BE49-F238E27FC236}">
                <a16:creationId xmlns:a16="http://schemas.microsoft.com/office/drawing/2014/main" id="{6C0C040D-5851-4223-BCF6-D676789313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29</xdr:row>
      <xdr:rowOff>40609</xdr:rowOff>
    </xdr:from>
    <xdr:to>
      <xdr:col>12</xdr:col>
      <xdr:colOff>919</xdr:colOff>
      <xdr:row>29</xdr:row>
      <xdr:rowOff>153700</xdr:rowOff>
    </xdr:to>
    <xdr:grpSp>
      <xdr:nvGrpSpPr>
        <xdr:cNvPr id="39" name="Gruppo 38">
          <a:extLst>
            <a:ext uri="{FF2B5EF4-FFF2-40B4-BE49-F238E27FC236}">
              <a16:creationId xmlns:a16="http://schemas.microsoft.com/office/drawing/2014/main" id="{5B85D42F-EA1D-4DFE-88D1-7FEE98A0782E}"/>
            </a:ext>
          </a:extLst>
        </xdr:cNvPr>
        <xdr:cNvGrpSpPr/>
      </xdr:nvGrpSpPr>
      <xdr:grpSpPr>
        <a:xfrm>
          <a:off x="5664472" y="5162506"/>
          <a:ext cx="1123746" cy="113091"/>
          <a:chOff x="4863962" y="5810256"/>
          <a:chExt cx="1860412" cy="175591"/>
        </a:xfrm>
      </xdr:grpSpPr>
      <xdr:pic>
        <xdr:nvPicPr>
          <xdr:cNvPr id="40" name="Elemento grafico 39" descr="Smile di Harvey Ball 100% contorno">
            <a:extLst>
              <a:ext uri="{FF2B5EF4-FFF2-40B4-BE49-F238E27FC236}">
                <a16:creationId xmlns:a16="http://schemas.microsoft.com/office/drawing/2014/main" id="{56C8F965-6C15-5111-505A-72D837E429C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41" name="Elemento grafico 40" descr="Smile di Harvey Ball 100% contorno">
            <a:extLst>
              <a:ext uri="{FF2B5EF4-FFF2-40B4-BE49-F238E27FC236}">
                <a16:creationId xmlns:a16="http://schemas.microsoft.com/office/drawing/2014/main" id="{E813028B-688F-2F62-3541-9079BD8604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42" name="Elemento grafico 41" descr="Smile di Harvey Ball 100% contorno">
            <a:extLst>
              <a:ext uri="{FF2B5EF4-FFF2-40B4-BE49-F238E27FC236}">
                <a16:creationId xmlns:a16="http://schemas.microsoft.com/office/drawing/2014/main" id="{E750B79A-22C3-5E94-2688-F9AA187AFAE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43" name="Elemento grafico 42" descr="Smile di Harvey Ball 100% contorno">
            <a:extLst>
              <a:ext uri="{FF2B5EF4-FFF2-40B4-BE49-F238E27FC236}">
                <a16:creationId xmlns:a16="http://schemas.microsoft.com/office/drawing/2014/main" id="{B4D297CF-685A-AF42-94BD-6784BF4FDD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44" name="Elemento grafico 43" descr="Smile di Harvey Ball 100% contorno">
            <a:extLst>
              <a:ext uri="{FF2B5EF4-FFF2-40B4-BE49-F238E27FC236}">
                <a16:creationId xmlns:a16="http://schemas.microsoft.com/office/drawing/2014/main" id="{6D0FC3C9-A367-774A-61EF-0ADAAF76D0A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45" name="Elemento grafico 44" descr="Smile di Harvey Ball 100% contorno">
            <a:extLst>
              <a:ext uri="{FF2B5EF4-FFF2-40B4-BE49-F238E27FC236}">
                <a16:creationId xmlns:a16="http://schemas.microsoft.com/office/drawing/2014/main" id="{1B21A572-ECED-6E64-47DB-E9D9F0A0A67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46" name="Elemento grafico 45" descr="Smile di Harvey Ball 100% contorno">
            <a:extLst>
              <a:ext uri="{FF2B5EF4-FFF2-40B4-BE49-F238E27FC236}">
                <a16:creationId xmlns:a16="http://schemas.microsoft.com/office/drawing/2014/main" id="{6683A462-8D59-74C7-CFB8-CECE8F3A1A3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47" name="Elemento grafico 46" descr="Smile di Harvey Ball 100% contorno">
            <a:extLst>
              <a:ext uri="{FF2B5EF4-FFF2-40B4-BE49-F238E27FC236}">
                <a16:creationId xmlns:a16="http://schemas.microsoft.com/office/drawing/2014/main" id="{7CFD62C8-FAC8-0BF4-AE47-81C36ED281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48" name="Elemento grafico 47" descr="Smile di Harvey Ball 100% contorno">
            <a:extLst>
              <a:ext uri="{FF2B5EF4-FFF2-40B4-BE49-F238E27FC236}">
                <a16:creationId xmlns:a16="http://schemas.microsoft.com/office/drawing/2014/main" id="{E0FD4475-0612-AEFE-D64B-3B49DDCB5A5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49" name="Elemento grafico 48" descr="Smile di Harvey Ball 100% contorno">
            <a:extLst>
              <a:ext uri="{FF2B5EF4-FFF2-40B4-BE49-F238E27FC236}">
                <a16:creationId xmlns:a16="http://schemas.microsoft.com/office/drawing/2014/main" id="{A116BA61-762C-9691-028A-356F202FAB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10</xdr:col>
      <xdr:colOff>8390</xdr:colOff>
      <xdr:row>31</xdr:row>
      <xdr:rowOff>35064</xdr:rowOff>
    </xdr:from>
    <xdr:to>
      <xdr:col>12</xdr:col>
      <xdr:colOff>919</xdr:colOff>
      <xdr:row>31</xdr:row>
      <xdr:rowOff>148155</xdr:rowOff>
    </xdr:to>
    <xdr:grpSp>
      <xdr:nvGrpSpPr>
        <xdr:cNvPr id="50" name="Gruppo 49">
          <a:extLst>
            <a:ext uri="{FF2B5EF4-FFF2-40B4-BE49-F238E27FC236}">
              <a16:creationId xmlns:a16="http://schemas.microsoft.com/office/drawing/2014/main" id="{2B83F610-81CF-490F-943B-342ADA9EF1A9}"/>
            </a:ext>
          </a:extLst>
        </xdr:cNvPr>
        <xdr:cNvGrpSpPr/>
      </xdr:nvGrpSpPr>
      <xdr:grpSpPr>
        <a:xfrm>
          <a:off x="5664472" y="5510466"/>
          <a:ext cx="1123746" cy="113091"/>
          <a:chOff x="4863962" y="5810256"/>
          <a:chExt cx="1860412" cy="175591"/>
        </a:xfrm>
      </xdr:grpSpPr>
      <xdr:pic>
        <xdr:nvPicPr>
          <xdr:cNvPr id="51" name="Elemento grafico 50" descr="Smile di Harvey Ball 100% contorno">
            <a:extLst>
              <a:ext uri="{FF2B5EF4-FFF2-40B4-BE49-F238E27FC236}">
                <a16:creationId xmlns:a16="http://schemas.microsoft.com/office/drawing/2014/main" id="{B8C3CB98-44BA-050F-9B34-FE3F03F701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52" name="Elemento grafico 51" descr="Smile di Harvey Ball 100% contorno">
            <a:extLst>
              <a:ext uri="{FF2B5EF4-FFF2-40B4-BE49-F238E27FC236}">
                <a16:creationId xmlns:a16="http://schemas.microsoft.com/office/drawing/2014/main" id="{1C2EEE30-7B8D-DFE3-3126-4A15947AE9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53" name="Elemento grafico 52" descr="Smile di Harvey Ball 100% contorno">
            <a:extLst>
              <a:ext uri="{FF2B5EF4-FFF2-40B4-BE49-F238E27FC236}">
                <a16:creationId xmlns:a16="http://schemas.microsoft.com/office/drawing/2014/main" id="{C18A1607-8763-DC16-3898-D1F8B31939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54" name="Elemento grafico 53" descr="Smile di Harvey Ball 100% contorno">
            <a:extLst>
              <a:ext uri="{FF2B5EF4-FFF2-40B4-BE49-F238E27FC236}">
                <a16:creationId xmlns:a16="http://schemas.microsoft.com/office/drawing/2014/main" id="{8692DFC6-B1B7-6A8E-748E-ADD67FC5F6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55" name="Elemento grafico 54" descr="Smile di Harvey Ball 100% contorno">
            <a:extLst>
              <a:ext uri="{FF2B5EF4-FFF2-40B4-BE49-F238E27FC236}">
                <a16:creationId xmlns:a16="http://schemas.microsoft.com/office/drawing/2014/main" id="{93F31541-1601-3E75-CD96-B7B645D8DC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56" name="Elemento grafico 55" descr="Smile di Harvey Ball 100% contorno">
            <a:extLst>
              <a:ext uri="{FF2B5EF4-FFF2-40B4-BE49-F238E27FC236}">
                <a16:creationId xmlns:a16="http://schemas.microsoft.com/office/drawing/2014/main" id="{05BC6280-9033-6D40-3291-D49FB71BC4C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57" name="Elemento grafico 56" descr="Smile di Harvey Ball 100% contorno">
            <a:extLst>
              <a:ext uri="{FF2B5EF4-FFF2-40B4-BE49-F238E27FC236}">
                <a16:creationId xmlns:a16="http://schemas.microsoft.com/office/drawing/2014/main" id="{BD673774-6321-7B28-D8B7-3280FE5BAC3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58" name="Elemento grafico 57" descr="Smile di Harvey Ball 100% contorno">
            <a:extLst>
              <a:ext uri="{FF2B5EF4-FFF2-40B4-BE49-F238E27FC236}">
                <a16:creationId xmlns:a16="http://schemas.microsoft.com/office/drawing/2014/main" id="{50C28BF1-650B-26FE-3D11-BC21AA65B8D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59" name="Elemento grafico 58" descr="Smile di Harvey Ball 100% contorno">
            <a:extLst>
              <a:ext uri="{FF2B5EF4-FFF2-40B4-BE49-F238E27FC236}">
                <a16:creationId xmlns:a16="http://schemas.microsoft.com/office/drawing/2014/main" id="{9E49E8E3-8E2E-83A8-DA1E-B0295D25700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60" name="Elemento grafico 59" descr="Smile di Harvey Ball 100% contorno">
            <a:extLst>
              <a:ext uri="{FF2B5EF4-FFF2-40B4-BE49-F238E27FC236}">
                <a16:creationId xmlns:a16="http://schemas.microsoft.com/office/drawing/2014/main" id="{6F1E4861-8A27-E479-54D8-682EF8D30C6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11</xdr:col>
      <xdr:colOff>36136</xdr:colOff>
      <xdr:row>16</xdr:row>
      <xdr:rowOff>27007</xdr:rowOff>
    </xdr:from>
    <xdr:to>
      <xdr:col>11</xdr:col>
      <xdr:colOff>543847</xdr:colOff>
      <xdr:row>25</xdr:row>
      <xdr:rowOff>152122</xdr:rowOff>
    </xdr:to>
    <xdr:grpSp>
      <xdr:nvGrpSpPr>
        <xdr:cNvPr id="301" name="Gruppo 300">
          <a:extLst>
            <a:ext uri="{FF2B5EF4-FFF2-40B4-BE49-F238E27FC236}">
              <a16:creationId xmlns:a16="http://schemas.microsoft.com/office/drawing/2014/main" id="{15A33033-D6B3-CC9A-A08A-B415722CD522}"/>
            </a:ext>
          </a:extLst>
        </xdr:cNvPr>
        <xdr:cNvGrpSpPr/>
      </xdr:nvGrpSpPr>
      <xdr:grpSpPr>
        <a:xfrm>
          <a:off x="6257827" y="2851120"/>
          <a:ext cx="507711" cy="1715889"/>
          <a:chOff x="6139991" y="2851121"/>
          <a:chExt cx="507711" cy="1715889"/>
        </a:xfrm>
      </xdr:grpSpPr>
      <xdr:grpSp>
        <xdr:nvGrpSpPr>
          <xdr:cNvPr id="185" name="Gruppo 184">
            <a:extLst>
              <a:ext uri="{FF2B5EF4-FFF2-40B4-BE49-F238E27FC236}">
                <a16:creationId xmlns:a16="http://schemas.microsoft.com/office/drawing/2014/main" id="{26A3E202-2A14-D476-2F76-1F38533AC413}"/>
              </a:ext>
            </a:extLst>
          </xdr:cNvPr>
          <xdr:cNvGrpSpPr/>
        </xdr:nvGrpSpPr>
        <xdr:grpSpPr>
          <a:xfrm>
            <a:off x="6139991" y="2851121"/>
            <a:ext cx="507711" cy="124677"/>
            <a:chOff x="7275647" y="2818048"/>
            <a:chExt cx="668636" cy="152754"/>
          </a:xfrm>
        </xdr:grpSpPr>
        <xdr:pic>
          <xdr:nvPicPr>
            <xdr:cNvPr id="240" name="Elemento grafico 239" descr="Acqua contorno">
              <a:extLst>
                <a:ext uri="{FF2B5EF4-FFF2-40B4-BE49-F238E27FC236}">
                  <a16:creationId xmlns:a16="http://schemas.microsoft.com/office/drawing/2014/main" id="{D4E48CBF-045D-4468-54CA-024502A4833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41" name="Elemento grafico 240" descr="Acqua contorno">
              <a:extLst>
                <a:ext uri="{FF2B5EF4-FFF2-40B4-BE49-F238E27FC236}">
                  <a16:creationId xmlns:a16="http://schemas.microsoft.com/office/drawing/2014/main" id="{8BA69176-726B-B761-2114-584A452E2E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42" name="Elemento grafico 241" descr="Acqua contorno">
              <a:extLst>
                <a:ext uri="{FF2B5EF4-FFF2-40B4-BE49-F238E27FC236}">
                  <a16:creationId xmlns:a16="http://schemas.microsoft.com/office/drawing/2014/main" id="{03C52EFC-4548-E2C5-E1E6-55E440C31FC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43" name="Elemento grafico 242" descr="Acqua contorno">
              <a:extLst>
                <a:ext uri="{FF2B5EF4-FFF2-40B4-BE49-F238E27FC236}">
                  <a16:creationId xmlns:a16="http://schemas.microsoft.com/office/drawing/2014/main" id="{9900EC13-1E78-9A8C-3941-645B5A246F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44" name="Elemento grafico 243" descr="Acqua contorno">
              <a:extLst>
                <a:ext uri="{FF2B5EF4-FFF2-40B4-BE49-F238E27FC236}">
                  <a16:creationId xmlns:a16="http://schemas.microsoft.com/office/drawing/2014/main" id="{F2F627CE-25F9-4173-6990-1DBDC26BEA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47" name="Gruppo 246">
            <a:extLst>
              <a:ext uri="{FF2B5EF4-FFF2-40B4-BE49-F238E27FC236}">
                <a16:creationId xmlns:a16="http://schemas.microsoft.com/office/drawing/2014/main" id="{71DE67DA-B0A5-4E6E-8948-860F6719264F}"/>
              </a:ext>
            </a:extLst>
          </xdr:cNvPr>
          <xdr:cNvGrpSpPr/>
        </xdr:nvGrpSpPr>
        <xdr:grpSpPr>
          <a:xfrm>
            <a:off x="6139991" y="3027922"/>
            <a:ext cx="507711" cy="124677"/>
            <a:chOff x="7275647" y="2818048"/>
            <a:chExt cx="668636" cy="152754"/>
          </a:xfrm>
        </xdr:grpSpPr>
        <xdr:pic>
          <xdr:nvPicPr>
            <xdr:cNvPr id="248" name="Elemento grafico 247" descr="Acqua contorno">
              <a:extLst>
                <a:ext uri="{FF2B5EF4-FFF2-40B4-BE49-F238E27FC236}">
                  <a16:creationId xmlns:a16="http://schemas.microsoft.com/office/drawing/2014/main" id="{7DE33147-8B64-0454-9946-118420A8B80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49" name="Elemento grafico 248" descr="Acqua contorno">
              <a:extLst>
                <a:ext uri="{FF2B5EF4-FFF2-40B4-BE49-F238E27FC236}">
                  <a16:creationId xmlns:a16="http://schemas.microsoft.com/office/drawing/2014/main" id="{983AC6D0-3F7D-84E7-1BEF-9F86D99F2F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50" name="Elemento grafico 249" descr="Acqua contorno">
              <a:extLst>
                <a:ext uri="{FF2B5EF4-FFF2-40B4-BE49-F238E27FC236}">
                  <a16:creationId xmlns:a16="http://schemas.microsoft.com/office/drawing/2014/main" id="{05B763D4-715B-4CDD-666B-7C71536DF01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51" name="Elemento grafico 250" descr="Acqua contorno">
              <a:extLst>
                <a:ext uri="{FF2B5EF4-FFF2-40B4-BE49-F238E27FC236}">
                  <a16:creationId xmlns:a16="http://schemas.microsoft.com/office/drawing/2014/main" id="{0D0EEAE1-3B1B-5918-BBAB-4E2621A853B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52" name="Elemento grafico 251" descr="Acqua contorno">
              <a:extLst>
                <a:ext uri="{FF2B5EF4-FFF2-40B4-BE49-F238E27FC236}">
                  <a16:creationId xmlns:a16="http://schemas.microsoft.com/office/drawing/2014/main" id="{C3E928D1-A039-279B-3108-10F930ADFB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53" name="Gruppo 252">
            <a:extLst>
              <a:ext uri="{FF2B5EF4-FFF2-40B4-BE49-F238E27FC236}">
                <a16:creationId xmlns:a16="http://schemas.microsoft.com/office/drawing/2014/main" id="{BBE8FE7D-9D9B-454E-9040-00CE5EB74ACF}"/>
              </a:ext>
            </a:extLst>
          </xdr:cNvPr>
          <xdr:cNvGrpSpPr/>
        </xdr:nvGrpSpPr>
        <xdr:grpSpPr>
          <a:xfrm>
            <a:off x="6139991" y="3204723"/>
            <a:ext cx="507711" cy="124677"/>
            <a:chOff x="7275647" y="2818048"/>
            <a:chExt cx="668636" cy="152754"/>
          </a:xfrm>
        </xdr:grpSpPr>
        <xdr:pic>
          <xdr:nvPicPr>
            <xdr:cNvPr id="254" name="Elemento grafico 253" descr="Acqua contorno">
              <a:extLst>
                <a:ext uri="{FF2B5EF4-FFF2-40B4-BE49-F238E27FC236}">
                  <a16:creationId xmlns:a16="http://schemas.microsoft.com/office/drawing/2014/main" id="{1360C259-3C9E-F7F0-C883-189E4EA02A5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55" name="Elemento grafico 254" descr="Acqua contorno">
              <a:extLst>
                <a:ext uri="{FF2B5EF4-FFF2-40B4-BE49-F238E27FC236}">
                  <a16:creationId xmlns:a16="http://schemas.microsoft.com/office/drawing/2014/main" id="{E16B2374-60CB-F960-E91A-28C7E4A3CE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56" name="Elemento grafico 255" descr="Acqua contorno">
              <a:extLst>
                <a:ext uri="{FF2B5EF4-FFF2-40B4-BE49-F238E27FC236}">
                  <a16:creationId xmlns:a16="http://schemas.microsoft.com/office/drawing/2014/main" id="{30F2BA7C-763A-7341-CC93-C2844DA4DD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57" name="Elemento grafico 256" descr="Acqua contorno">
              <a:extLst>
                <a:ext uri="{FF2B5EF4-FFF2-40B4-BE49-F238E27FC236}">
                  <a16:creationId xmlns:a16="http://schemas.microsoft.com/office/drawing/2014/main" id="{89A9A64F-F88F-6A4A-A358-B85967794B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58" name="Elemento grafico 257" descr="Acqua contorno">
              <a:extLst>
                <a:ext uri="{FF2B5EF4-FFF2-40B4-BE49-F238E27FC236}">
                  <a16:creationId xmlns:a16="http://schemas.microsoft.com/office/drawing/2014/main" id="{3673DB06-9BDC-8E80-6287-558153FC17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59" name="Gruppo 258">
            <a:extLst>
              <a:ext uri="{FF2B5EF4-FFF2-40B4-BE49-F238E27FC236}">
                <a16:creationId xmlns:a16="http://schemas.microsoft.com/office/drawing/2014/main" id="{3D947BB5-DAD6-4684-9F55-3C26F24394E5}"/>
              </a:ext>
            </a:extLst>
          </xdr:cNvPr>
          <xdr:cNvGrpSpPr/>
        </xdr:nvGrpSpPr>
        <xdr:grpSpPr>
          <a:xfrm>
            <a:off x="6139991" y="3381524"/>
            <a:ext cx="507711" cy="124677"/>
            <a:chOff x="7275647" y="2818048"/>
            <a:chExt cx="668636" cy="152754"/>
          </a:xfrm>
        </xdr:grpSpPr>
        <xdr:pic>
          <xdr:nvPicPr>
            <xdr:cNvPr id="260" name="Elemento grafico 259" descr="Acqua contorno">
              <a:extLst>
                <a:ext uri="{FF2B5EF4-FFF2-40B4-BE49-F238E27FC236}">
                  <a16:creationId xmlns:a16="http://schemas.microsoft.com/office/drawing/2014/main" id="{2772B7E0-E19D-61C6-7978-DAF40A4B1EE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61" name="Elemento grafico 260" descr="Acqua contorno">
              <a:extLst>
                <a:ext uri="{FF2B5EF4-FFF2-40B4-BE49-F238E27FC236}">
                  <a16:creationId xmlns:a16="http://schemas.microsoft.com/office/drawing/2014/main" id="{ABE6B659-72D0-01D8-7B7C-DF37AAE0C3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62" name="Elemento grafico 261" descr="Acqua contorno">
              <a:extLst>
                <a:ext uri="{FF2B5EF4-FFF2-40B4-BE49-F238E27FC236}">
                  <a16:creationId xmlns:a16="http://schemas.microsoft.com/office/drawing/2014/main" id="{1E8ABE22-7EA4-670D-8F75-DABB9F15036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63" name="Elemento grafico 262" descr="Acqua contorno">
              <a:extLst>
                <a:ext uri="{FF2B5EF4-FFF2-40B4-BE49-F238E27FC236}">
                  <a16:creationId xmlns:a16="http://schemas.microsoft.com/office/drawing/2014/main" id="{C3B4B0EB-C0CE-3373-F529-981F07A3FC6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64" name="Elemento grafico 263" descr="Acqua contorno">
              <a:extLst>
                <a:ext uri="{FF2B5EF4-FFF2-40B4-BE49-F238E27FC236}">
                  <a16:creationId xmlns:a16="http://schemas.microsoft.com/office/drawing/2014/main" id="{1B208118-7D51-E40A-399D-73EF44354DE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65" name="Gruppo 264">
            <a:extLst>
              <a:ext uri="{FF2B5EF4-FFF2-40B4-BE49-F238E27FC236}">
                <a16:creationId xmlns:a16="http://schemas.microsoft.com/office/drawing/2014/main" id="{DF412EE0-ED08-40AA-ADF1-56459C139938}"/>
              </a:ext>
            </a:extLst>
          </xdr:cNvPr>
          <xdr:cNvGrpSpPr/>
        </xdr:nvGrpSpPr>
        <xdr:grpSpPr>
          <a:xfrm>
            <a:off x="6139991" y="3558325"/>
            <a:ext cx="507711" cy="124677"/>
            <a:chOff x="7275647" y="2818048"/>
            <a:chExt cx="668636" cy="152754"/>
          </a:xfrm>
        </xdr:grpSpPr>
        <xdr:pic>
          <xdr:nvPicPr>
            <xdr:cNvPr id="266" name="Elemento grafico 265" descr="Acqua contorno">
              <a:extLst>
                <a:ext uri="{FF2B5EF4-FFF2-40B4-BE49-F238E27FC236}">
                  <a16:creationId xmlns:a16="http://schemas.microsoft.com/office/drawing/2014/main" id="{7477110E-54FE-7F73-8F93-6A20064C98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67" name="Elemento grafico 266" descr="Acqua contorno">
              <a:extLst>
                <a:ext uri="{FF2B5EF4-FFF2-40B4-BE49-F238E27FC236}">
                  <a16:creationId xmlns:a16="http://schemas.microsoft.com/office/drawing/2014/main" id="{93E709C5-D901-1F62-87F8-B09AB69A66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68" name="Elemento grafico 267" descr="Acqua contorno">
              <a:extLst>
                <a:ext uri="{FF2B5EF4-FFF2-40B4-BE49-F238E27FC236}">
                  <a16:creationId xmlns:a16="http://schemas.microsoft.com/office/drawing/2014/main" id="{539139CE-6518-A0F0-B3DF-F43209FC07B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69" name="Elemento grafico 268" descr="Acqua contorno">
              <a:extLst>
                <a:ext uri="{FF2B5EF4-FFF2-40B4-BE49-F238E27FC236}">
                  <a16:creationId xmlns:a16="http://schemas.microsoft.com/office/drawing/2014/main" id="{7C936622-DD57-6318-59EE-F7AD5829F0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70" name="Elemento grafico 269" descr="Acqua contorno">
              <a:extLst>
                <a:ext uri="{FF2B5EF4-FFF2-40B4-BE49-F238E27FC236}">
                  <a16:creationId xmlns:a16="http://schemas.microsoft.com/office/drawing/2014/main" id="{B6020636-D6F8-DB89-AA61-EEA6E2BDF29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71" name="Gruppo 270">
            <a:extLst>
              <a:ext uri="{FF2B5EF4-FFF2-40B4-BE49-F238E27FC236}">
                <a16:creationId xmlns:a16="http://schemas.microsoft.com/office/drawing/2014/main" id="{355F8D39-2E38-4F93-B1FE-1247F98EA160}"/>
              </a:ext>
            </a:extLst>
          </xdr:cNvPr>
          <xdr:cNvGrpSpPr/>
        </xdr:nvGrpSpPr>
        <xdr:grpSpPr>
          <a:xfrm>
            <a:off x="6139991" y="4442333"/>
            <a:ext cx="507711" cy="124677"/>
            <a:chOff x="7275647" y="2818048"/>
            <a:chExt cx="668636" cy="152754"/>
          </a:xfrm>
        </xdr:grpSpPr>
        <xdr:pic>
          <xdr:nvPicPr>
            <xdr:cNvPr id="272" name="Elemento grafico 271" descr="Acqua contorno">
              <a:extLst>
                <a:ext uri="{FF2B5EF4-FFF2-40B4-BE49-F238E27FC236}">
                  <a16:creationId xmlns:a16="http://schemas.microsoft.com/office/drawing/2014/main" id="{0BB4939C-6763-DADD-2782-6A4EACADC7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73" name="Elemento grafico 272" descr="Acqua contorno">
              <a:extLst>
                <a:ext uri="{FF2B5EF4-FFF2-40B4-BE49-F238E27FC236}">
                  <a16:creationId xmlns:a16="http://schemas.microsoft.com/office/drawing/2014/main" id="{B4218A6E-D577-EAA6-D4BF-C5A6A37FB9A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74" name="Elemento grafico 273" descr="Acqua contorno">
              <a:extLst>
                <a:ext uri="{FF2B5EF4-FFF2-40B4-BE49-F238E27FC236}">
                  <a16:creationId xmlns:a16="http://schemas.microsoft.com/office/drawing/2014/main" id="{5E49AC3F-5F72-A625-E896-45E3A41AC0D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75" name="Elemento grafico 274" descr="Acqua contorno">
              <a:extLst>
                <a:ext uri="{FF2B5EF4-FFF2-40B4-BE49-F238E27FC236}">
                  <a16:creationId xmlns:a16="http://schemas.microsoft.com/office/drawing/2014/main" id="{8AEDB454-94A1-4849-7DD1-A58921A4CAB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76" name="Elemento grafico 275" descr="Acqua contorno">
              <a:extLst>
                <a:ext uri="{FF2B5EF4-FFF2-40B4-BE49-F238E27FC236}">
                  <a16:creationId xmlns:a16="http://schemas.microsoft.com/office/drawing/2014/main" id="{12C2E9D0-2691-C762-D5EB-DBD3FDF03DE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77" name="Gruppo 276">
            <a:extLst>
              <a:ext uri="{FF2B5EF4-FFF2-40B4-BE49-F238E27FC236}">
                <a16:creationId xmlns:a16="http://schemas.microsoft.com/office/drawing/2014/main" id="{50B5597A-ABBC-4CDC-B82C-204ABA1B1DEF}"/>
              </a:ext>
            </a:extLst>
          </xdr:cNvPr>
          <xdr:cNvGrpSpPr/>
        </xdr:nvGrpSpPr>
        <xdr:grpSpPr>
          <a:xfrm>
            <a:off x="6139991" y="3735126"/>
            <a:ext cx="507711" cy="124677"/>
            <a:chOff x="7275647" y="2818048"/>
            <a:chExt cx="668636" cy="152754"/>
          </a:xfrm>
        </xdr:grpSpPr>
        <xdr:pic>
          <xdr:nvPicPr>
            <xdr:cNvPr id="278" name="Elemento grafico 277" descr="Acqua contorno">
              <a:extLst>
                <a:ext uri="{FF2B5EF4-FFF2-40B4-BE49-F238E27FC236}">
                  <a16:creationId xmlns:a16="http://schemas.microsoft.com/office/drawing/2014/main" id="{FC14A82A-795A-45E9-FDD9-ABB622B2EF5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79" name="Elemento grafico 278" descr="Acqua contorno">
              <a:extLst>
                <a:ext uri="{FF2B5EF4-FFF2-40B4-BE49-F238E27FC236}">
                  <a16:creationId xmlns:a16="http://schemas.microsoft.com/office/drawing/2014/main" id="{3914CADC-2EF5-1FF5-3E47-D97D568FAB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80" name="Elemento grafico 279" descr="Acqua contorno">
              <a:extLst>
                <a:ext uri="{FF2B5EF4-FFF2-40B4-BE49-F238E27FC236}">
                  <a16:creationId xmlns:a16="http://schemas.microsoft.com/office/drawing/2014/main" id="{8A26D7B0-C116-4409-D4CC-CD06403E7C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81" name="Elemento grafico 280" descr="Acqua contorno">
              <a:extLst>
                <a:ext uri="{FF2B5EF4-FFF2-40B4-BE49-F238E27FC236}">
                  <a16:creationId xmlns:a16="http://schemas.microsoft.com/office/drawing/2014/main" id="{D1D6B84E-3A4F-5004-F35A-1DF3D9C36C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82" name="Elemento grafico 281" descr="Acqua contorno">
              <a:extLst>
                <a:ext uri="{FF2B5EF4-FFF2-40B4-BE49-F238E27FC236}">
                  <a16:creationId xmlns:a16="http://schemas.microsoft.com/office/drawing/2014/main" id="{847D6BBB-6DCB-502D-D2A5-63DE699967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83" name="Gruppo 282">
            <a:extLst>
              <a:ext uri="{FF2B5EF4-FFF2-40B4-BE49-F238E27FC236}">
                <a16:creationId xmlns:a16="http://schemas.microsoft.com/office/drawing/2014/main" id="{6494A8DC-5536-4E69-85D4-713477D82F46}"/>
              </a:ext>
            </a:extLst>
          </xdr:cNvPr>
          <xdr:cNvGrpSpPr/>
        </xdr:nvGrpSpPr>
        <xdr:grpSpPr>
          <a:xfrm>
            <a:off x="6139991" y="3911927"/>
            <a:ext cx="507711" cy="124677"/>
            <a:chOff x="7275647" y="2818048"/>
            <a:chExt cx="668636" cy="152754"/>
          </a:xfrm>
        </xdr:grpSpPr>
        <xdr:pic>
          <xdr:nvPicPr>
            <xdr:cNvPr id="284" name="Elemento grafico 283" descr="Acqua contorno">
              <a:extLst>
                <a:ext uri="{FF2B5EF4-FFF2-40B4-BE49-F238E27FC236}">
                  <a16:creationId xmlns:a16="http://schemas.microsoft.com/office/drawing/2014/main" id="{01F55B15-1CAC-22A3-DE2D-28480B60B17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85" name="Elemento grafico 284" descr="Acqua contorno">
              <a:extLst>
                <a:ext uri="{FF2B5EF4-FFF2-40B4-BE49-F238E27FC236}">
                  <a16:creationId xmlns:a16="http://schemas.microsoft.com/office/drawing/2014/main" id="{DB245867-95DA-9E84-DDD3-C13983CA4A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86" name="Elemento grafico 285" descr="Acqua contorno">
              <a:extLst>
                <a:ext uri="{FF2B5EF4-FFF2-40B4-BE49-F238E27FC236}">
                  <a16:creationId xmlns:a16="http://schemas.microsoft.com/office/drawing/2014/main" id="{C4C545FC-D487-D3D8-4C72-E5DD0ECEA9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87" name="Elemento grafico 286" descr="Acqua contorno">
              <a:extLst>
                <a:ext uri="{FF2B5EF4-FFF2-40B4-BE49-F238E27FC236}">
                  <a16:creationId xmlns:a16="http://schemas.microsoft.com/office/drawing/2014/main" id="{4A111FC8-8FEF-EAC4-C81A-EF100B44C52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88" name="Elemento grafico 287" descr="Acqua contorno">
              <a:extLst>
                <a:ext uri="{FF2B5EF4-FFF2-40B4-BE49-F238E27FC236}">
                  <a16:creationId xmlns:a16="http://schemas.microsoft.com/office/drawing/2014/main" id="{5A21EB29-308C-3B46-0AE9-A016F764075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89" name="Gruppo 288">
            <a:extLst>
              <a:ext uri="{FF2B5EF4-FFF2-40B4-BE49-F238E27FC236}">
                <a16:creationId xmlns:a16="http://schemas.microsoft.com/office/drawing/2014/main" id="{86F2F705-3E92-44CA-836F-FB2F18B63529}"/>
              </a:ext>
            </a:extLst>
          </xdr:cNvPr>
          <xdr:cNvGrpSpPr/>
        </xdr:nvGrpSpPr>
        <xdr:grpSpPr>
          <a:xfrm>
            <a:off x="6139991" y="4088728"/>
            <a:ext cx="507711" cy="124677"/>
            <a:chOff x="7275647" y="2818048"/>
            <a:chExt cx="668636" cy="152754"/>
          </a:xfrm>
        </xdr:grpSpPr>
        <xdr:pic>
          <xdr:nvPicPr>
            <xdr:cNvPr id="290" name="Elemento grafico 289" descr="Acqua contorno">
              <a:extLst>
                <a:ext uri="{FF2B5EF4-FFF2-40B4-BE49-F238E27FC236}">
                  <a16:creationId xmlns:a16="http://schemas.microsoft.com/office/drawing/2014/main" id="{80451B44-1EB7-D2FA-1BDC-02DF940411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91" name="Elemento grafico 290" descr="Acqua contorno">
              <a:extLst>
                <a:ext uri="{FF2B5EF4-FFF2-40B4-BE49-F238E27FC236}">
                  <a16:creationId xmlns:a16="http://schemas.microsoft.com/office/drawing/2014/main" id="{54AD1C38-A8CE-192B-7D64-36D169F42B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92" name="Elemento grafico 291" descr="Acqua contorno">
              <a:extLst>
                <a:ext uri="{FF2B5EF4-FFF2-40B4-BE49-F238E27FC236}">
                  <a16:creationId xmlns:a16="http://schemas.microsoft.com/office/drawing/2014/main" id="{EFF2127F-D9C8-A9CA-4D32-FD81251058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93" name="Elemento grafico 292" descr="Acqua contorno">
              <a:extLst>
                <a:ext uri="{FF2B5EF4-FFF2-40B4-BE49-F238E27FC236}">
                  <a16:creationId xmlns:a16="http://schemas.microsoft.com/office/drawing/2014/main" id="{B8ED5533-F1B5-7DD3-8777-B97AC79D45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294" name="Elemento grafico 293" descr="Acqua contorno">
              <a:extLst>
                <a:ext uri="{FF2B5EF4-FFF2-40B4-BE49-F238E27FC236}">
                  <a16:creationId xmlns:a16="http://schemas.microsoft.com/office/drawing/2014/main" id="{9E9F5FF9-F4F0-F849-FA6D-7009247D8B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295" name="Gruppo 294">
            <a:extLst>
              <a:ext uri="{FF2B5EF4-FFF2-40B4-BE49-F238E27FC236}">
                <a16:creationId xmlns:a16="http://schemas.microsoft.com/office/drawing/2014/main" id="{B70179A0-74FA-4D94-A999-4BA41757682B}"/>
              </a:ext>
            </a:extLst>
          </xdr:cNvPr>
          <xdr:cNvGrpSpPr/>
        </xdr:nvGrpSpPr>
        <xdr:grpSpPr>
          <a:xfrm>
            <a:off x="6139991" y="4265529"/>
            <a:ext cx="507711" cy="124677"/>
            <a:chOff x="7275647" y="2818048"/>
            <a:chExt cx="668636" cy="152754"/>
          </a:xfrm>
        </xdr:grpSpPr>
        <xdr:pic>
          <xdr:nvPicPr>
            <xdr:cNvPr id="296" name="Elemento grafico 295" descr="Acqua contorno">
              <a:extLst>
                <a:ext uri="{FF2B5EF4-FFF2-40B4-BE49-F238E27FC236}">
                  <a16:creationId xmlns:a16="http://schemas.microsoft.com/office/drawing/2014/main" id="{5061A07A-F799-8AF2-C2CC-A431A105F40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297" name="Elemento grafico 296" descr="Acqua contorno">
              <a:extLst>
                <a:ext uri="{FF2B5EF4-FFF2-40B4-BE49-F238E27FC236}">
                  <a16:creationId xmlns:a16="http://schemas.microsoft.com/office/drawing/2014/main" id="{DF6F1985-A58E-0956-8549-99FCD65516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298" name="Elemento grafico 297" descr="Acqua contorno">
              <a:extLst>
                <a:ext uri="{FF2B5EF4-FFF2-40B4-BE49-F238E27FC236}">
                  <a16:creationId xmlns:a16="http://schemas.microsoft.com/office/drawing/2014/main" id="{5D966DB3-B335-0AC6-69F8-540D797FF39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299" name="Elemento grafico 298" descr="Acqua contorno">
              <a:extLst>
                <a:ext uri="{FF2B5EF4-FFF2-40B4-BE49-F238E27FC236}">
                  <a16:creationId xmlns:a16="http://schemas.microsoft.com/office/drawing/2014/main" id="{EB60F7F2-E371-9E2B-0F55-EB43338E379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00" name="Elemento grafico 299" descr="Acqua contorno">
              <a:extLst>
                <a:ext uri="{FF2B5EF4-FFF2-40B4-BE49-F238E27FC236}">
                  <a16:creationId xmlns:a16="http://schemas.microsoft.com/office/drawing/2014/main" id="{243735DA-CDC2-F336-7F70-AD11D34F387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3</xdr:col>
      <xdr:colOff>35351</xdr:colOff>
      <xdr:row>16</xdr:row>
      <xdr:rowOff>26221</xdr:rowOff>
    </xdr:from>
    <xdr:to>
      <xdr:col>3</xdr:col>
      <xdr:colOff>543062</xdr:colOff>
      <xdr:row>25</xdr:row>
      <xdr:rowOff>151336</xdr:rowOff>
    </xdr:to>
    <xdr:grpSp>
      <xdr:nvGrpSpPr>
        <xdr:cNvPr id="302" name="Gruppo 301">
          <a:extLst>
            <a:ext uri="{FF2B5EF4-FFF2-40B4-BE49-F238E27FC236}">
              <a16:creationId xmlns:a16="http://schemas.microsoft.com/office/drawing/2014/main" id="{B09C45AE-25E9-4481-9785-FB815AAF7DD0}"/>
            </a:ext>
          </a:extLst>
        </xdr:cNvPr>
        <xdr:cNvGrpSpPr/>
      </xdr:nvGrpSpPr>
      <xdr:grpSpPr>
        <a:xfrm>
          <a:off x="1732176" y="2850334"/>
          <a:ext cx="507711" cy="1715889"/>
          <a:chOff x="6139991" y="2851121"/>
          <a:chExt cx="507711" cy="1715889"/>
        </a:xfrm>
      </xdr:grpSpPr>
      <xdr:grpSp>
        <xdr:nvGrpSpPr>
          <xdr:cNvPr id="303" name="Gruppo 302">
            <a:extLst>
              <a:ext uri="{FF2B5EF4-FFF2-40B4-BE49-F238E27FC236}">
                <a16:creationId xmlns:a16="http://schemas.microsoft.com/office/drawing/2014/main" id="{ABEE81FC-D9CC-0D89-A71F-3342C02DB0FF}"/>
              </a:ext>
            </a:extLst>
          </xdr:cNvPr>
          <xdr:cNvGrpSpPr/>
        </xdr:nvGrpSpPr>
        <xdr:grpSpPr>
          <a:xfrm>
            <a:off x="6139991" y="2851121"/>
            <a:ext cx="507711" cy="124677"/>
            <a:chOff x="7275647" y="2818048"/>
            <a:chExt cx="668636" cy="152754"/>
          </a:xfrm>
        </xdr:grpSpPr>
        <xdr:pic>
          <xdr:nvPicPr>
            <xdr:cNvPr id="358" name="Elemento grafico 357" descr="Acqua contorno">
              <a:extLst>
                <a:ext uri="{FF2B5EF4-FFF2-40B4-BE49-F238E27FC236}">
                  <a16:creationId xmlns:a16="http://schemas.microsoft.com/office/drawing/2014/main" id="{3F91FEB0-F41A-8D7A-9282-E12EA6DDCA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59" name="Elemento grafico 358" descr="Acqua contorno">
              <a:extLst>
                <a:ext uri="{FF2B5EF4-FFF2-40B4-BE49-F238E27FC236}">
                  <a16:creationId xmlns:a16="http://schemas.microsoft.com/office/drawing/2014/main" id="{2877EA95-F776-40A9-F93E-88DCDB26308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60" name="Elemento grafico 359" descr="Acqua contorno">
              <a:extLst>
                <a:ext uri="{FF2B5EF4-FFF2-40B4-BE49-F238E27FC236}">
                  <a16:creationId xmlns:a16="http://schemas.microsoft.com/office/drawing/2014/main" id="{CC084A56-5980-A004-AE08-95AC30A463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61" name="Elemento grafico 360" descr="Acqua contorno">
              <a:extLst>
                <a:ext uri="{FF2B5EF4-FFF2-40B4-BE49-F238E27FC236}">
                  <a16:creationId xmlns:a16="http://schemas.microsoft.com/office/drawing/2014/main" id="{D897D1E9-BC61-156A-ABE7-A6610FB95B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62" name="Elemento grafico 361" descr="Acqua contorno">
              <a:extLst>
                <a:ext uri="{FF2B5EF4-FFF2-40B4-BE49-F238E27FC236}">
                  <a16:creationId xmlns:a16="http://schemas.microsoft.com/office/drawing/2014/main" id="{1D24DB4D-A840-D9F9-C1AD-6E62046DD03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4" name="Gruppo 303">
            <a:extLst>
              <a:ext uri="{FF2B5EF4-FFF2-40B4-BE49-F238E27FC236}">
                <a16:creationId xmlns:a16="http://schemas.microsoft.com/office/drawing/2014/main" id="{B89E5FC9-D355-B47B-4B19-377DCD55C1E1}"/>
              </a:ext>
            </a:extLst>
          </xdr:cNvPr>
          <xdr:cNvGrpSpPr/>
        </xdr:nvGrpSpPr>
        <xdr:grpSpPr>
          <a:xfrm>
            <a:off x="6139991" y="3027922"/>
            <a:ext cx="507711" cy="124677"/>
            <a:chOff x="7275647" y="2818048"/>
            <a:chExt cx="668636" cy="152754"/>
          </a:xfrm>
        </xdr:grpSpPr>
        <xdr:pic>
          <xdr:nvPicPr>
            <xdr:cNvPr id="353" name="Elemento grafico 352" descr="Acqua contorno">
              <a:extLst>
                <a:ext uri="{FF2B5EF4-FFF2-40B4-BE49-F238E27FC236}">
                  <a16:creationId xmlns:a16="http://schemas.microsoft.com/office/drawing/2014/main" id="{E667368B-B8C8-8CFD-2E45-9299A8A04C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54" name="Elemento grafico 353" descr="Acqua contorno">
              <a:extLst>
                <a:ext uri="{FF2B5EF4-FFF2-40B4-BE49-F238E27FC236}">
                  <a16:creationId xmlns:a16="http://schemas.microsoft.com/office/drawing/2014/main" id="{A2B8319B-5CC9-930F-E068-73DD097CE9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55" name="Elemento grafico 354" descr="Acqua contorno">
              <a:extLst>
                <a:ext uri="{FF2B5EF4-FFF2-40B4-BE49-F238E27FC236}">
                  <a16:creationId xmlns:a16="http://schemas.microsoft.com/office/drawing/2014/main" id="{38AD2471-6C7A-0A68-67B9-54FAE932601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56" name="Elemento grafico 355" descr="Acqua contorno">
              <a:extLst>
                <a:ext uri="{FF2B5EF4-FFF2-40B4-BE49-F238E27FC236}">
                  <a16:creationId xmlns:a16="http://schemas.microsoft.com/office/drawing/2014/main" id="{2380AF13-A691-1069-B5C3-18ED17F8C7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57" name="Elemento grafico 356" descr="Acqua contorno">
              <a:extLst>
                <a:ext uri="{FF2B5EF4-FFF2-40B4-BE49-F238E27FC236}">
                  <a16:creationId xmlns:a16="http://schemas.microsoft.com/office/drawing/2014/main" id="{7C6F6ED6-07F8-3610-C529-3FC50D1877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5" name="Gruppo 304">
            <a:extLst>
              <a:ext uri="{FF2B5EF4-FFF2-40B4-BE49-F238E27FC236}">
                <a16:creationId xmlns:a16="http://schemas.microsoft.com/office/drawing/2014/main" id="{737D95B6-08CF-E15D-83BC-6490F62670B9}"/>
              </a:ext>
            </a:extLst>
          </xdr:cNvPr>
          <xdr:cNvGrpSpPr/>
        </xdr:nvGrpSpPr>
        <xdr:grpSpPr>
          <a:xfrm>
            <a:off x="6139991" y="3204723"/>
            <a:ext cx="507711" cy="124677"/>
            <a:chOff x="7275647" y="2818048"/>
            <a:chExt cx="668636" cy="152754"/>
          </a:xfrm>
        </xdr:grpSpPr>
        <xdr:pic>
          <xdr:nvPicPr>
            <xdr:cNvPr id="348" name="Elemento grafico 347" descr="Acqua contorno">
              <a:extLst>
                <a:ext uri="{FF2B5EF4-FFF2-40B4-BE49-F238E27FC236}">
                  <a16:creationId xmlns:a16="http://schemas.microsoft.com/office/drawing/2014/main" id="{820036D0-E176-5D45-DFE1-343DACF34F2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49" name="Elemento grafico 348" descr="Acqua contorno">
              <a:extLst>
                <a:ext uri="{FF2B5EF4-FFF2-40B4-BE49-F238E27FC236}">
                  <a16:creationId xmlns:a16="http://schemas.microsoft.com/office/drawing/2014/main" id="{A7F3F446-077F-7D70-FC50-5D4960892D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50" name="Elemento grafico 349" descr="Acqua contorno">
              <a:extLst>
                <a:ext uri="{FF2B5EF4-FFF2-40B4-BE49-F238E27FC236}">
                  <a16:creationId xmlns:a16="http://schemas.microsoft.com/office/drawing/2014/main" id="{1A0AF852-990B-1DCB-D963-EFEBF830D6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51" name="Elemento grafico 350" descr="Acqua contorno">
              <a:extLst>
                <a:ext uri="{FF2B5EF4-FFF2-40B4-BE49-F238E27FC236}">
                  <a16:creationId xmlns:a16="http://schemas.microsoft.com/office/drawing/2014/main" id="{A215959A-DF70-34D7-9DC9-4B66301275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52" name="Elemento grafico 351" descr="Acqua contorno">
              <a:extLst>
                <a:ext uri="{FF2B5EF4-FFF2-40B4-BE49-F238E27FC236}">
                  <a16:creationId xmlns:a16="http://schemas.microsoft.com/office/drawing/2014/main" id="{B93B4388-536D-ADB8-B91D-F3CBFF6EA0E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6" name="Gruppo 305">
            <a:extLst>
              <a:ext uri="{FF2B5EF4-FFF2-40B4-BE49-F238E27FC236}">
                <a16:creationId xmlns:a16="http://schemas.microsoft.com/office/drawing/2014/main" id="{58A53FD7-3679-1ACB-7D46-0C3D2F382E62}"/>
              </a:ext>
            </a:extLst>
          </xdr:cNvPr>
          <xdr:cNvGrpSpPr/>
        </xdr:nvGrpSpPr>
        <xdr:grpSpPr>
          <a:xfrm>
            <a:off x="6139991" y="3381524"/>
            <a:ext cx="507711" cy="124677"/>
            <a:chOff x="7275647" y="2818048"/>
            <a:chExt cx="668636" cy="152754"/>
          </a:xfrm>
        </xdr:grpSpPr>
        <xdr:pic>
          <xdr:nvPicPr>
            <xdr:cNvPr id="343" name="Elemento grafico 342" descr="Acqua contorno">
              <a:extLst>
                <a:ext uri="{FF2B5EF4-FFF2-40B4-BE49-F238E27FC236}">
                  <a16:creationId xmlns:a16="http://schemas.microsoft.com/office/drawing/2014/main" id="{9EB22AD3-64D2-701E-3CCA-BBCB476191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44" name="Elemento grafico 343" descr="Acqua contorno">
              <a:extLst>
                <a:ext uri="{FF2B5EF4-FFF2-40B4-BE49-F238E27FC236}">
                  <a16:creationId xmlns:a16="http://schemas.microsoft.com/office/drawing/2014/main" id="{F6DFC1F8-81A6-E605-2281-BE05116427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45" name="Elemento grafico 344" descr="Acqua contorno">
              <a:extLst>
                <a:ext uri="{FF2B5EF4-FFF2-40B4-BE49-F238E27FC236}">
                  <a16:creationId xmlns:a16="http://schemas.microsoft.com/office/drawing/2014/main" id="{76746532-25D9-E962-8FDB-AB88043006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46" name="Elemento grafico 345" descr="Acqua contorno">
              <a:extLst>
                <a:ext uri="{FF2B5EF4-FFF2-40B4-BE49-F238E27FC236}">
                  <a16:creationId xmlns:a16="http://schemas.microsoft.com/office/drawing/2014/main" id="{1ED6C9C4-BFD1-274C-9B4D-C84DC6A661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47" name="Elemento grafico 346" descr="Acqua contorno">
              <a:extLst>
                <a:ext uri="{FF2B5EF4-FFF2-40B4-BE49-F238E27FC236}">
                  <a16:creationId xmlns:a16="http://schemas.microsoft.com/office/drawing/2014/main" id="{ACAE6DA9-1BB4-022A-4FA1-AAB646E65C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7" name="Gruppo 306">
            <a:extLst>
              <a:ext uri="{FF2B5EF4-FFF2-40B4-BE49-F238E27FC236}">
                <a16:creationId xmlns:a16="http://schemas.microsoft.com/office/drawing/2014/main" id="{692BC4FD-2C7A-A234-1860-3BCB490B3E4F}"/>
              </a:ext>
            </a:extLst>
          </xdr:cNvPr>
          <xdr:cNvGrpSpPr/>
        </xdr:nvGrpSpPr>
        <xdr:grpSpPr>
          <a:xfrm>
            <a:off x="6139991" y="3558325"/>
            <a:ext cx="507711" cy="124677"/>
            <a:chOff x="7275647" y="2818048"/>
            <a:chExt cx="668636" cy="152754"/>
          </a:xfrm>
        </xdr:grpSpPr>
        <xdr:pic>
          <xdr:nvPicPr>
            <xdr:cNvPr id="338" name="Elemento grafico 337" descr="Acqua contorno">
              <a:extLst>
                <a:ext uri="{FF2B5EF4-FFF2-40B4-BE49-F238E27FC236}">
                  <a16:creationId xmlns:a16="http://schemas.microsoft.com/office/drawing/2014/main" id="{472A5004-1D26-48A7-D833-1E31BA12A5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39" name="Elemento grafico 338" descr="Acqua contorno">
              <a:extLst>
                <a:ext uri="{FF2B5EF4-FFF2-40B4-BE49-F238E27FC236}">
                  <a16:creationId xmlns:a16="http://schemas.microsoft.com/office/drawing/2014/main" id="{BF658318-F628-10AF-C09A-C5182A559F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40" name="Elemento grafico 339" descr="Acqua contorno">
              <a:extLst>
                <a:ext uri="{FF2B5EF4-FFF2-40B4-BE49-F238E27FC236}">
                  <a16:creationId xmlns:a16="http://schemas.microsoft.com/office/drawing/2014/main" id="{0E4FC497-2053-5A65-DBDD-519609EF21F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41" name="Elemento grafico 340" descr="Acqua contorno">
              <a:extLst>
                <a:ext uri="{FF2B5EF4-FFF2-40B4-BE49-F238E27FC236}">
                  <a16:creationId xmlns:a16="http://schemas.microsoft.com/office/drawing/2014/main" id="{873F66D3-4BB8-3E90-BA84-43D3FBD67E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42" name="Elemento grafico 341" descr="Acqua contorno">
              <a:extLst>
                <a:ext uri="{FF2B5EF4-FFF2-40B4-BE49-F238E27FC236}">
                  <a16:creationId xmlns:a16="http://schemas.microsoft.com/office/drawing/2014/main" id="{2E68DE0A-5688-2E4E-55E6-07220D78050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8" name="Gruppo 307">
            <a:extLst>
              <a:ext uri="{FF2B5EF4-FFF2-40B4-BE49-F238E27FC236}">
                <a16:creationId xmlns:a16="http://schemas.microsoft.com/office/drawing/2014/main" id="{4BB1798F-0C13-237F-A71C-716BF8437191}"/>
              </a:ext>
            </a:extLst>
          </xdr:cNvPr>
          <xdr:cNvGrpSpPr/>
        </xdr:nvGrpSpPr>
        <xdr:grpSpPr>
          <a:xfrm>
            <a:off x="6139991" y="4442333"/>
            <a:ext cx="507711" cy="124677"/>
            <a:chOff x="7275647" y="2818048"/>
            <a:chExt cx="668636" cy="152754"/>
          </a:xfrm>
        </xdr:grpSpPr>
        <xdr:pic>
          <xdr:nvPicPr>
            <xdr:cNvPr id="333" name="Elemento grafico 332" descr="Acqua contorno">
              <a:extLst>
                <a:ext uri="{FF2B5EF4-FFF2-40B4-BE49-F238E27FC236}">
                  <a16:creationId xmlns:a16="http://schemas.microsoft.com/office/drawing/2014/main" id="{ABEC330B-1978-84C6-0ACB-0D15A5AE7D1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34" name="Elemento grafico 333" descr="Acqua contorno">
              <a:extLst>
                <a:ext uri="{FF2B5EF4-FFF2-40B4-BE49-F238E27FC236}">
                  <a16:creationId xmlns:a16="http://schemas.microsoft.com/office/drawing/2014/main" id="{9051F1CB-E087-D509-97B5-6AEE19B9C80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35" name="Elemento grafico 334" descr="Acqua contorno">
              <a:extLst>
                <a:ext uri="{FF2B5EF4-FFF2-40B4-BE49-F238E27FC236}">
                  <a16:creationId xmlns:a16="http://schemas.microsoft.com/office/drawing/2014/main" id="{1E0ED6D9-2B2E-EA7D-A47C-D3E3563BCAC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36" name="Elemento grafico 335" descr="Acqua contorno">
              <a:extLst>
                <a:ext uri="{FF2B5EF4-FFF2-40B4-BE49-F238E27FC236}">
                  <a16:creationId xmlns:a16="http://schemas.microsoft.com/office/drawing/2014/main" id="{9F7BD797-690F-D25C-A9E7-CA5615824A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37" name="Elemento grafico 336" descr="Acqua contorno">
              <a:extLst>
                <a:ext uri="{FF2B5EF4-FFF2-40B4-BE49-F238E27FC236}">
                  <a16:creationId xmlns:a16="http://schemas.microsoft.com/office/drawing/2014/main" id="{DDD3CED5-2274-9A54-C929-C5C80D9DBF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09" name="Gruppo 308">
            <a:extLst>
              <a:ext uri="{FF2B5EF4-FFF2-40B4-BE49-F238E27FC236}">
                <a16:creationId xmlns:a16="http://schemas.microsoft.com/office/drawing/2014/main" id="{7718C317-1F8C-AF4D-4C54-FAADA7EB42E7}"/>
              </a:ext>
            </a:extLst>
          </xdr:cNvPr>
          <xdr:cNvGrpSpPr/>
        </xdr:nvGrpSpPr>
        <xdr:grpSpPr>
          <a:xfrm>
            <a:off x="6139991" y="3735126"/>
            <a:ext cx="507711" cy="124677"/>
            <a:chOff x="7275647" y="2818048"/>
            <a:chExt cx="668636" cy="152754"/>
          </a:xfrm>
        </xdr:grpSpPr>
        <xdr:pic>
          <xdr:nvPicPr>
            <xdr:cNvPr id="328" name="Elemento grafico 327" descr="Acqua contorno">
              <a:extLst>
                <a:ext uri="{FF2B5EF4-FFF2-40B4-BE49-F238E27FC236}">
                  <a16:creationId xmlns:a16="http://schemas.microsoft.com/office/drawing/2014/main" id="{6A190171-0136-15C2-CBCF-CF9AE96DF4C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29" name="Elemento grafico 328" descr="Acqua contorno">
              <a:extLst>
                <a:ext uri="{FF2B5EF4-FFF2-40B4-BE49-F238E27FC236}">
                  <a16:creationId xmlns:a16="http://schemas.microsoft.com/office/drawing/2014/main" id="{D26C7288-2CA3-5575-645D-FB774C9A27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30" name="Elemento grafico 329" descr="Acqua contorno">
              <a:extLst>
                <a:ext uri="{FF2B5EF4-FFF2-40B4-BE49-F238E27FC236}">
                  <a16:creationId xmlns:a16="http://schemas.microsoft.com/office/drawing/2014/main" id="{2B5ABB59-020A-173C-E3EE-43773E40D58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31" name="Elemento grafico 330" descr="Acqua contorno">
              <a:extLst>
                <a:ext uri="{FF2B5EF4-FFF2-40B4-BE49-F238E27FC236}">
                  <a16:creationId xmlns:a16="http://schemas.microsoft.com/office/drawing/2014/main" id="{2D9B0B0D-B3EF-3617-FFA8-712805FC4AB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32" name="Elemento grafico 331" descr="Acqua contorno">
              <a:extLst>
                <a:ext uri="{FF2B5EF4-FFF2-40B4-BE49-F238E27FC236}">
                  <a16:creationId xmlns:a16="http://schemas.microsoft.com/office/drawing/2014/main" id="{0FCB022B-FB22-5BB6-5BA1-CCB3BAF378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0" name="Gruppo 309">
            <a:extLst>
              <a:ext uri="{FF2B5EF4-FFF2-40B4-BE49-F238E27FC236}">
                <a16:creationId xmlns:a16="http://schemas.microsoft.com/office/drawing/2014/main" id="{34E65353-C178-3DD9-3D70-E5818B27FC2E}"/>
              </a:ext>
            </a:extLst>
          </xdr:cNvPr>
          <xdr:cNvGrpSpPr/>
        </xdr:nvGrpSpPr>
        <xdr:grpSpPr>
          <a:xfrm>
            <a:off x="6139991" y="3911927"/>
            <a:ext cx="507711" cy="124677"/>
            <a:chOff x="7275647" y="2818048"/>
            <a:chExt cx="668636" cy="152754"/>
          </a:xfrm>
        </xdr:grpSpPr>
        <xdr:pic>
          <xdr:nvPicPr>
            <xdr:cNvPr id="323" name="Elemento grafico 322" descr="Acqua contorno">
              <a:extLst>
                <a:ext uri="{FF2B5EF4-FFF2-40B4-BE49-F238E27FC236}">
                  <a16:creationId xmlns:a16="http://schemas.microsoft.com/office/drawing/2014/main" id="{C56B0AA3-5E1C-493F-03B3-2BA1188CE4A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24" name="Elemento grafico 323" descr="Acqua contorno">
              <a:extLst>
                <a:ext uri="{FF2B5EF4-FFF2-40B4-BE49-F238E27FC236}">
                  <a16:creationId xmlns:a16="http://schemas.microsoft.com/office/drawing/2014/main" id="{EFDC9850-8A15-F736-5661-E8C4C5B12E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25" name="Elemento grafico 324" descr="Acqua contorno">
              <a:extLst>
                <a:ext uri="{FF2B5EF4-FFF2-40B4-BE49-F238E27FC236}">
                  <a16:creationId xmlns:a16="http://schemas.microsoft.com/office/drawing/2014/main" id="{C33C3229-77CD-2A7B-1341-B07C81FB10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26" name="Elemento grafico 325" descr="Acqua contorno">
              <a:extLst>
                <a:ext uri="{FF2B5EF4-FFF2-40B4-BE49-F238E27FC236}">
                  <a16:creationId xmlns:a16="http://schemas.microsoft.com/office/drawing/2014/main" id="{285BDA31-D9DE-A170-B884-FF64D8F348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27" name="Elemento grafico 326" descr="Acqua contorno">
              <a:extLst>
                <a:ext uri="{FF2B5EF4-FFF2-40B4-BE49-F238E27FC236}">
                  <a16:creationId xmlns:a16="http://schemas.microsoft.com/office/drawing/2014/main" id="{2176ACA3-2812-5C4D-0A06-C109155387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1" name="Gruppo 310">
            <a:extLst>
              <a:ext uri="{FF2B5EF4-FFF2-40B4-BE49-F238E27FC236}">
                <a16:creationId xmlns:a16="http://schemas.microsoft.com/office/drawing/2014/main" id="{29BA7B5D-2BC8-359B-EF0B-A4861B8651B3}"/>
              </a:ext>
            </a:extLst>
          </xdr:cNvPr>
          <xdr:cNvGrpSpPr/>
        </xdr:nvGrpSpPr>
        <xdr:grpSpPr>
          <a:xfrm>
            <a:off x="6139991" y="4088728"/>
            <a:ext cx="507711" cy="124677"/>
            <a:chOff x="7275647" y="2818048"/>
            <a:chExt cx="668636" cy="152754"/>
          </a:xfrm>
        </xdr:grpSpPr>
        <xdr:pic>
          <xdr:nvPicPr>
            <xdr:cNvPr id="318" name="Elemento grafico 317" descr="Acqua contorno">
              <a:extLst>
                <a:ext uri="{FF2B5EF4-FFF2-40B4-BE49-F238E27FC236}">
                  <a16:creationId xmlns:a16="http://schemas.microsoft.com/office/drawing/2014/main" id="{D78E4D4D-94CA-8D8C-1265-8D9D226B51F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19" name="Elemento grafico 318" descr="Acqua contorno">
              <a:extLst>
                <a:ext uri="{FF2B5EF4-FFF2-40B4-BE49-F238E27FC236}">
                  <a16:creationId xmlns:a16="http://schemas.microsoft.com/office/drawing/2014/main" id="{D704A39F-E40F-3E99-FC96-3652E3C24C2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20" name="Elemento grafico 319" descr="Acqua contorno">
              <a:extLst>
                <a:ext uri="{FF2B5EF4-FFF2-40B4-BE49-F238E27FC236}">
                  <a16:creationId xmlns:a16="http://schemas.microsoft.com/office/drawing/2014/main" id="{E3532FC6-5B70-348E-8089-2AD258B6D30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21" name="Elemento grafico 320" descr="Acqua contorno">
              <a:extLst>
                <a:ext uri="{FF2B5EF4-FFF2-40B4-BE49-F238E27FC236}">
                  <a16:creationId xmlns:a16="http://schemas.microsoft.com/office/drawing/2014/main" id="{B0696763-4B2F-5E1A-2615-79D6EDF2679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22" name="Elemento grafico 321" descr="Acqua contorno">
              <a:extLst>
                <a:ext uri="{FF2B5EF4-FFF2-40B4-BE49-F238E27FC236}">
                  <a16:creationId xmlns:a16="http://schemas.microsoft.com/office/drawing/2014/main" id="{7A8FE151-916A-961F-1AB1-EE20E1C3FF2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12" name="Gruppo 311">
            <a:extLst>
              <a:ext uri="{FF2B5EF4-FFF2-40B4-BE49-F238E27FC236}">
                <a16:creationId xmlns:a16="http://schemas.microsoft.com/office/drawing/2014/main" id="{A12A837D-939B-993C-8F04-C996123DCB20}"/>
              </a:ext>
            </a:extLst>
          </xdr:cNvPr>
          <xdr:cNvGrpSpPr/>
        </xdr:nvGrpSpPr>
        <xdr:grpSpPr>
          <a:xfrm>
            <a:off x="6139991" y="4265529"/>
            <a:ext cx="507711" cy="124677"/>
            <a:chOff x="7275647" y="2818048"/>
            <a:chExt cx="668636" cy="152754"/>
          </a:xfrm>
        </xdr:grpSpPr>
        <xdr:pic>
          <xdr:nvPicPr>
            <xdr:cNvPr id="313" name="Elemento grafico 312" descr="Acqua contorno">
              <a:extLst>
                <a:ext uri="{FF2B5EF4-FFF2-40B4-BE49-F238E27FC236}">
                  <a16:creationId xmlns:a16="http://schemas.microsoft.com/office/drawing/2014/main" id="{EE8C7233-DC0A-6A8F-C5C9-A7D091DCD6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14" name="Elemento grafico 313" descr="Acqua contorno">
              <a:extLst>
                <a:ext uri="{FF2B5EF4-FFF2-40B4-BE49-F238E27FC236}">
                  <a16:creationId xmlns:a16="http://schemas.microsoft.com/office/drawing/2014/main" id="{EF17BF43-9693-FB69-7DEE-2C8A6B4B0BC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15" name="Elemento grafico 314" descr="Acqua contorno">
              <a:extLst>
                <a:ext uri="{FF2B5EF4-FFF2-40B4-BE49-F238E27FC236}">
                  <a16:creationId xmlns:a16="http://schemas.microsoft.com/office/drawing/2014/main" id="{00307C89-3B3C-654E-C7E3-86BBDABA5BC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16" name="Elemento grafico 315" descr="Acqua contorno">
              <a:extLst>
                <a:ext uri="{FF2B5EF4-FFF2-40B4-BE49-F238E27FC236}">
                  <a16:creationId xmlns:a16="http://schemas.microsoft.com/office/drawing/2014/main" id="{E53EFA18-3191-DDBF-CC2E-3631727DBA7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17" name="Elemento grafico 316" descr="Acqua contorno">
              <a:extLst>
                <a:ext uri="{FF2B5EF4-FFF2-40B4-BE49-F238E27FC236}">
                  <a16:creationId xmlns:a16="http://schemas.microsoft.com/office/drawing/2014/main" id="{7ED735B8-8E7F-A126-89F7-DC470E9C6AB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7</xdr:col>
      <xdr:colOff>34559</xdr:colOff>
      <xdr:row>16</xdr:row>
      <xdr:rowOff>29363</xdr:rowOff>
    </xdr:from>
    <xdr:to>
      <xdr:col>7</xdr:col>
      <xdr:colOff>542270</xdr:colOff>
      <xdr:row>25</xdr:row>
      <xdr:rowOff>154478</xdr:rowOff>
    </xdr:to>
    <xdr:grpSp>
      <xdr:nvGrpSpPr>
        <xdr:cNvPr id="363" name="Gruppo 362">
          <a:extLst>
            <a:ext uri="{FF2B5EF4-FFF2-40B4-BE49-F238E27FC236}">
              <a16:creationId xmlns:a16="http://schemas.microsoft.com/office/drawing/2014/main" id="{D35A5D07-B14D-481A-AE25-B56CB5EAA6DD}"/>
            </a:ext>
          </a:extLst>
        </xdr:cNvPr>
        <xdr:cNvGrpSpPr/>
      </xdr:nvGrpSpPr>
      <xdr:grpSpPr>
        <a:xfrm>
          <a:off x="3993817" y="2853476"/>
          <a:ext cx="507711" cy="1715889"/>
          <a:chOff x="6139991" y="2851121"/>
          <a:chExt cx="507711" cy="1715889"/>
        </a:xfrm>
      </xdr:grpSpPr>
      <xdr:grpSp>
        <xdr:nvGrpSpPr>
          <xdr:cNvPr id="364" name="Gruppo 363">
            <a:extLst>
              <a:ext uri="{FF2B5EF4-FFF2-40B4-BE49-F238E27FC236}">
                <a16:creationId xmlns:a16="http://schemas.microsoft.com/office/drawing/2014/main" id="{9A76FECA-07A6-0338-2E71-353287FB6A79}"/>
              </a:ext>
            </a:extLst>
          </xdr:cNvPr>
          <xdr:cNvGrpSpPr/>
        </xdr:nvGrpSpPr>
        <xdr:grpSpPr>
          <a:xfrm>
            <a:off x="6139991" y="2851121"/>
            <a:ext cx="507711" cy="124677"/>
            <a:chOff x="7275647" y="2818048"/>
            <a:chExt cx="668636" cy="152754"/>
          </a:xfrm>
        </xdr:grpSpPr>
        <xdr:pic>
          <xdr:nvPicPr>
            <xdr:cNvPr id="419" name="Elemento grafico 418" descr="Acqua contorno">
              <a:extLst>
                <a:ext uri="{FF2B5EF4-FFF2-40B4-BE49-F238E27FC236}">
                  <a16:creationId xmlns:a16="http://schemas.microsoft.com/office/drawing/2014/main" id="{1587D4D5-EFCD-F157-BA83-FE26109EE9E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20" name="Elemento grafico 419" descr="Acqua contorno">
              <a:extLst>
                <a:ext uri="{FF2B5EF4-FFF2-40B4-BE49-F238E27FC236}">
                  <a16:creationId xmlns:a16="http://schemas.microsoft.com/office/drawing/2014/main" id="{5928E897-4D45-DF2A-D4F8-9A6E406CFE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21" name="Elemento grafico 420" descr="Acqua contorno">
              <a:extLst>
                <a:ext uri="{FF2B5EF4-FFF2-40B4-BE49-F238E27FC236}">
                  <a16:creationId xmlns:a16="http://schemas.microsoft.com/office/drawing/2014/main" id="{CAC80270-BB56-BEE2-A655-05747A119FA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22" name="Elemento grafico 421" descr="Acqua contorno">
              <a:extLst>
                <a:ext uri="{FF2B5EF4-FFF2-40B4-BE49-F238E27FC236}">
                  <a16:creationId xmlns:a16="http://schemas.microsoft.com/office/drawing/2014/main" id="{35F7C682-C21A-328B-8E2C-E901ECF794F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23" name="Elemento grafico 422" descr="Acqua contorno">
              <a:extLst>
                <a:ext uri="{FF2B5EF4-FFF2-40B4-BE49-F238E27FC236}">
                  <a16:creationId xmlns:a16="http://schemas.microsoft.com/office/drawing/2014/main" id="{3BE1399E-460E-422B-94CD-1D5B518DBF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5" name="Gruppo 364">
            <a:extLst>
              <a:ext uri="{FF2B5EF4-FFF2-40B4-BE49-F238E27FC236}">
                <a16:creationId xmlns:a16="http://schemas.microsoft.com/office/drawing/2014/main" id="{0FE208F7-2881-C0C2-5A57-0563A00A94A0}"/>
              </a:ext>
            </a:extLst>
          </xdr:cNvPr>
          <xdr:cNvGrpSpPr/>
        </xdr:nvGrpSpPr>
        <xdr:grpSpPr>
          <a:xfrm>
            <a:off x="6139991" y="3027922"/>
            <a:ext cx="507711" cy="124677"/>
            <a:chOff x="7275647" y="2818048"/>
            <a:chExt cx="668636" cy="152754"/>
          </a:xfrm>
        </xdr:grpSpPr>
        <xdr:pic>
          <xdr:nvPicPr>
            <xdr:cNvPr id="414" name="Elemento grafico 413" descr="Acqua contorno">
              <a:extLst>
                <a:ext uri="{FF2B5EF4-FFF2-40B4-BE49-F238E27FC236}">
                  <a16:creationId xmlns:a16="http://schemas.microsoft.com/office/drawing/2014/main" id="{DE79A1F2-9C4C-856D-5BB8-AF830AAD2B4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15" name="Elemento grafico 414" descr="Acqua contorno">
              <a:extLst>
                <a:ext uri="{FF2B5EF4-FFF2-40B4-BE49-F238E27FC236}">
                  <a16:creationId xmlns:a16="http://schemas.microsoft.com/office/drawing/2014/main" id="{9E03FFB4-26D3-4D08-4A6D-52E550E3B2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16" name="Elemento grafico 415" descr="Acqua contorno">
              <a:extLst>
                <a:ext uri="{FF2B5EF4-FFF2-40B4-BE49-F238E27FC236}">
                  <a16:creationId xmlns:a16="http://schemas.microsoft.com/office/drawing/2014/main" id="{314B7DFC-A51D-04E7-ACCA-7695E7498A5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17" name="Elemento grafico 416" descr="Acqua contorno">
              <a:extLst>
                <a:ext uri="{FF2B5EF4-FFF2-40B4-BE49-F238E27FC236}">
                  <a16:creationId xmlns:a16="http://schemas.microsoft.com/office/drawing/2014/main" id="{6E69729E-79BD-C2E0-25B3-9F5251BD2B3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18" name="Elemento grafico 417" descr="Acqua contorno">
              <a:extLst>
                <a:ext uri="{FF2B5EF4-FFF2-40B4-BE49-F238E27FC236}">
                  <a16:creationId xmlns:a16="http://schemas.microsoft.com/office/drawing/2014/main" id="{5711D2CE-3B71-AD29-5B68-369BFC8867E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6" name="Gruppo 365">
            <a:extLst>
              <a:ext uri="{FF2B5EF4-FFF2-40B4-BE49-F238E27FC236}">
                <a16:creationId xmlns:a16="http://schemas.microsoft.com/office/drawing/2014/main" id="{2DD856CE-8984-F5FD-CC3A-22A4660164C1}"/>
              </a:ext>
            </a:extLst>
          </xdr:cNvPr>
          <xdr:cNvGrpSpPr/>
        </xdr:nvGrpSpPr>
        <xdr:grpSpPr>
          <a:xfrm>
            <a:off x="6139991" y="3204723"/>
            <a:ext cx="507711" cy="124677"/>
            <a:chOff x="7275647" y="2818048"/>
            <a:chExt cx="668636" cy="152754"/>
          </a:xfrm>
        </xdr:grpSpPr>
        <xdr:pic>
          <xdr:nvPicPr>
            <xdr:cNvPr id="409" name="Elemento grafico 408" descr="Acqua contorno">
              <a:extLst>
                <a:ext uri="{FF2B5EF4-FFF2-40B4-BE49-F238E27FC236}">
                  <a16:creationId xmlns:a16="http://schemas.microsoft.com/office/drawing/2014/main" id="{47257456-A02E-CC3C-C1AF-4105F926428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10" name="Elemento grafico 409" descr="Acqua contorno">
              <a:extLst>
                <a:ext uri="{FF2B5EF4-FFF2-40B4-BE49-F238E27FC236}">
                  <a16:creationId xmlns:a16="http://schemas.microsoft.com/office/drawing/2014/main" id="{3D51E0BD-05D2-694F-94B0-F56932BE5C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11" name="Elemento grafico 410" descr="Acqua contorno">
              <a:extLst>
                <a:ext uri="{FF2B5EF4-FFF2-40B4-BE49-F238E27FC236}">
                  <a16:creationId xmlns:a16="http://schemas.microsoft.com/office/drawing/2014/main" id="{E82DEEDF-F8C3-858F-A45B-0C910FEBE20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12" name="Elemento grafico 411" descr="Acqua contorno">
              <a:extLst>
                <a:ext uri="{FF2B5EF4-FFF2-40B4-BE49-F238E27FC236}">
                  <a16:creationId xmlns:a16="http://schemas.microsoft.com/office/drawing/2014/main" id="{3877DABB-408E-F9F1-3A5E-4EC48ACB4B6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13" name="Elemento grafico 412" descr="Acqua contorno">
              <a:extLst>
                <a:ext uri="{FF2B5EF4-FFF2-40B4-BE49-F238E27FC236}">
                  <a16:creationId xmlns:a16="http://schemas.microsoft.com/office/drawing/2014/main" id="{0CF9A114-05C4-621F-698D-96177AFF0C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7" name="Gruppo 366">
            <a:extLst>
              <a:ext uri="{FF2B5EF4-FFF2-40B4-BE49-F238E27FC236}">
                <a16:creationId xmlns:a16="http://schemas.microsoft.com/office/drawing/2014/main" id="{8266A380-1FC9-B1FE-A633-2DA92DE87ABB}"/>
              </a:ext>
            </a:extLst>
          </xdr:cNvPr>
          <xdr:cNvGrpSpPr/>
        </xdr:nvGrpSpPr>
        <xdr:grpSpPr>
          <a:xfrm>
            <a:off x="6139991" y="3381524"/>
            <a:ext cx="507711" cy="124677"/>
            <a:chOff x="7275647" y="2818048"/>
            <a:chExt cx="668636" cy="152754"/>
          </a:xfrm>
        </xdr:grpSpPr>
        <xdr:pic>
          <xdr:nvPicPr>
            <xdr:cNvPr id="404" name="Elemento grafico 403" descr="Acqua contorno">
              <a:extLst>
                <a:ext uri="{FF2B5EF4-FFF2-40B4-BE49-F238E27FC236}">
                  <a16:creationId xmlns:a16="http://schemas.microsoft.com/office/drawing/2014/main" id="{27283670-1BC5-9216-C7AC-4BC23C6FC23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05" name="Elemento grafico 404" descr="Acqua contorno">
              <a:extLst>
                <a:ext uri="{FF2B5EF4-FFF2-40B4-BE49-F238E27FC236}">
                  <a16:creationId xmlns:a16="http://schemas.microsoft.com/office/drawing/2014/main" id="{2C609AA1-5845-5416-847B-BCA1540D008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06" name="Elemento grafico 405" descr="Acqua contorno">
              <a:extLst>
                <a:ext uri="{FF2B5EF4-FFF2-40B4-BE49-F238E27FC236}">
                  <a16:creationId xmlns:a16="http://schemas.microsoft.com/office/drawing/2014/main" id="{B12680D8-5802-FF93-B185-CA8A60867D2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07" name="Elemento grafico 406" descr="Acqua contorno">
              <a:extLst>
                <a:ext uri="{FF2B5EF4-FFF2-40B4-BE49-F238E27FC236}">
                  <a16:creationId xmlns:a16="http://schemas.microsoft.com/office/drawing/2014/main" id="{ECBC5BE5-4ECC-9ACE-BF88-94AAC38DC2E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08" name="Elemento grafico 407" descr="Acqua contorno">
              <a:extLst>
                <a:ext uri="{FF2B5EF4-FFF2-40B4-BE49-F238E27FC236}">
                  <a16:creationId xmlns:a16="http://schemas.microsoft.com/office/drawing/2014/main" id="{35BC324F-33BB-4083-81CC-B0165C36C8C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8" name="Gruppo 367">
            <a:extLst>
              <a:ext uri="{FF2B5EF4-FFF2-40B4-BE49-F238E27FC236}">
                <a16:creationId xmlns:a16="http://schemas.microsoft.com/office/drawing/2014/main" id="{9D1287EC-7338-6FC1-FF03-F34F45EC7697}"/>
              </a:ext>
            </a:extLst>
          </xdr:cNvPr>
          <xdr:cNvGrpSpPr/>
        </xdr:nvGrpSpPr>
        <xdr:grpSpPr>
          <a:xfrm>
            <a:off x="6139991" y="3558325"/>
            <a:ext cx="507711" cy="124677"/>
            <a:chOff x="7275647" y="2818048"/>
            <a:chExt cx="668636" cy="152754"/>
          </a:xfrm>
        </xdr:grpSpPr>
        <xdr:pic>
          <xdr:nvPicPr>
            <xdr:cNvPr id="399" name="Elemento grafico 398" descr="Acqua contorno">
              <a:extLst>
                <a:ext uri="{FF2B5EF4-FFF2-40B4-BE49-F238E27FC236}">
                  <a16:creationId xmlns:a16="http://schemas.microsoft.com/office/drawing/2014/main" id="{4BBF7E6A-0185-41C2-7820-4B523D9E43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400" name="Elemento grafico 399" descr="Acqua contorno">
              <a:extLst>
                <a:ext uri="{FF2B5EF4-FFF2-40B4-BE49-F238E27FC236}">
                  <a16:creationId xmlns:a16="http://schemas.microsoft.com/office/drawing/2014/main" id="{52E2A93D-EB28-7B88-7378-EA3FCFA691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401" name="Elemento grafico 400" descr="Acqua contorno">
              <a:extLst>
                <a:ext uri="{FF2B5EF4-FFF2-40B4-BE49-F238E27FC236}">
                  <a16:creationId xmlns:a16="http://schemas.microsoft.com/office/drawing/2014/main" id="{30E0E25B-B2AB-C3B8-10B5-C0391112621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402" name="Elemento grafico 401" descr="Acqua contorno">
              <a:extLst>
                <a:ext uri="{FF2B5EF4-FFF2-40B4-BE49-F238E27FC236}">
                  <a16:creationId xmlns:a16="http://schemas.microsoft.com/office/drawing/2014/main" id="{5D227A64-1681-D5FB-12BD-29D2B044FC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403" name="Elemento grafico 402" descr="Acqua contorno">
              <a:extLst>
                <a:ext uri="{FF2B5EF4-FFF2-40B4-BE49-F238E27FC236}">
                  <a16:creationId xmlns:a16="http://schemas.microsoft.com/office/drawing/2014/main" id="{61E38BAF-7068-0278-2EAE-82E3E26842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69" name="Gruppo 368">
            <a:extLst>
              <a:ext uri="{FF2B5EF4-FFF2-40B4-BE49-F238E27FC236}">
                <a16:creationId xmlns:a16="http://schemas.microsoft.com/office/drawing/2014/main" id="{E09C5C8B-9F0C-9CAD-F129-08F0AEBC6E67}"/>
              </a:ext>
            </a:extLst>
          </xdr:cNvPr>
          <xdr:cNvGrpSpPr/>
        </xdr:nvGrpSpPr>
        <xdr:grpSpPr>
          <a:xfrm>
            <a:off x="6139991" y="4442333"/>
            <a:ext cx="507711" cy="124677"/>
            <a:chOff x="7275647" y="2818048"/>
            <a:chExt cx="668636" cy="152754"/>
          </a:xfrm>
        </xdr:grpSpPr>
        <xdr:pic>
          <xdr:nvPicPr>
            <xdr:cNvPr id="394" name="Elemento grafico 393" descr="Acqua contorno">
              <a:extLst>
                <a:ext uri="{FF2B5EF4-FFF2-40B4-BE49-F238E27FC236}">
                  <a16:creationId xmlns:a16="http://schemas.microsoft.com/office/drawing/2014/main" id="{116CF753-BC6C-A7AB-8B99-D407D187ADD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95" name="Elemento grafico 394" descr="Acqua contorno">
              <a:extLst>
                <a:ext uri="{FF2B5EF4-FFF2-40B4-BE49-F238E27FC236}">
                  <a16:creationId xmlns:a16="http://schemas.microsoft.com/office/drawing/2014/main" id="{F81B5A37-89A2-6964-0F1F-AD600055F17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96" name="Elemento grafico 395" descr="Acqua contorno">
              <a:extLst>
                <a:ext uri="{FF2B5EF4-FFF2-40B4-BE49-F238E27FC236}">
                  <a16:creationId xmlns:a16="http://schemas.microsoft.com/office/drawing/2014/main" id="{BA0360C9-91F8-F7B2-7FE5-9261461365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97" name="Elemento grafico 396" descr="Acqua contorno">
              <a:extLst>
                <a:ext uri="{FF2B5EF4-FFF2-40B4-BE49-F238E27FC236}">
                  <a16:creationId xmlns:a16="http://schemas.microsoft.com/office/drawing/2014/main" id="{46B48245-A1B5-B88E-8AB1-0F7BBFD5667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98" name="Elemento grafico 397" descr="Acqua contorno">
              <a:extLst>
                <a:ext uri="{FF2B5EF4-FFF2-40B4-BE49-F238E27FC236}">
                  <a16:creationId xmlns:a16="http://schemas.microsoft.com/office/drawing/2014/main" id="{6C64CFD3-B30C-3AD5-F925-FC355F1B3D4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0" name="Gruppo 369">
            <a:extLst>
              <a:ext uri="{FF2B5EF4-FFF2-40B4-BE49-F238E27FC236}">
                <a16:creationId xmlns:a16="http://schemas.microsoft.com/office/drawing/2014/main" id="{529C2974-A5FD-FFAA-0167-4B88599F030F}"/>
              </a:ext>
            </a:extLst>
          </xdr:cNvPr>
          <xdr:cNvGrpSpPr/>
        </xdr:nvGrpSpPr>
        <xdr:grpSpPr>
          <a:xfrm>
            <a:off x="6139991" y="3735126"/>
            <a:ext cx="507711" cy="124677"/>
            <a:chOff x="7275647" y="2818048"/>
            <a:chExt cx="668636" cy="152754"/>
          </a:xfrm>
        </xdr:grpSpPr>
        <xdr:pic>
          <xdr:nvPicPr>
            <xdr:cNvPr id="389" name="Elemento grafico 388" descr="Acqua contorno">
              <a:extLst>
                <a:ext uri="{FF2B5EF4-FFF2-40B4-BE49-F238E27FC236}">
                  <a16:creationId xmlns:a16="http://schemas.microsoft.com/office/drawing/2014/main" id="{637BBA2E-6C5B-C718-3DB0-77D60D6A14D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90" name="Elemento grafico 389" descr="Acqua contorno">
              <a:extLst>
                <a:ext uri="{FF2B5EF4-FFF2-40B4-BE49-F238E27FC236}">
                  <a16:creationId xmlns:a16="http://schemas.microsoft.com/office/drawing/2014/main" id="{FA385573-BF96-1301-F4CD-705C8A3BCA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91" name="Elemento grafico 390" descr="Acqua contorno">
              <a:extLst>
                <a:ext uri="{FF2B5EF4-FFF2-40B4-BE49-F238E27FC236}">
                  <a16:creationId xmlns:a16="http://schemas.microsoft.com/office/drawing/2014/main" id="{765E05FF-6104-5E32-A35B-8C9D5CCB676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92" name="Elemento grafico 391" descr="Acqua contorno">
              <a:extLst>
                <a:ext uri="{FF2B5EF4-FFF2-40B4-BE49-F238E27FC236}">
                  <a16:creationId xmlns:a16="http://schemas.microsoft.com/office/drawing/2014/main" id="{40D26A12-0B95-A97B-12E4-8AF397A64CB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93" name="Elemento grafico 392" descr="Acqua contorno">
              <a:extLst>
                <a:ext uri="{FF2B5EF4-FFF2-40B4-BE49-F238E27FC236}">
                  <a16:creationId xmlns:a16="http://schemas.microsoft.com/office/drawing/2014/main" id="{059D8328-1111-0FA0-4DDF-A577F9B38C5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1" name="Gruppo 370">
            <a:extLst>
              <a:ext uri="{FF2B5EF4-FFF2-40B4-BE49-F238E27FC236}">
                <a16:creationId xmlns:a16="http://schemas.microsoft.com/office/drawing/2014/main" id="{D80A17D1-88F4-FBAC-D7D7-99BB4E8FFC4B}"/>
              </a:ext>
            </a:extLst>
          </xdr:cNvPr>
          <xdr:cNvGrpSpPr/>
        </xdr:nvGrpSpPr>
        <xdr:grpSpPr>
          <a:xfrm>
            <a:off x="6139991" y="3911927"/>
            <a:ext cx="507711" cy="124677"/>
            <a:chOff x="7275647" y="2818048"/>
            <a:chExt cx="668636" cy="152754"/>
          </a:xfrm>
        </xdr:grpSpPr>
        <xdr:pic>
          <xdr:nvPicPr>
            <xdr:cNvPr id="384" name="Elemento grafico 383" descr="Acqua contorno">
              <a:extLst>
                <a:ext uri="{FF2B5EF4-FFF2-40B4-BE49-F238E27FC236}">
                  <a16:creationId xmlns:a16="http://schemas.microsoft.com/office/drawing/2014/main" id="{1422EE75-AE0C-66B4-5C6C-58CEA25B7CD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85" name="Elemento grafico 384" descr="Acqua contorno">
              <a:extLst>
                <a:ext uri="{FF2B5EF4-FFF2-40B4-BE49-F238E27FC236}">
                  <a16:creationId xmlns:a16="http://schemas.microsoft.com/office/drawing/2014/main" id="{8227424D-8408-95BB-D8CE-B55F2FECE8C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86" name="Elemento grafico 385" descr="Acqua contorno">
              <a:extLst>
                <a:ext uri="{FF2B5EF4-FFF2-40B4-BE49-F238E27FC236}">
                  <a16:creationId xmlns:a16="http://schemas.microsoft.com/office/drawing/2014/main" id="{1847E722-8386-8978-43BD-4DD5CDEAC47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87" name="Elemento grafico 386" descr="Acqua contorno">
              <a:extLst>
                <a:ext uri="{FF2B5EF4-FFF2-40B4-BE49-F238E27FC236}">
                  <a16:creationId xmlns:a16="http://schemas.microsoft.com/office/drawing/2014/main" id="{AD72AB70-248F-9B8D-3276-9D1D0F262D7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88" name="Elemento grafico 387" descr="Acqua contorno">
              <a:extLst>
                <a:ext uri="{FF2B5EF4-FFF2-40B4-BE49-F238E27FC236}">
                  <a16:creationId xmlns:a16="http://schemas.microsoft.com/office/drawing/2014/main" id="{B507512D-1CA0-4AF1-5485-6AA7C77BD21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2" name="Gruppo 371">
            <a:extLst>
              <a:ext uri="{FF2B5EF4-FFF2-40B4-BE49-F238E27FC236}">
                <a16:creationId xmlns:a16="http://schemas.microsoft.com/office/drawing/2014/main" id="{771382C7-01D8-7231-850A-73E77B855D5C}"/>
              </a:ext>
            </a:extLst>
          </xdr:cNvPr>
          <xdr:cNvGrpSpPr/>
        </xdr:nvGrpSpPr>
        <xdr:grpSpPr>
          <a:xfrm>
            <a:off x="6139991" y="4088728"/>
            <a:ext cx="507711" cy="124677"/>
            <a:chOff x="7275647" y="2818048"/>
            <a:chExt cx="668636" cy="152754"/>
          </a:xfrm>
        </xdr:grpSpPr>
        <xdr:pic>
          <xdr:nvPicPr>
            <xdr:cNvPr id="379" name="Elemento grafico 378" descr="Acqua contorno">
              <a:extLst>
                <a:ext uri="{FF2B5EF4-FFF2-40B4-BE49-F238E27FC236}">
                  <a16:creationId xmlns:a16="http://schemas.microsoft.com/office/drawing/2014/main" id="{4350C4C9-2DEF-F2F3-4852-5D952F33D38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80" name="Elemento grafico 379" descr="Acqua contorno">
              <a:extLst>
                <a:ext uri="{FF2B5EF4-FFF2-40B4-BE49-F238E27FC236}">
                  <a16:creationId xmlns:a16="http://schemas.microsoft.com/office/drawing/2014/main" id="{209F4CED-3B03-E7D0-E545-7E453392CC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81" name="Elemento grafico 380" descr="Acqua contorno">
              <a:extLst>
                <a:ext uri="{FF2B5EF4-FFF2-40B4-BE49-F238E27FC236}">
                  <a16:creationId xmlns:a16="http://schemas.microsoft.com/office/drawing/2014/main" id="{D2513088-99D0-453F-21CB-DB61F41D480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82" name="Elemento grafico 381" descr="Acqua contorno">
              <a:extLst>
                <a:ext uri="{FF2B5EF4-FFF2-40B4-BE49-F238E27FC236}">
                  <a16:creationId xmlns:a16="http://schemas.microsoft.com/office/drawing/2014/main" id="{B3B6B55B-E90C-1A36-9F05-9C2F594AAAB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83" name="Elemento grafico 382" descr="Acqua contorno">
              <a:extLst>
                <a:ext uri="{FF2B5EF4-FFF2-40B4-BE49-F238E27FC236}">
                  <a16:creationId xmlns:a16="http://schemas.microsoft.com/office/drawing/2014/main" id="{0B1863C0-E86D-34D4-C8F5-8D54196E0F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nvGrpSpPr>
          <xdr:cNvPr id="373" name="Gruppo 372">
            <a:extLst>
              <a:ext uri="{FF2B5EF4-FFF2-40B4-BE49-F238E27FC236}">
                <a16:creationId xmlns:a16="http://schemas.microsoft.com/office/drawing/2014/main" id="{33FA0ADF-B6B1-F89D-09C7-4B7F53A3CA03}"/>
              </a:ext>
            </a:extLst>
          </xdr:cNvPr>
          <xdr:cNvGrpSpPr/>
        </xdr:nvGrpSpPr>
        <xdr:grpSpPr>
          <a:xfrm>
            <a:off x="6139991" y="4265529"/>
            <a:ext cx="507711" cy="124677"/>
            <a:chOff x="7275647" y="2818048"/>
            <a:chExt cx="668636" cy="152754"/>
          </a:xfrm>
        </xdr:grpSpPr>
        <xdr:pic>
          <xdr:nvPicPr>
            <xdr:cNvPr id="374" name="Elemento grafico 373" descr="Acqua contorno">
              <a:extLst>
                <a:ext uri="{FF2B5EF4-FFF2-40B4-BE49-F238E27FC236}">
                  <a16:creationId xmlns:a16="http://schemas.microsoft.com/office/drawing/2014/main" id="{BC6677E5-B0A7-FFDE-D05C-F72704F5F7D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75647" y="2818048"/>
              <a:ext cx="151498" cy="152754"/>
            </a:xfrm>
            <a:prstGeom prst="rect">
              <a:avLst/>
            </a:prstGeom>
          </xdr:spPr>
        </xdr:pic>
        <xdr:pic>
          <xdr:nvPicPr>
            <xdr:cNvPr id="375" name="Elemento grafico 374" descr="Acqua contorno">
              <a:extLst>
                <a:ext uri="{FF2B5EF4-FFF2-40B4-BE49-F238E27FC236}">
                  <a16:creationId xmlns:a16="http://schemas.microsoft.com/office/drawing/2014/main" id="{82FF1234-2AA5-E82C-2A42-633CC2A2C6E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04256" y="2818049"/>
              <a:ext cx="152399" cy="152399"/>
            </a:xfrm>
            <a:prstGeom prst="rect">
              <a:avLst/>
            </a:prstGeom>
          </xdr:spPr>
        </xdr:pic>
        <xdr:pic>
          <xdr:nvPicPr>
            <xdr:cNvPr id="376" name="Elemento grafico 375" descr="Acqua contorno">
              <a:extLst>
                <a:ext uri="{FF2B5EF4-FFF2-40B4-BE49-F238E27FC236}">
                  <a16:creationId xmlns:a16="http://schemas.microsoft.com/office/drawing/2014/main" id="{9FB4067C-F551-411A-B762-D0E0B39C684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33766" y="2818048"/>
              <a:ext cx="152399" cy="152399"/>
            </a:xfrm>
            <a:prstGeom prst="rect">
              <a:avLst/>
            </a:prstGeom>
          </xdr:spPr>
        </xdr:pic>
        <xdr:pic>
          <xdr:nvPicPr>
            <xdr:cNvPr id="377" name="Elemento grafico 376" descr="Acqua contorno">
              <a:extLst>
                <a:ext uri="{FF2B5EF4-FFF2-40B4-BE49-F238E27FC236}">
                  <a16:creationId xmlns:a16="http://schemas.microsoft.com/office/drawing/2014/main" id="{BEB24E67-E054-B3DC-B4EC-5C4A0FC8A3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63276" y="2818048"/>
              <a:ext cx="151497" cy="152399"/>
            </a:xfrm>
            <a:prstGeom prst="rect">
              <a:avLst/>
            </a:prstGeom>
          </xdr:spPr>
        </xdr:pic>
        <xdr:pic>
          <xdr:nvPicPr>
            <xdr:cNvPr id="378" name="Elemento grafico 377" descr="Acqua contorno">
              <a:extLst>
                <a:ext uri="{FF2B5EF4-FFF2-40B4-BE49-F238E27FC236}">
                  <a16:creationId xmlns:a16="http://schemas.microsoft.com/office/drawing/2014/main" id="{4289014D-0FBF-5F92-AA2B-231776ABAE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791884" y="2818048"/>
              <a:ext cx="152399" cy="152399"/>
            </a:xfrm>
            <a:prstGeom prst="rect">
              <a:avLst/>
            </a:prstGeom>
          </xdr:spPr>
        </xdr:pic>
      </xdr:grpSp>
    </xdr:grpSp>
    <xdr:clientData/>
  </xdr:twoCellAnchor>
  <xdr:twoCellAnchor>
    <xdr:from>
      <xdr:col>10</xdr:col>
      <xdr:colOff>8390</xdr:colOff>
      <xdr:row>32</xdr:row>
      <xdr:rowOff>34279</xdr:rowOff>
    </xdr:from>
    <xdr:to>
      <xdr:col>12</xdr:col>
      <xdr:colOff>919</xdr:colOff>
      <xdr:row>32</xdr:row>
      <xdr:rowOff>147370</xdr:rowOff>
    </xdr:to>
    <xdr:grpSp>
      <xdr:nvGrpSpPr>
        <xdr:cNvPr id="424" name="Gruppo 423">
          <a:extLst>
            <a:ext uri="{FF2B5EF4-FFF2-40B4-BE49-F238E27FC236}">
              <a16:creationId xmlns:a16="http://schemas.microsoft.com/office/drawing/2014/main" id="{60FA258A-6981-4958-90F3-202CC9AA23EC}"/>
            </a:ext>
          </a:extLst>
        </xdr:cNvPr>
        <xdr:cNvGrpSpPr/>
      </xdr:nvGrpSpPr>
      <xdr:grpSpPr>
        <a:xfrm>
          <a:off x="5664472" y="5686434"/>
          <a:ext cx="1123746" cy="113091"/>
          <a:chOff x="4863962" y="5810256"/>
          <a:chExt cx="1860412" cy="175591"/>
        </a:xfrm>
      </xdr:grpSpPr>
      <xdr:pic>
        <xdr:nvPicPr>
          <xdr:cNvPr id="425" name="Elemento grafico 424" descr="Smile di Harvey Ball 100% contorno">
            <a:extLst>
              <a:ext uri="{FF2B5EF4-FFF2-40B4-BE49-F238E27FC236}">
                <a16:creationId xmlns:a16="http://schemas.microsoft.com/office/drawing/2014/main" id="{A4E07EA8-C7F6-7FF1-12E3-49A79C78B68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863962" y="5810256"/>
            <a:ext cx="177800" cy="175591"/>
          </a:xfrm>
          <a:prstGeom prst="rect">
            <a:avLst/>
          </a:prstGeom>
        </xdr:spPr>
      </xdr:pic>
      <xdr:pic>
        <xdr:nvPicPr>
          <xdr:cNvPr id="426" name="Elemento grafico 425" descr="Smile di Harvey Ball 100% contorno">
            <a:extLst>
              <a:ext uri="{FF2B5EF4-FFF2-40B4-BE49-F238E27FC236}">
                <a16:creationId xmlns:a16="http://schemas.microsoft.com/office/drawing/2014/main" id="{1F182E83-F97C-4D60-8B8C-59CF271CD9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50919" y="5810256"/>
            <a:ext cx="177800" cy="175591"/>
          </a:xfrm>
          <a:prstGeom prst="rect">
            <a:avLst/>
          </a:prstGeom>
        </xdr:spPr>
      </xdr:pic>
      <xdr:pic>
        <xdr:nvPicPr>
          <xdr:cNvPr id="427" name="Elemento grafico 426" descr="Smile di Harvey Ball 100% contorno">
            <a:extLst>
              <a:ext uri="{FF2B5EF4-FFF2-40B4-BE49-F238E27FC236}">
                <a16:creationId xmlns:a16="http://schemas.microsoft.com/office/drawing/2014/main" id="{60760DD3-BECD-FFD5-A52C-D3CCBB020E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237876" y="5810256"/>
            <a:ext cx="177800" cy="175591"/>
          </a:xfrm>
          <a:prstGeom prst="rect">
            <a:avLst/>
          </a:prstGeom>
        </xdr:spPr>
      </xdr:pic>
      <xdr:pic>
        <xdr:nvPicPr>
          <xdr:cNvPr id="428" name="Elemento grafico 427" descr="Smile di Harvey Ball 100% contorno">
            <a:extLst>
              <a:ext uri="{FF2B5EF4-FFF2-40B4-BE49-F238E27FC236}">
                <a16:creationId xmlns:a16="http://schemas.microsoft.com/office/drawing/2014/main" id="{7915950C-316F-69C5-649D-80B5F803E82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24833" y="5810256"/>
            <a:ext cx="177800" cy="175591"/>
          </a:xfrm>
          <a:prstGeom prst="rect">
            <a:avLst/>
          </a:prstGeom>
        </xdr:spPr>
      </xdr:pic>
      <xdr:pic>
        <xdr:nvPicPr>
          <xdr:cNvPr id="429" name="Elemento grafico 428" descr="Smile di Harvey Ball 100% contorno">
            <a:extLst>
              <a:ext uri="{FF2B5EF4-FFF2-40B4-BE49-F238E27FC236}">
                <a16:creationId xmlns:a16="http://schemas.microsoft.com/office/drawing/2014/main" id="{9DAAB038-AC94-A0B8-A170-AFA2580C7C3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611790" y="5810256"/>
            <a:ext cx="177800" cy="175591"/>
          </a:xfrm>
          <a:prstGeom prst="rect">
            <a:avLst/>
          </a:prstGeom>
        </xdr:spPr>
      </xdr:pic>
      <xdr:pic>
        <xdr:nvPicPr>
          <xdr:cNvPr id="430" name="Elemento grafico 429" descr="Smile di Harvey Ball 100% contorno">
            <a:extLst>
              <a:ext uri="{FF2B5EF4-FFF2-40B4-BE49-F238E27FC236}">
                <a16:creationId xmlns:a16="http://schemas.microsoft.com/office/drawing/2014/main" id="{850CC01B-6F18-82D8-CBE1-9E45F097C7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8747" y="5810256"/>
            <a:ext cx="177800" cy="175591"/>
          </a:xfrm>
          <a:prstGeom prst="rect">
            <a:avLst/>
          </a:prstGeom>
        </xdr:spPr>
      </xdr:pic>
      <xdr:pic>
        <xdr:nvPicPr>
          <xdr:cNvPr id="431" name="Elemento grafico 430" descr="Smile di Harvey Ball 100% contorno">
            <a:extLst>
              <a:ext uri="{FF2B5EF4-FFF2-40B4-BE49-F238E27FC236}">
                <a16:creationId xmlns:a16="http://schemas.microsoft.com/office/drawing/2014/main" id="{740FF362-8E57-70D6-C8F4-ED6795E26E4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985704" y="5810256"/>
            <a:ext cx="177800" cy="175591"/>
          </a:xfrm>
          <a:prstGeom prst="rect">
            <a:avLst/>
          </a:prstGeom>
        </xdr:spPr>
      </xdr:pic>
      <xdr:pic>
        <xdr:nvPicPr>
          <xdr:cNvPr id="432" name="Elemento grafico 431" descr="Smile di Harvey Ball 100% contorno">
            <a:extLst>
              <a:ext uri="{FF2B5EF4-FFF2-40B4-BE49-F238E27FC236}">
                <a16:creationId xmlns:a16="http://schemas.microsoft.com/office/drawing/2014/main" id="{66D253CB-A99D-3831-CC8D-362F6859859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172661" y="5810256"/>
            <a:ext cx="177800" cy="175591"/>
          </a:xfrm>
          <a:prstGeom prst="rect">
            <a:avLst/>
          </a:prstGeom>
        </xdr:spPr>
      </xdr:pic>
      <xdr:pic>
        <xdr:nvPicPr>
          <xdr:cNvPr id="433" name="Elemento grafico 432" descr="Smile di Harvey Ball 100% contorno">
            <a:extLst>
              <a:ext uri="{FF2B5EF4-FFF2-40B4-BE49-F238E27FC236}">
                <a16:creationId xmlns:a16="http://schemas.microsoft.com/office/drawing/2014/main" id="{DB8830F3-A654-8284-FACB-2FF3E0E37A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59618" y="5810256"/>
            <a:ext cx="177800" cy="175591"/>
          </a:xfrm>
          <a:prstGeom prst="rect">
            <a:avLst/>
          </a:prstGeom>
        </xdr:spPr>
      </xdr:pic>
      <xdr:pic>
        <xdr:nvPicPr>
          <xdr:cNvPr id="434" name="Elemento grafico 433" descr="Smile di Harvey Ball 100% contorno">
            <a:extLst>
              <a:ext uri="{FF2B5EF4-FFF2-40B4-BE49-F238E27FC236}">
                <a16:creationId xmlns:a16="http://schemas.microsoft.com/office/drawing/2014/main" id="{283EFE49-001A-073B-A7D2-6C28AFC867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6574" y="5810256"/>
            <a:ext cx="177800" cy="175591"/>
          </a:xfrm>
          <a:prstGeom prst="rect">
            <a:avLst/>
          </a:prstGeom>
        </xdr:spPr>
      </xdr:pic>
    </xdr:grpSp>
    <xdr:clientData/>
  </xdr:twoCellAnchor>
  <xdr:twoCellAnchor>
    <xdr:from>
      <xdr:col>3</xdr:col>
      <xdr:colOff>30638</xdr:colOff>
      <xdr:row>9</xdr:row>
      <xdr:rowOff>29362</xdr:rowOff>
    </xdr:from>
    <xdr:to>
      <xdr:col>3</xdr:col>
      <xdr:colOff>538349</xdr:colOff>
      <xdr:row>11</xdr:row>
      <xdr:rowOff>154136</xdr:rowOff>
    </xdr:to>
    <xdr:grpSp>
      <xdr:nvGrpSpPr>
        <xdr:cNvPr id="532" name="Gruppo 531">
          <a:extLst>
            <a:ext uri="{FF2B5EF4-FFF2-40B4-BE49-F238E27FC236}">
              <a16:creationId xmlns:a16="http://schemas.microsoft.com/office/drawing/2014/main" id="{77C76D39-6474-4297-A981-923998B3F07A}"/>
            </a:ext>
          </a:extLst>
        </xdr:cNvPr>
        <xdr:cNvGrpSpPr/>
      </xdr:nvGrpSpPr>
      <xdr:grpSpPr>
        <a:xfrm>
          <a:off x="1727463" y="1635847"/>
          <a:ext cx="507711" cy="478279"/>
          <a:chOff x="1719607" y="1635847"/>
          <a:chExt cx="507711" cy="478279"/>
        </a:xfrm>
        <a:solidFill>
          <a:schemeClr val="accent5"/>
        </a:solidFill>
      </xdr:grpSpPr>
      <xdr:grpSp>
        <xdr:nvGrpSpPr>
          <xdr:cNvPr id="436" name="Gruppo 435">
            <a:extLst>
              <a:ext uri="{FF2B5EF4-FFF2-40B4-BE49-F238E27FC236}">
                <a16:creationId xmlns:a16="http://schemas.microsoft.com/office/drawing/2014/main" id="{3946BC63-1622-5F78-26CD-4B5793C8D3E0}"/>
              </a:ext>
            </a:extLst>
          </xdr:cNvPr>
          <xdr:cNvGrpSpPr/>
        </xdr:nvGrpSpPr>
        <xdr:grpSpPr>
          <a:xfrm>
            <a:off x="1719607" y="1635847"/>
            <a:ext cx="507711" cy="124677"/>
            <a:chOff x="7275647" y="2818048"/>
            <a:chExt cx="668636" cy="152754"/>
          </a:xfrm>
          <a:grpFill/>
        </xdr:grpSpPr>
        <xdr:pic>
          <xdr:nvPicPr>
            <xdr:cNvPr id="491" name="Elemento grafico 490" descr="Acqua contorno">
              <a:extLst>
                <a:ext uri="{FF2B5EF4-FFF2-40B4-BE49-F238E27FC236}">
                  <a16:creationId xmlns:a16="http://schemas.microsoft.com/office/drawing/2014/main" id="{4B770589-9CC1-3343-4CB1-AD8BB9F7D46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92" name="Elemento grafico 491" descr="Acqua contorno">
              <a:extLst>
                <a:ext uri="{FF2B5EF4-FFF2-40B4-BE49-F238E27FC236}">
                  <a16:creationId xmlns:a16="http://schemas.microsoft.com/office/drawing/2014/main" id="{6C19AF96-E605-6B88-E859-9EDA8098C2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93" name="Elemento grafico 492" descr="Acqua contorno">
              <a:extLst>
                <a:ext uri="{FF2B5EF4-FFF2-40B4-BE49-F238E27FC236}">
                  <a16:creationId xmlns:a16="http://schemas.microsoft.com/office/drawing/2014/main" id="{715B7EB2-CB9B-E09B-70C3-C6377F9619B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94" name="Elemento grafico 493" descr="Acqua contorno">
              <a:extLst>
                <a:ext uri="{FF2B5EF4-FFF2-40B4-BE49-F238E27FC236}">
                  <a16:creationId xmlns:a16="http://schemas.microsoft.com/office/drawing/2014/main" id="{32A8F9E0-128A-DC03-0787-8999A4A8F6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95" name="Elemento grafico 494" descr="Acqua contorno">
              <a:extLst>
                <a:ext uri="{FF2B5EF4-FFF2-40B4-BE49-F238E27FC236}">
                  <a16:creationId xmlns:a16="http://schemas.microsoft.com/office/drawing/2014/main" id="{88990E02-5742-F8CA-257F-F159A1C36EF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nvGrpSpPr>
          <xdr:cNvPr id="437" name="Gruppo 436">
            <a:extLst>
              <a:ext uri="{FF2B5EF4-FFF2-40B4-BE49-F238E27FC236}">
                <a16:creationId xmlns:a16="http://schemas.microsoft.com/office/drawing/2014/main" id="{89BC131D-B17F-5D86-8D54-D2A82E3AD9AA}"/>
              </a:ext>
            </a:extLst>
          </xdr:cNvPr>
          <xdr:cNvGrpSpPr/>
        </xdr:nvGrpSpPr>
        <xdr:grpSpPr>
          <a:xfrm>
            <a:off x="1719607" y="1812648"/>
            <a:ext cx="507711" cy="124677"/>
            <a:chOff x="7275647" y="2818048"/>
            <a:chExt cx="668636" cy="152754"/>
          </a:xfrm>
          <a:grpFill/>
        </xdr:grpSpPr>
        <xdr:pic>
          <xdr:nvPicPr>
            <xdr:cNvPr id="486" name="Elemento grafico 485" descr="Acqua contorno">
              <a:extLst>
                <a:ext uri="{FF2B5EF4-FFF2-40B4-BE49-F238E27FC236}">
                  <a16:creationId xmlns:a16="http://schemas.microsoft.com/office/drawing/2014/main" id="{B1FCD93D-613A-2A0C-52B6-2F4B4B089AA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87" name="Elemento grafico 486" descr="Acqua contorno">
              <a:extLst>
                <a:ext uri="{FF2B5EF4-FFF2-40B4-BE49-F238E27FC236}">
                  <a16:creationId xmlns:a16="http://schemas.microsoft.com/office/drawing/2014/main" id="{CB9752EA-38BD-4CFF-8190-D985D749B02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88" name="Elemento grafico 487" descr="Acqua contorno">
              <a:extLst>
                <a:ext uri="{FF2B5EF4-FFF2-40B4-BE49-F238E27FC236}">
                  <a16:creationId xmlns:a16="http://schemas.microsoft.com/office/drawing/2014/main" id="{F8586CE5-D101-FC39-EDD7-ED9D493C9CC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89" name="Elemento grafico 488" descr="Acqua contorno">
              <a:extLst>
                <a:ext uri="{FF2B5EF4-FFF2-40B4-BE49-F238E27FC236}">
                  <a16:creationId xmlns:a16="http://schemas.microsoft.com/office/drawing/2014/main" id="{55DD244F-2FFB-23A3-35DE-BC73FC82D30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90" name="Elemento grafico 489" descr="Acqua contorno">
              <a:extLst>
                <a:ext uri="{FF2B5EF4-FFF2-40B4-BE49-F238E27FC236}">
                  <a16:creationId xmlns:a16="http://schemas.microsoft.com/office/drawing/2014/main" id="{ACB27678-6D9D-0995-A7B2-800EE3602F6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nvGrpSpPr>
          <xdr:cNvPr id="438" name="Gruppo 437">
            <a:extLst>
              <a:ext uri="{FF2B5EF4-FFF2-40B4-BE49-F238E27FC236}">
                <a16:creationId xmlns:a16="http://schemas.microsoft.com/office/drawing/2014/main" id="{7E5A19F2-3930-6150-2775-C81B79A6573A}"/>
              </a:ext>
            </a:extLst>
          </xdr:cNvPr>
          <xdr:cNvGrpSpPr/>
        </xdr:nvGrpSpPr>
        <xdr:grpSpPr>
          <a:xfrm>
            <a:off x="1719607" y="1989449"/>
            <a:ext cx="507711" cy="124677"/>
            <a:chOff x="7275647" y="2818048"/>
            <a:chExt cx="668636" cy="152754"/>
          </a:xfrm>
          <a:grpFill/>
        </xdr:grpSpPr>
        <xdr:pic>
          <xdr:nvPicPr>
            <xdr:cNvPr id="481" name="Elemento grafico 480" descr="Acqua contorno">
              <a:extLst>
                <a:ext uri="{FF2B5EF4-FFF2-40B4-BE49-F238E27FC236}">
                  <a16:creationId xmlns:a16="http://schemas.microsoft.com/office/drawing/2014/main" id="{2F11383F-6791-4EED-6247-A35025BB494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275647" y="2818048"/>
              <a:ext cx="151498" cy="152754"/>
            </a:xfrm>
            <a:prstGeom prst="rect">
              <a:avLst/>
            </a:prstGeom>
          </xdr:spPr>
        </xdr:pic>
        <xdr:pic>
          <xdr:nvPicPr>
            <xdr:cNvPr id="482" name="Elemento grafico 481" descr="Acqua contorno">
              <a:extLst>
                <a:ext uri="{FF2B5EF4-FFF2-40B4-BE49-F238E27FC236}">
                  <a16:creationId xmlns:a16="http://schemas.microsoft.com/office/drawing/2014/main" id="{3B9DC5E6-6DEF-C8A1-63AC-4AA1CB86B2C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404256" y="2818049"/>
              <a:ext cx="152399" cy="152399"/>
            </a:xfrm>
            <a:prstGeom prst="rect">
              <a:avLst/>
            </a:prstGeom>
          </xdr:spPr>
        </xdr:pic>
        <xdr:pic>
          <xdr:nvPicPr>
            <xdr:cNvPr id="483" name="Elemento grafico 482" descr="Acqua contorno">
              <a:extLst>
                <a:ext uri="{FF2B5EF4-FFF2-40B4-BE49-F238E27FC236}">
                  <a16:creationId xmlns:a16="http://schemas.microsoft.com/office/drawing/2014/main" id="{A2C73AEE-6605-9F0A-3857-9EBBF4BA82C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533766" y="2818048"/>
              <a:ext cx="152399" cy="152399"/>
            </a:xfrm>
            <a:prstGeom prst="rect">
              <a:avLst/>
            </a:prstGeom>
          </xdr:spPr>
        </xdr:pic>
        <xdr:pic>
          <xdr:nvPicPr>
            <xdr:cNvPr id="484" name="Elemento grafico 483" descr="Acqua contorno">
              <a:extLst>
                <a:ext uri="{FF2B5EF4-FFF2-40B4-BE49-F238E27FC236}">
                  <a16:creationId xmlns:a16="http://schemas.microsoft.com/office/drawing/2014/main" id="{C2311FA4-B5D8-1B49-DC25-CF1268DBF3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663276" y="2818048"/>
              <a:ext cx="151497" cy="152399"/>
            </a:xfrm>
            <a:prstGeom prst="rect">
              <a:avLst/>
            </a:prstGeom>
          </xdr:spPr>
        </xdr:pic>
        <xdr:pic>
          <xdr:nvPicPr>
            <xdr:cNvPr id="485" name="Elemento grafico 484" descr="Acqua contorno">
              <a:extLst>
                <a:ext uri="{FF2B5EF4-FFF2-40B4-BE49-F238E27FC236}">
                  <a16:creationId xmlns:a16="http://schemas.microsoft.com/office/drawing/2014/main" id="{E0A6D96B-0894-835E-FDF8-937D5C6F060D}"/>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7791884" y="2818048"/>
              <a:ext cx="152399" cy="152399"/>
            </a:xfrm>
            <a:prstGeom prst="rect">
              <a:avLst/>
            </a:prstGeom>
          </xdr:spPr>
        </xdr:pic>
      </xdr:grpSp>
    </xdr:grpSp>
    <xdr:clientData/>
  </xdr:twoCellAnchor>
  <xdr:twoCellAnchor>
    <xdr:from>
      <xdr:col>7</xdr:col>
      <xdr:colOff>29853</xdr:colOff>
      <xdr:row>9</xdr:row>
      <xdr:rowOff>28576</xdr:rowOff>
    </xdr:from>
    <xdr:to>
      <xdr:col>7</xdr:col>
      <xdr:colOff>537564</xdr:colOff>
      <xdr:row>11</xdr:row>
      <xdr:rowOff>153350</xdr:rowOff>
    </xdr:to>
    <xdr:grpSp>
      <xdr:nvGrpSpPr>
        <xdr:cNvPr id="534" name="Gruppo 533">
          <a:extLst>
            <a:ext uri="{FF2B5EF4-FFF2-40B4-BE49-F238E27FC236}">
              <a16:creationId xmlns:a16="http://schemas.microsoft.com/office/drawing/2014/main" id="{4A3400BD-A6F8-4856-84EE-501746CBB95E}"/>
            </a:ext>
          </a:extLst>
        </xdr:cNvPr>
        <xdr:cNvGrpSpPr/>
      </xdr:nvGrpSpPr>
      <xdr:grpSpPr>
        <a:xfrm>
          <a:off x="3989111" y="1635061"/>
          <a:ext cx="507711" cy="478279"/>
          <a:chOff x="1719607" y="1635847"/>
          <a:chExt cx="507711" cy="478279"/>
        </a:xfrm>
        <a:solidFill>
          <a:schemeClr val="accent1"/>
        </a:solidFill>
      </xdr:grpSpPr>
      <xdr:grpSp>
        <xdr:nvGrpSpPr>
          <xdr:cNvPr id="535" name="Gruppo 534">
            <a:extLst>
              <a:ext uri="{FF2B5EF4-FFF2-40B4-BE49-F238E27FC236}">
                <a16:creationId xmlns:a16="http://schemas.microsoft.com/office/drawing/2014/main" id="{E69DFB3F-5721-F08D-7ED3-6841FCFE504B}"/>
              </a:ext>
            </a:extLst>
          </xdr:cNvPr>
          <xdr:cNvGrpSpPr/>
        </xdr:nvGrpSpPr>
        <xdr:grpSpPr>
          <a:xfrm>
            <a:off x="1719607" y="1635847"/>
            <a:ext cx="507711" cy="124677"/>
            <a:chOff x="7275647" y="2818048"/>
            <a:chExt cx="668636" cy="152754"/>
          </a:xfrm>
          <a:grpFill/>
        </xdr:grpSpPr>
        <xdr:pic>
          <xdr:nvPicPr>
            <xdr:cNvPr id="548" name="Elemento grafico 547" descr="Acqua contorno">
              <a:extLst>
                <a:ext uri="{FF2B5EF4-FFF2-40B4-BE49-F238E27FC236}">
                  <a16:creationId xmlns:a16="http://schemas.microsoft.com/office/drawing/2014/main" id="{A05A4039-1687-EB33-CD1E-5D2A867EA39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49" name="Elemento grafico 548" descr="Acqua contorno">
              <a:extLst>
                <a:ext uri="{FF2B5EF4-FFF2-40B4-BE49-F238E27FC236}">
                  <a16:creationId xmlns:a16="http://schemas.microsoft.com/office/drawing/2014/main" id="{C8B33BEC-0815-4C9E-D440-44BF734390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50" name="Elemento grafico 549" descr="Acqua contorno">
              <a:extLst>
                <a:ext uri="{FF2B5EF4-FFF2-40B4-BE49-F238E27FC236}">
                  <a16:creationId xmlns:a16="http://schemas.microsoft.com/office/drawing/2014/main" id="{9F12494A-F8EA-3278-6C68-EE0083F796C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51" name="Elemento grafico 550" descr="Acqua contorno">
              <a:extLst>
                <a:ext uri="{FF2B5EF4-FFF2-40B4-BE49-F238E27FC236}">
                  <a16:creationId xmlns:a16="http://schemas.microsoft.com/office/drawing/2014/main" id="{9A2E2A46-C62A-CD93-567A-6B5E5CAADEE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52" name="Elemento grafico 551" descr="Acqua contorno">
              <a:extLst>
                <a:ext uri="{FF2B5EF4-FFF2-40B4-BE49-F238E27FC236}">
                  <a16:creationId xmlns:a16="http://schemas.microsoft.com/office/drawing/2014/main" id="{A0B90A77-6057-F5DE-ECF3-2A8A9B3FB40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nvGrpSpPr>
          <xdr:cNvPr id="536" name="Gruppo 535">
            <a:extLst>
              <a:ext uri="{FF2B5EF4-FFF2-40B4-BE49-F238E27FC236}">
                <a16:creationId xmlns:a16="http://schemas.microsoft.com/office/drawing/2014/main" id="{9350C6C7-A40B-0E3F-8E18-7FB61622BA2B}"/>
              </a:ext>
            </a:extLst>
          </xdr:cNvPr>
          <xdr:cNvGrpSpPr/>
        </xdr:nvGrpSpPr>
        <xdr:grpSpPr>
          <a:xfrm>
            <a:off x="1719607" y="1812648"/>
            <a:ext cx="507711" cy="124677"/>
            <a:chOff x="7275647" y="2818048"/>
            <a:chExt cx="668636" cy="152754"/>
          </a:xfrm>
          <a:grpFill/>
        </xdr:grpSpPr>
        <xdr:pic>
          <xdr:nvPicPr>
            <xdr:cNvPr id="543" name="Elemento grafico 542" descr="Acqua contorno">
              <a:extLst>
                <a:ext uri="{FF2B5EF4-FFF2-40B4-BE49-F238E27FC236}">
                  <a16:creationId xmlns:a16="http://schemas.microsoft.com/office/drawing/2014/main" id="{31D60B10-85D5-C22E-438E-8CEDCE73A11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44" name="Elemento grafico 543" descr="Acqua contorno">
              <a:extLst>
                <a:ext uri="{FF2B5EF4-FFF2-40B4-BE49-F238E27FC236}">
                  <a16:creationId xmlns:a16="http://schemas.microsoft.com/office/drawing/2014/main" id="{9A54C62D-527D-0CCE-697E-3F73BF36D66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45" name="Elemento grafico 544" descr="Acqua contorno">
              <a:extLst>
                <a:ext uri="{FF2B5EF4-FFF2-40B4-BE49-F238E27FC236}">
                  <a16:creationId xmlns:a16="http://schemas.microsoft.com/office/drawing/2014/main" id="{AF5192D3-63C7-00D1-C3DA-788D8F4502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46" name="Elemento grafico 545" descr="Acqua contorno">
              <a:extLst>
                <a:ext uri="{FF2B5EF4-FFF2-40B4-BE49-F238E27FC236}">
                  <a16:creationId xmlns:a16="http://schemas.microsoft.com/office/drawing/2014/main" id="{ADCF6806-0F11-2109-943A-1DCA77C87D8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47" name="Elemento grafico 546" descr="Acqua contorno">
              <a:extLst>
                <a:ext uri="{FF2B5EF4-FFF2-40B4-BE49-F238E27FC236}">
                  <a16:creationId xmlns:a16="http://schemas.microsoft.com/office/drawing/2014/main" id="{0F874355-460F-CB2C-C7B3-381D9622C1A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nvGrpSpPr>
          <xdr:cNvPr id="537" name="Gruppo 536">
            <a:extLst>
              <a:ext uri="{FF2B5EF4-FFF2-40B4-BE49-F238E27FC236}">
                <a16:creationId xmlns:a16="http://schemas.microsoft.com/office/drawing/2014/main" id="{B2390549-DF72-C673-1433-812A696F6751}"/>
              </a:ext>
            </a:extLst>
          </xdr:cNvPr>
          <xdr:cNvGrpSpPr/>
        </xdr:nvGrpSpPr>
        <xdr:grpSpPr>
          <a:xfrm>
            <a:off x="1719607" y="1989449"/>
            <a:ext cx="507711" cy="124677"/>
            <a:chOff x="7275647" y="2818048"/>
            <a:chExt cx="668636" cy="152754"/>
          </a:xfrm>
          <a:grpFill/>
        </xdr:grpSpPr>
        <xdr:pic>
          <xdr:nvPicPr>
            <xdr:cNvPr id="538" name="Elemento grafico 537" descr="Acqua contorno">
              <a:extLst>
                <a:ext uri="{FF2B5EF4-FFF2-40B4-BE49-F238E27FC236}">
                  <a16:creationId xmlns:a16="http://schemas.microsoft.com/office/drawing/2014/main" id="{E12D4338-6F9F-8999-9764-3286401C07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275647" y="2818048"/>
              <a:ext cx="151498" cy="152754"/>
            </a:xfrm>
            <a:prstGeom prst="rect">
              <a:avLst/>
            </a:prstGeom>
          </xdr:spPr>
        </xdr:pic>
        <xdr:pic>
          <xdr:nvPicPr>
            <xdr:cNvPr id="539" name="Elemento grafico 538" descr="Acqua contorno">
              <a:extLst>
                <a:ext uri="{FF2B5EF4-FFF2-40B4-BE49-F238E27FC236}">
                  <a16:creationId xmlns:a16="http://schemas.microsoft.com/office/drawing/2014/main" id="{89159F24-B772-2390-CE7C-D6790E88023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404256" y="2818049"/>
              <a:ext cx="152399" cy="152399"/>
            </a:xfrm>
            <a:prstGeom prst="rect">
              <a:avLst/>
            </a:prstGeom>
          </xdr:spPr>
        </xdr:pic>
        <xdr:pic>
          <xdr:nvPicPr>
            <xdr:cNvPr id="540" name="Elemento grafico 539" descr="Acqua contorno">
              <a:extLst>
                <a:ext uri="{FF2B5EF4-FFF2-40B4-BE49-F238E27FC236}">
                  <a16:creationId xmlns:a16="http://schemas.microsoft.com/office/drawing/2014/main" id="{08B0DDFA-FA4E-0C09-B324-77A6551C380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33766" y="2818048"/>
              <a:ext cx="152399" cy="152399"/>
            </a:xfrm>
            <a:prstGeom prst="rect">
              <a:avLst/>
            </a:prstGeom>
          </xdr:spPr>
        </xdr:pic>
        <xdr:pic>
          <xdr:nvPicPr>
            <xdr:cNvPr id="541" name="Elemento grafico 540" descr="Acqua contorno">
              <a:extLst>
                <a:ext uri="{FF2B5EF4-FFF2-40B4-BE49-F238E27FC236}">
                  <a16:creationId xmlns:a16="http://schemas.microsoft.com/office/drawing/2014/main" id="{C173FF3D-69CF-9257-5740-43A9F7B65EF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63276" y="2818048"/>
              <a:ext cx="151497" cy="152399"/>
            </a:xfrm>
            <a:prstGeom prst="rect">
              <a:avLst/>
            </a:prstGeom>
          </xdr:spPr>
        </xdr:pic>
        <xdr:pic>
          <xdr:nvPicPr>
            <xdr:cNvPr id="542" name="Elemento grafico 541" descr="Acqua contorno">
              <a:extLst>
                <a:ext uri="{FF2B5EF4-FFF2-40B4-BE49-F238E27FC236}">
                  <a16:creationId xmlns:a16="http://schemas.microsoft.com/office/drawing/2014/main" id="{C2EB7202-4E9D-34E4-EBD8-965229BAFBE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791884" y="2818048"/>
              <a:ext cx="152399" cy="152399"/>
            </a:xfrm>
            <a:prstGeom prst="rect">
              <a:avLst/>
            </a:prstGeom>
          </xdr:spPr>
        </xdr:pic>
      </xdr:grpSp>
    </xdr:grpSp>
    <xdr:clientData/>
  </xdr:twoCellAnchor>
  <xdr:twoCellAnchor>
    <xdr:from>
      <xdr:col>11</xdr:col>
      <xdr:colOff>36923</xdr:colOff>
      <xdr:row>9</xdr:row>
      <xdr:rowOff>27791</xdr:rowOff>
    </xdr:from>
    <xdr:to>
      <xdr:col>11</xdr:col>
      <xdr:colOff>544634</xdr:colOff>
      <xdr:row>11</xdr:row>
      <xdr:rowOff>152565</xdr:rowOff>
    </xdr:to>
    <xdr:grpSp>
      <xdr:nvGrpSpPr>
        <xdr:cNvPr id="553" name="Gruppo 552">
          <a:extLst>
            <a:ext uri="{FF2B5EF4-FFF2-40B4-BE49-F238E27FC236}">
              <a16:creationId xmlns:a16="http://schemas.microsoft.com/office/drawing/2014/main" id="{18B62CEE-4181-4784-9108-91966BCDF878}"/>
            </a:ext>
          </a:extLst>
        </xdr:cNvPr>
        <xdr:cNvGrpSpPr/>
      </xdr:nvGrpSpPr>
      <xdr:grpSpPr>
        <a:xfrm>
          <a:off x="6258614" y="1634276"/>
          <a:ext cx="507711" cy="478279"/>
          <a:chOff x="1719607" y="1635847"/>
          <a:chExt cx="507711" cy="478279"/>
        </a:xfrm>
        <a:solidFill>
          <a:schemeClr val="accent1"/>
        </a:solidFill>
      </xdr:grpSpPr>
      <xdr:grpSp>
        <xdr:nvGrpSpPr>
          <xdr:cNvPr id="554" name="Gruppo 553">
            <a:extLst>
              <a:ext uri="{FF2B5EF4-FFF2-40B4-BE49-F238E27FC236}">
                <a16:creationId xmlns:a16="http://schemas.microsoft.com/office/drawing/2014/main" id="{4190B457-D290-0327-4A1B-D8273630F733}"/>
              </a:ext>
            </a:extLst>
          </xdr:cNvPr>
          <xdr:cNvGrpSpPr/>
        </xdr:nvGrpSpPr>
        <xdr:grpSpPr>
          <a:xfrm>
            <a:off x="1719607" y="1635847"/>
            <a:ext cx="507711" cy="124677"/>
            <a:chOff x="7275647" y="2818048"/>
            <a:chExt cx="668636" cy="152754"/>
          </a:xfrm>
          <a:grpFill/>
        </xdr:grpSpPr>
        <xdr:pic>
          <xdr:nvPicPr>
            <xdr:cNvPr id="567" name="Elemento grafico 566" descr="Acqua contorno">
              <a:extLst>
                <a:ext uri="{FF2B5EF4-FFF2-40B4-BE49-F238E27FC236}">
                  <a16:creationId xmlns:a16="http://schemas.microsoft.com/office/drawing/2014/main" id="{8E9318DB-7290-5B53-29BD-E81DF334E2F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68" name="Elemento grafico 567" descr="Acqua contorno">
              <a:extLst>
                <a:ext uri="{FF2B5EF4-FFF2-40B4-BE49-F238E27FC236}">
                  <a16:creationId xmlns:a16="http://schemas.microsoft.com/office/drawing/2014/main" id="{316A5953-94B2-2EBC-11C3-866FA26533C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69" name="Elemento grafico 568" descr="Acqua contorno">
              <a:extLst>
                <a:ext uri="{FF2B5EF4-FFF2-40B4-BE49-F238E27FC236}">
                  <a16:creationId xmlns:a16="http://schemas.microsoft.com/office/drawing/2014/main" id="{100F13C2-BC95-0CE6-21C4-9A9C6D85030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70" name="Elemento grafico 569" descr="Acqua contorno">
              <a:extLst>
                <a:ext uri="{FF2B5EF4-FFF2-40B4-BE49-F238E27FC236}">
                  <a16:creationId xmlns:a16="http://schemas.microsoft.com/office/drawing/2014/main" id="{C9D3E5CE-46E1-3A7F-5900-9BFA7B8DD00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71" name="Elemento grafico 570" descr="Acqua contorno">
              <a:extLst>
                <a:ext uri="{FF2B5EF4-FFF2-40B4-BE49-F238E27FC236}">
                  <a16:creationId xmlns:a16="http://schemas.microsoft.com/office/drawing/2014/main" id="{C6E2AB89-90E3-4ABE-A8DA-AA26BB67A02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nvGrpSpPr>
          <xdr:cNvPr id="555" name="Gruppo 554">
            <a:extLst>
              <a:ext uri="{FF2B5EF4-FFF2-40B4-BE49-F238E27FC236}">
                <a16:creationId xmlns:a16="http://schemas.microsoft.com/office/drawing/2014/main" id="{06EAE877-4443-9688-3458-5159AA75EC61}"/>
              </a:ext>
            </a:extLst>
          </xdr:cNvPr>
          <xdr:cNvGrpSpPr/>
        </xdr:nvGrpSpPr>
        <xdr:grpSpPr>
          <a:xfrm>
            <a:off x="1719607" y="1812648"/>
            <a:ext cx="507711" cy="124677"/>
            <a:chOff x="7275647" y="2818048"/>
            <a:chExt cx="668636" cy="152754"/>
          </a:xfrm>
          <a:grpFill/>
        </xdr:grpSpPr>
        <xdr:pic>
          <xdr:nvPicPr>
            <xdr:cNvPr id="562" name="Elemento grafico 561" descr="Acqua contorno">
              <a:extLst>
                <a:ext uri="{FF2B5EF4-FFF2-40B4-BE49-F238E27FC236}">
                  <a16:creationId xmlns:a16="http://schemas.microsoft.com/office/drawing/2014/main" id="{EBA28F41-8057-0AD7-7C49-052364857FD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63" name="Elemento grafico 562" descr="Acqua contorno">
              <a:extLst>
                <a:ext uri="{FF2B5EF4-FFF2-40B4-BE49-F238E27FC236}">
                  <a16:creationId xmlns:a16="http://schemas.microsoft.com/office/drawing/2014/main" id="{4F6E72A0-B142-49C6-312C-88526EEC83A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64" name="Elemento grafico 563" descr="Acqua contorno">
              <a:extLst>
                <a:ext uri="{FF2B5EF4-FFF2-40B4-BE49-F238E27FC236}">
                  <a16:creationId xmlns:a16="http://schemas.microsoft.com/office/drawing/2014/main" id="{27F91A64-8AF2-515B-06BC-FA2259CC997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65" name="Elemento grafico 564" descr="Acqua contorno">
              <a:extLst>
                <a:ext uri="{FF2B5EF4-FFF2-40B4-BE49-F238E27FC236}">
                  <a16:creationId xmlns:a16="http://schemas.microsoft.com/office/drawing/2014/main" id="{789BA4E3-F472-49D0-99A9-85E368BF726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66" name="Elemento grafico 565" descr="Acqua contorno">
              <a:extLst>
                <a:ext uri="{FF2B5EF4-FFF2-40B4-BE49-F238E27FC236}">
                  <a16:creationId xmlns:a16="http://schemas.microsoft.com/office/drawing/2014/main" id="{706E861D-3967-7FF6-6397-94B44087867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nvGrpSpPr>
          <xdr:cNvPr id="556" name="Gruppo 555">
            <a:extLst>
              <a:ext uri="{FF2B5EF4-FFF2-40B4-BE49-F238E27FC236}">
                <a16:creationId xmlns:a16="http://schemas.microsoft.com/office/drawing/2014/main" id="{E02B7E32-6235-23A2-BB7D-F401B919815C}"/>
              </a:ext>
            </a:extLst>
          </xdr:cNvPr>
          <xdr:cNvGrpSpPr/>
        </xdr:nvGrpSpPr>
        <xdr:grpSpPr>
          <a:xfrm>
            <a:off x="1719607" y="1989449"/>
            <a:ext cx="507711" cy="124677"/>
            <a:chOff x="7275647" y="2818048"/>
            <a:chExt cx="668636" cy="152754"/>
          </a:xfrm>
          <a:grpFill/>
        </xdr:grpSpPr>
        <xdr:pic>
          <xdr:nvPicPr>
            <xdr:cNvPr id="557" name="Elemento grafico 556" descr="Acqua contorno">
              <a:extLst>
                <a:ext uri="{FF2B5EF4-FFF2-40B4-BE49-F238E27FC236}">
                  <a16:creationId xmlns:a16="http://schemas.microsoft.com/office/drawing/2014/main" id="{9D14E60D-38DE-B69C-5DFB-4BD48BD020C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75647" y="2818048"/>
              <a:ext cx="151498" cy="152754"/>
            </a:xfrm>
            <a:prstGeom prst="rect">
              <a:avLst/>
            </a:prstGeom>
          </xdr:spPr>
        </xdr:pic>
        <xdr:pic>
          <xdr:nvPicPr>
            <xdr:cNvPr id="558" name="Elemento grafico 557" descr="Acqua contorno">
              <a:extLst>
                <a:ext uri="{FF2B5EF4-FFF2-40B4-BE49-F238E27FC236}">
                  <a16:creationId xmlns:a16="http://schemas.microsoft.com/office/drawing/2014/main" id="{D8B7CD7C-F269-AF7A-A8BA-3FF6578683B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404256" y="2818049"/>
              <a:ext cx="152399" cy="152399"/>
            </a:xfrm>
            <a:prstGeom prst="rect">
              <a:avLst/>
            </a:prstGeom>
          </xdr:spPr>
        </xdr:pic>
        <xdr:pic>
          <xdr:nvPicPr>
            <xdr:cNvPr id="559" name="Elemento grafico 558" descr="Acqua contorno">
              <a:extLst>
                <a:ext uri="{FF2B5EF4-FFF2-40B4-BE49-F238E27FC236}">
                  <a16:creationId xmlns:a16="http://schemas.microsoft.com/office/drawing/2014/main" id="{2551725B-9374-6879-0C9A-C5D18AFC360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533766" y="2818048"/>
              <a:ext cx="152399" cy="152399"/>
            </a:xfrm>
            <a:prstGeom prst="rect">
              <a:avLst/>
            </a:prstGeom>
          </xdr:spPr>
        </xdr:pic>
        <xdr:pic>
          <xdr:nvPicPr>
            <xdr:cNvPr id="560" name="Elemento grafico 559" descr="Acqua contorno">
              <a:extLst>
                <a:ext uri="{FF2B5EF4-FFF2-40B4-BE49-F238E27FC236}">
                  <a16:creationId xmlns:a16="http://schemas.microsoft.com/office/drawing/2014/main" id="{5CF21AEA-26AC-13CF-4347-A78A8627E6D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63276" y="2818048"/>
              <a:ext cx="151497" cy="152399"/>
            </a:xfrm>
            <a:prstGeom prst="rect">
              <a:avLst/>
            </a:prstGeom>
          </xdr:spPr>
        </xdr:pic>
        <xdr:pic>
          <xdr:nvPicPr>
            <xdr:cNvPr id="561" name="Elemento grafico 560" descr="Acqua contorno">
              <a:extLst>
                <a:ext uri="{FF2B5EF4-FFF2-40B4-BE49-F238E27FC236}">
                  <a16:creationId xmlns:a16="http://schemas.microsoft.com/office/drawing/2014/main" id="{17E9C35C-61F6-28A4-357E-5E1897A0BF7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791884" y="2818048"/>
              <a:ext cx="152399" cy="152399"/>
            </a:xfrm>
            <a:prstGeom prst="rect">
              <a:avLst/>
            </a:prstGeom>
          </xdr:spPr>
        </xdr:pic>
      </xdr:grpSp>
    </xdr:grp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34263-4143-413C-81B1-B37F8CC6DF82}">
  <dimension ref="A1:L225"/>
  <sheetViews>
    <sheetView tabSelected="1" topLeftCell="A85" zoomScale="170" zoomScaleNormal="170" workbookViewId="0">
      <selection activeCell="F13" sqref="F13"/>
    </sheetView>
  </sheetViews>
  <sheetFormatPr defaultRowHeight="13.8" x14ac:dyDescent="0.3"/>
  <cols>
    <col min="1" max="10" width="8" style="57" customWidth="1"/>
    <col min="11" max="11" width="8" style="54" customWidth="1"/>
    <col min="12" max="12" width="8" style="57" customWidth="1"/>
    <col min="13" max="13" width="8.88671875" style="57"/>
    <col min="14" max="15" width="8.88671875" style="57" customWidth="1"/>
    <col min="16" max="16384" width="8.88671875" style="57"/>
  </cols>
  <sheetData>
    <row r="1" spans="1:12" ht="13.8" customHeight="1" x14ac:dyDescent="0.3">
      <c r="A1" s="90" t="s">
        <v>1010</v>
      </c>
      <c r="C1" s="61"/>
      <c r="D1" s="61"/>
      <c r="F1" s="75" t="s">
        <v>5</v>
      </c>
      <c r="G1" s="54" t="s">
        <v>1036</v>
      </c>
      <c r="H1" s="151" t="s">
        <v>173</v>
      </c>
      <c r="I1" s="81" t="s">
        <v>348</v>
      </c>
      <c r="J1" s="100"/>
      <c r="K1" s="61"/>
      <c r="L1" s="209" t="s">
        <v>1017</v>
      </c>
    </row>
    <row r="3" spans="1:12" x14ac:dyDescent="0.3">
      <c r="A3" s="156" t="s">
        <v>0</v>
      </c>
      <c r="B3" s="57" t="s">
        <v>1012</v>
      </c>
      <c r="E3" s="156" t="s">
        <v>2</v>
      </c>
      <c r="F3" s="152" t="s">
        <v>503</v>
      </c>
      <c r="H3" s="55" t="s">
        <v>1013</v>
      </c>
      <c r="K3" s="57"/>
    </row>
    <row r="4" spans="1:12" x14ac:dyDescent="0.3">
      <c r="A4" s="156" t="s">
        <v>343</v>
      </c>
      <c r="B4" s="57" t="s">
        <v>1040</v>
      </c>
      <c r="H4" s="55" t="s">
        <v>1014</v>
      </c>
    </row>
    <row r="5" spans="1:12" x14ac:dyDescent="0.3">
      <c r="A5" s="156" t="s">
        <v>4</v>
      </c>
      <c r="B5" s="152" t="s">
        <v>502</v>
      </c>
      <c r="E5" s="210" t="s">
        <v>3</v>
      </c>
      <c r="F5" s="139" t="s">
        <v>504</v>
      </c>
      <c r="G5" s="85"/>
      <c r="H5" s="140" t="s">
        <v>1015</v>
      </c>
      <c r="I5" s="85"/>
      <c r="J5" s="85"/>
      <c r="K5" s="131"/>
      <c r="L5" s="85"/>
    </row>
    <row r="6" spans="1:12" x14ac:dyDescent="0.3">
      <c r="A6" s="156" t="s">
        <v>69</v>
      </c>
      <c r="B6" s="57" t="s">
        <v>126</v>
      </c>
      <c r="H6" s="55" t="s">
        <v>1016</v>
      </c>
    </row>
    <row r="8" spans="1:12" ht="13.8" customHeight="1" x14ac:dyDescent="0.3">
      <c r="F8" s="72" t="s">
        <v>7</v>
      </c>
    </row>
    <row r="9" spans="1:12" x14ac:dyDescent="0.3">
      <c r="B9" s="72" t="s">
        <v>8</v>
      </c>
      <c r="C9" s="73"/>
      <c r="D9" s="73"/>
      <c r="E9" s="73"/>
      <c r="F9" s="72" t="s">
        <v>9</v>
      </c>
      <c r="G9" s="73"/>
      <c r="H9" s="73"/>
      <c r="I9" s="73"/>
      <c r="J9" s="72" t="s">
        <v>10</v>
      </c>
    </row>
    <row r="10" spans="1:12" x14ac:dyDescent="0.3">
      <c r="A10" s="165" t="s">
        <v>11</v>
      </c>
      <c r="B10" s="80"/>
      <c r="D10" s="163">
        <v>3</v>
      </c>
      <c r="E10" s="165" t="s">
        <v>12</v>
      </c>
      <c r="F10" s="80"/>
      <c r="H10" s="163">
        <v>3</v>
      </c>
      <c r="I10" s="165" t="s">
        <v>13</v>
      </c>
      <c r="J10" s="80"/>
      <c r="L10" s="163">
        <v>2</v>
      </c>
    </row>
    <row r="11" spans="1:12" x14ac:dyDescent="0.3">
      <c r="A11" s="165" t="s">
        <v>14</v>
      </c>
      <c r="B11" s="80"/>
      <c r="D11" s="163">
        <v>2</v>
      </c>
      <c r="E11" s="165" t="s">
        <v>16</v>
      </c>
      <c r="F11" s="80"/>
      <c r="H11" s="163">
        <v>2</v>
      </c>
      <c r="I11" s="165" t="s">
        <v>18</v>
      </c>
      <c r="J11" s="80"/>
      <c r="L11" s="163">
        <v>2</v>
      </c>
    </row>
    <row r="12" spans="1:12" x14ac:dyDescent="0.3">
      <c r="A12" s="165" t="s">
        <v>15</v>
      </c>
      <c r="B12" s="80"/>
      <c r="D12" s="163">
        <v>3</v>
      </c>
      <c r="E12" s="165" t="s">
        <v>17</v>
      </c>
      <c r="F12" s="80" t="s">
        <v>509</v>
      </c>
      <c r="H12" s="163">
        <v>5</v>
      </c>
      <c r="I12" s="165" t="s">
        <v>19</v>
      </c>
      <c r="J12" s="80"/>
      <c r="L12" s="163">
        <v>2</v>
      </c>
    </row>
    <row r="13" spans="1:12" x14ac:dyDescent="0.3">
      <c r="C13" s="75"/>
      <c r="G13" s="75"/>
      <c r="K13" s="75"/>
    </row>
    <row r="14" spans="1:12" x14ac:dyDescent="0.3">
      <c r="F14" s="72" t="s">
        <v>21</v>
      </c>
    </row>
    <row r="15" spans="1:12" ht="13.2" customHeight="1" x14ac:dyDescent="0.3">
      <c r="B15" s="72" t="s">
        <v>22</v>
      </c>
      <c r="C15" s="72"/>
      <c r="D15" s="72"/>
      <c r="E15" s="72"/>
      <c r="F15" s="72" t="s">
        <v>53</v>
      </c>
      <c r="G15" s="72"/>
      <c r="H15" s="72"/>
      <c r="I15" s="72"/>
      <c r="J15" s="72" t="s">
        <v>54</v>
      </c>
    </row>
    <row r="16" spans="1:12" x14ac:dyDescent="0.3">
      <c r="A16" s="154" t="s">
        <v>23</v>
      </c>
      <c r="B16" s="80"/>
      <c r="D16" s="163">
        <v>1</v>
      </c>
      <c r="E16" s="154" t="s">
        <v>438</v>
      </c>
      <c r="F16" s="80"/>
      <c r="G16" s="54"/>
      <c r="H16" s="163">
        <v>0</v>
      </c>
      <c r="I16" s="154" t="s">
        <v>31</v>
      </c>
      <c r="J16" s="111" t="s">
        <v>1018</v>
      </c>
      <c r="L16" s="163">
        <v>2</v>
      </c>
    </row>
    <row r="17" spans="1:12" x14ac:dyDescent="0.3">
      <c r="A17" s="154" t="s">
        <v>32</v>
      </c>
      <c r="B17" s="80"/>
      <c r="D17" s="163">
        <v>1</v>
      </c>
      <c r="E17" s="154" t="s">
        <v>33</v>
      </c>
      <c r="F17" s="80"/>
      <c r="G17" s="54"/>
      <c r="H17" s="163">
        <v>2</v>
      </c>
      <c r="I17" s="154" t="s">
        <v>34</v>
      </c>
      <c r="J17" s="80"/>
      <c r="L17" s="163">
        <v>0</v>
      </c>
    </row>
    <row r="18" spans="1:12" x14ac:dyDescent="0.3">
      <c r="A18" s="154" t="s">
        <v>436</v>
      </c>
      <c r="B18" s="80"/>
      <c r="D18" s="163">
        <v>1</v>
      </c>
      <c r="E18" s="154" t="s">
        <v>437</v>
      </c>
      <c r="F18" s="80"/>
      <c r="G18" s="54"/>
      <c r="H18" s="163">
        <v>4</v>
      </c>
      <c r="I18" s="154" t="s">
        <v>36</v>
      </c>
      <c r="J18" s="80"/>
      <c r="L18" s="163">
        <v>0</v>
      </c>
    </row>
    <row r="19" spans="1:12" x14ac:dyDescent="0.3">
      <c r="A19" s="154" t="s">
        <v>26</v>
      </c>
      <c r="B19" s="80"/>
      <c r="D19" s="163">
        <v>3</v>
      </c>
      <c r="E19" s="154" t="s">
        <v>38</v>
      </c>
      <c r="F19" s="80"/>
      <c r="G19" s="54"/>
      <c r="H19" s="163">
        <v>0</v>
      </c>
      <c r="I19" s="154" t="s">
        <v>45</v>
      </c>
      <c r="J19" s="80"/>
      <c r="L19" s="163">
        <v>0</v>
      </c>
    </row>
    <row r="20" spans="1:12" x14ac:dyDescent="0.3">
      <c r="A20" s="154" t="s">
        <v>27</v>
      </c>
      <c r="B20" s="80"/>
      <c r="D20" s="163">
        <v>3</v>
      </c>
      <c r="E20" s="154" t="s">
        <v>39</v>
      </c>
      <c r="F20" s="80"/>
      <c r="G20" s="54"/>
      <c r="H20" s="163">
        <v>2</v>
      </c>
      <c r="I20" s="154" t="s">
        <v>46</v>
      </c>
      <c r="J20" s="80"/>
      <c r="L20" s="163">
        <v>1</v>
      </c>
    </row>
    <row r="21" spans="1:12" x14ac:dyDescent="0.3">
      <c r="A21" s="154" t="s">
        <v>28</v>
      </c>
      <c r="B21" s="80"/>
      <c r="D21" s="163">
        <v>2</v>
      </c>
      <c r="E21" s="154" t="s">
        <v>40</v>
      </c>
      <c r="F21" s="80"/>
      <c r="G21" s="54"/>
      <c r="H21" s="163">
        <v>0</v>
      </c>
      <c r="I21" s="154" t="s">
        <v>47</v>
      </c>
      <c r="J21" s="80"/>
      <c r="L21" s="163">
        <v>0</v>
      </c>
    </row>
    <row r="22" spans="1:12" x14ac:dyDescent="0.3">
      <c r="A22" s="154" t="s">
        <v>24</v>
      </c>
      <c r="B22" s="80"/>
      <c r="D22" s="163">
        <v>1</v>
      </c>
      <c r="E22" s="154" t="s">
        <v>41</v>
      </c>
      <c r="F22" s="80"/>
      <c r="G22" s="54"/>
      <c r="H22" s="163">
        <v>0</v>
      </c>
      <c r="I22" s="154" t="s">
        <v>48</v>
      </c>
      <c r="J22" s="80"/>
      <c r="L22" s="163">
        <v>0</v>
      </c>
    </row>
    <row r="23" spans="1:12" x14ac:dyDescent="0.3">
      <c r="A23" s="154" t="s">
        <v>1011</v>
      </c>
      <c r="B23" s="80"/>
      <c r="D23" s="163">
        <v>0</v>
      </c>
      <c r="E23" s="154" t="s">
        <v>42</v>
      </c>
      <c r="F23" s="80"/>
      <c r="G23" s="54"/>
      <c r="H23" s="163">
        <v>0</v>
      </c>
      <c r="I23" s="154" t="s">
        <v>49</v>
      </c>
      <c r="J23" s="80"/>
      <c r="L23" s="163">
        <v>0</v>
      </c>
    </row>
    <row r="24" spans="1:12" x14ac:dyDescent="0.3">
      <c r="A24" s="154" t="s">
        <v>358</v>
      </c>
      <c r="B24" s="80"/>
      <c r="D24" s="163">
        <v>0</v>
      </c>
      <c r="E24" s="154" t="s">
        <v>43</v>
      </c>
      <c r="F24" s="80"/>
      <c r="G24" s="54"/>
      <c r="H24" s="163">
        <v>0</v>
      </c>
      <c r="I24" s="154" t="s">
        <v>50</v>
      </c>
      <c r="J24" s="80"/>
      <c r="L24" s="163">
        <v>1</v>
      </c>
    </row>
    <row r="25" spans="1:12" x14ac:dyDescent="0.3">
      <c r="A25" s="154" t="s">
        <v>29</v>
      </c>
      <c r="B25" s="80"/>
      <c r="D25" s="163">
        <v>1</v>
      </c>
      <c r="E25" s="154" t="s">
        <v>44</v>
      </c>
      <c r="F25" s="80"/>
      <c r="G25" s="54"/>
      <c r="H25" s="163">
        <v>1</v>
      </c>
      <c r="I25" s="154" t="s">
        <v>51</v>
      </c>
      <c r="J25" s="80"/>
      <c r="L25" s="163">
        <v>0</v>
      </c>
    </row>
    <row r="27" spans="1:12" x14ac:dyDescent="0.3">
      <c r="C27" s="75"/>
      <c r="G27" s="75"/>
      <c r="K27" s="75"/>
    </row>
    <row r="28" spans="1:12" x14ac:dyDescent="0.3">
      <c r="A28" s="73"/>
      <c r="B28" s="72" t="s">
        <v>56</v>
      </c>
      <c r="C28" s="73"/>
      <c r="D28" s="73"/>
      <c r="E28" s="73"/>
      <c r="F28" s="73"/>
      <c r="H28" s="73"/>
      <c r="I28" s="72" t="s">
        <v>57</v>
      </c>
      <c r="J28" s="73"/>
      <c r="K28" s="55"/>
      <c r="L28" s="170" t="s">
        <v>480</v>
      </c>
    </row>
    <row r="29" spans="1:12" ht="13.8" customHeight="1" x14ac:dyDescent="0.3">
      <c r="A29" s="80" t="s">
        <v>0</v>
      </c>
      <c r="B29" s="75" t="s">
        <v>73</v>
      </c>
      <c r="C29" s="80" t="s">
        <v>61</v>
      </c>
      <c r="G29" s="73"/>
      <c r="H29" s="166" t="s">
        <v>58</v>
      </c>
      <c r="J29" s="167">
        <v>3</v>
      </c>
      <c r="K29" s="162" t="s">
        <v>465</v>
      </c>
      <c r="L29" s="54"/>
    </row>
    <row r="30" spans="1:12" s="73" customFormat="1" x14ac:dyDescent="0.3">
      <c r="A30" s="57" t="s">
        <v>512</v>
      </c>
      <c r="B30" s="54">
        <v>1</v>
      </c>
      <c r="C30" s="80" t="s">
        <v>1041</v>
      </c>
      <c r="D30" s="57"/>
      <c r="E30" s="57"/>
      <c r="F30" s="57"/>
      <c r="G30" s="57"/>
      <c r="H30" s="166" t="s">
        <v>342</v>
      </c>
      <c r="I30" s="57"/>
      <c r="J30" s="167">
        <v>3</v>
      </c>
      <c r="K30" s="55" t="s">
        <v>477</v>
      </c>
      <c r="L30" s="54"/>
    </row>
    <row r="31" spans="1:12" x14ac:dyDescent="0.3">
      <c r="A31" s="57" t="s">
        <v>328</v>
      </c>
      <c r="B31" s="54">
        <v>1</v>
      </c>
      <c r="C31" s="80" t="s">
        <v>440</v>
      </c>
      <c r="H31" s="166" t="s">
        <v>59</v>
      </c>
      <c r="J31" s="167">
        <v>4</v>
      </c>
      <c r="K31" s="55" t="s">
        <v>479</v>
      </c>
      <c r="L31" s="54"/>
    </row>
    <row r="32" spans="1:12" x14ac:dyDescent="0.3">
      <c r="A32" s="57" t="s">
        <v>320</v>
      </c>
      <c r="B32" s="54">
        <v>1</v>
      </c>
      <c r="C32" s="80" t="s">
        <v>1042</v>
      </c>
      <c r="H32" s="63" t="s">
        <v>70</v>
      </c>
      <c r="J32" s="167" t="s">
        <v>131</v>
      </c>
      <c r="L32" s="54"/>
    </row>
    <row r="33" spans="1:12" x14ac:dyDescent="0.3">
      <c r="A33" s="57" t="s">
        <v>320</v>
      </c>
      <c r="B33" s="54">
        <v>2</v>
      </c>
      <c r="C33" s="80" t="s">
        <v>1044</v>
      </c>
      <c r="H33" s="63" t="s">
        <v>66</v>
      </c>
      <c r="J33" s="167">
        <f>J29+J30</f>
        <v>6</v>
      </c>
      <c r="K33" s="162" t="s">
        <v>464</v>
      </c>
      <c r="L33" s="54"/>
    </row>
    <row r="34" spans="1:12" x14ac:dyDescent="0.3">
      <c r="C34" s="80" t="s">
        <v>1043</v>
      </c>
      <c r="L34" s="215" t="s">
        <v>471</v>
      </c>
    </row>
    <row r="35" spans="1:12" x14ac:dyDescent="0.3">
      <c r="H35" s="63" t="s">
        <v>20</v>
      </c>
      <c r="J35" s="167">
        <v>6</v>
      </c>
      <c r="K35" s="162" t="s">
        <v>478</v>
      </c>
      <c r="L35" s="54"/>
    </row>
    <row r="36" spans="1:12" x14ac:dyDescent="0.3">
      <c r="A36" s="66"/>
      <c r="B36" s="66"/>
      <c r="C36" s="66"/>
      <c r="D36" s="66"/>
      <c r="E36" s="66"/>
      <c r="F36" s="66"/>
      <c r="H36" s="63" t="s">
        <v>1019</v>
      </c>
      <c r="J36" s="167">
        <v>10</v>
      </c>
      <c r="K36" s="162" t="s">
        <v>494</v>
      </c>
    </row>
    <row r="37" spans="1:12" x14ac:dyDescent="0.3">
      <c r="G37" s="73"/>
      <c r="H37" s="63" t="s">
        <v>341</v>
      </c>
      <c r="I37" s="73"/>
      <c r="J37" s="167">
        <f>7-J30</f>
        <v>4</v>
      </c>
      <c r="K37" s="162" t="s">
        <v>481</v>
      </c>
      <c r="L37" s="73"/>
    </row>
    <row r="38" spans="1:12" s="73" customFormat="1" x14ac:dyDescent="0.3">
      <c r="A38" s="157"/>
      <c r="B38" s="157"/>
      <c r="C38" s="157"/>
      <c r="D38" s="157"/>
      <c r="E38" s="157"/>
      <c r="F38" s="157"/>
      <c r="H38" s="57"/>
      <c r="I38" s="57"/>
      <c r="J38" s="57"/>
      <c r="K38" s="54"/>
      <c r="L38" s="57"/>
    </row>
    <row r="39" spans="1:12" x14ac:dyDescent="0.3">
      <c r="A39" s="66"/>
      <c r="B39" s="66"/>
      <c r="C39" s="66"/>
      <c r="D39" s="66"/>
      <c r="E39" s="66"/>
      <c r="F39" s="66"/>
      <c r="H39" s="63" t="s">
        <v>495</v>
      </c>
      <c r="I39" s="171"/>
      <c r="J39" s="171"/>
      <c r="K39" s="73"/>
      <c r="L39" s="73"/>
    </row>
    <row r="40" spans="1:12" ht="13.8" customHeight="1" x14ac:dyDescent="0.3">
      <c r="H40" s="63" t="s">
        <v>496</v>
      </c>
      <c r="I40" s="66"/>
      <c r="J40" s="66"/>
    </row>
    <row r="41" spans="1:12" x14ac:dyDescent="0.3">
      <c r="A41" s="157"/>
      <c r="B41" s="158"/>
      <c r="C41" s="157"/>
      <c r="D41" s="66"/>
      <c r="E41" s="69"/>
      <c r="F41" s="66"/>
      <c r="G41" s="73"/>
    </row>
    <row r="42" spans="1:12" x14ac:dyDescent="0.3">
      <c r="B42" s="54"/>
      <c r="D42" s="54"/>
      <c r="E42" s="153"/>
      <c r="H42" s="90" t="s">
        <v>366</v>
      </c>
      <c r="I42" s="75" t="s">
        <v>182</v>
      </c>
      <c r="J42" s="75" t="s">
        <v>142</v>
      </c>
      <c r="K42" s="75" t="s">
        <v>143</v>
      </c>
      <c r="L42" s="75" t="s">
        <v>144</v>
      </c>
    </row>
    <row r="43" spans="1:12" x14ac:dyDescent="0.3">
      <c r="A43" s="68"/>
      <c r="B43" s="68"/>
      <c r="C43" s="69"/>
      <c r="D43" s="108"/>
      <c r="E43" s="109"/>
      <c r="F43" s="66"/>
      <c r="H43" s="172"/>
      <c r="I43" s="172" t="s">
        <v>500</v>
      </c>
      <c r="J43" s="172" t="s">
        <v>498</v>
      </c>
      <c r="K43" s="172" t="s">
        <v>499</v>
      </c>
      <c r="L43" s="172" t="s">
        <v>497</v>
      </c>
    </row>
    <row r="44" spans="1:12" x14ac:dyDescent="0.3">
      <c r="A44" s="152"/>
      <c r="B44" s="152"/>
      <c r="C44" s="54"/>
      <c r="D44" s="55"/>
      <c r="E44" s="153"/>
      <c r="H44" s="63" t="s">
        <v>156</v>
      </c>
      <c r="I44" s="167">
        <v>0</v>
      </c>
      <c r="J44" s="159" t="b">
        <v>0</v>
      </c>
      <c r="K44" s="160" t="b">
        <v>0</v>
      </c>
      <c r="L44" s="159" t="b">
        <v>0</v>
      </c>
    </row>
    <row r="45" spans="1:12" ht="13.8" customHeight="1" x14ac:dyDescent="0.3">
      <c r="A45" s="68"/>
      <c r="B45" s="68"/>
      <c r="C45" s="69"/>
      <c r="D45" s="168"/>
      <c r="E45" s="109"/>
      <c r="F45" s="66"/>
      <c r="H45" s="63" t="s">
        <v>157</v>
      </c>
      <c r="I45" s="167">
        <v>-1</v>
      </c>
      <c r="J45" s="161" t="b">
        <v>0</v>
      </c>
      <c r="K45" s="160" t="b">
        <v>0</v>
      </c>
      <c r="L45" s="159" t="b">
        <v>0</v>
      </c>
    </row>
    <row r="46" spans="1:12" x14ac:dyDescent="0.3">
      <c r="C46" s="54"/>
      <c r="D46" s="80"/>
      <c r="E46" s="54"/>
      <c r="H46" s="63" t="s">
        <v>158</v>
      </c>
      <c r="I46" s="167">
        <v>-1</v>
      </c>
      <c r="J46" s="159" t="b">
        <v>0</v>
      </c>
      <c r="K46" s="160" t="b">
        <v>0</v>
      </c>
      <c r="L46" s="159" t="b">
        <v>0</v>
      </c>
    </row>
    <row r="47" spans="1:12" x14ac:dyDescent="0.3">
      <c r="A47" s="68"/>
      <c r="B47" s="68"/>
      <c r="C47" s="69"/>
      <c r="D47" s="108"/>
      <c r="E47" s="109"/>
      <c r="F47" s="66"/>
      <c r="H47" s="63" t="s">
        <v>159</v>
      </c>
      <c r="I47" s="167">
        <v>-2</v>
      </c>
      <c r="J47" s="159" t="b">
        <v>0</v>
      </c>
      <c r="K47" s="160" t="b">
        <v>0</v>
      </c>
      <c r="L47" s="159" t="b">
        <v>0</v>
      </c>
    </row>
    <row r="48" spans="1:12" x14ac:dyDescent="0.3">
      <c r="A48" s="152"/>
      <c r="B48" s="152"/>
      <c r="C48" s="54"/>
      <c r="D48" s="55"/>
      <c r="E48" s="153"/>
      <c r="H48" s="63" t="s">
        <v>441</v>
      </c>
      <c r="I48" s="167">
        <v>-2</v>
      </c>
      <c r="J48" s="159" t="b">
        <v>0</v>
      </c>
      <c r="K48" s="160" t="b">
        <v>0</v>
      </c>
      <c r="L48" s="159" t="b">
        <v>0</v>
      </c>
    </row>
    <row r="49" spans="1:12" x14ac:dyDescent="0.3">
      <c r="A49" s="66"/>
      <c r="B49" s="69"/>
      <c r="C49" s="66"/>
      <c r="D49" s="82"/>
      <c r="E49" s="66"/>
      <c r="F49" s="66"/>
      <c r="H49" s="63" t="s">
        <v>161</v>
      </c>
      <c r="I49" s="167">
        <v>-5</v>
      </c>
      <c r="J49" s="159" t="b">
        <v>0</v>
      </c>
      <c r="K49" s="160" t="b">
        <v>0</v>
      </c>
      <c r="L49" s="159" t="b">
        <v>0</v>
      </c>
    </row>
    <row r="50" spans="1:12" x14ac:dyDescent="0.3">
      <c r="A50" s="66"/>
      <c r="B50" s="69"/>
      <c r="C50" s="66"/>
      <c r="D50" s="82"/>
      <c r="E50" s="66"/>
      <c r="F50" s="66"/>
      <c r="H50" s="63" t="s">
        <v>162</v>
      </c>
      <c r="I50" s="167" t="s">
        <v>131</v>
      </c>
    </row>
    <row r="51" spans="1:12" x14ac:dyDescent="0.3">
      <c r="A51" s="80" t="s">
        <v>55</v>
      </c>
      <c r="C51" s="75" t="s">
        <v>73</v>
      </c>
      <c r="D51" s="80" t="s">
        <v>61</v>
      </c>
    </row>
    <row r="52" spans="1:12" x14ac:dyDescent="0.3">
      <c r="A52" s="165" t="s">
        <v>746</v>
      </c>
      <c r="C52" s="54">
        <v>2</v>
      </c>
      <c r="D52" s="80" t="s">
        <v>1032</v>
      </c>
    </row>
    <row r="53" spans="1:12" x14ac:dyDescent="0.3">
      <c r="A53" s="165" t="s">
        <v>97</v>
      </c>
      <c r="C53" s="54">
        <v>2</v>
      </c>
      <c r="D53" s="80" t="s">
        <v>1033</v>
      </c>
    </row>
    <row r="54" spans="1:12" x14ac:dyDescent="0.3">
      <c r="A54" s="165" t="s">
        <v>99</v>
      </c>
      <c r="C54" s="54">
        <v>3</v>
      </c>
      <c r="D54" s="80" t="s">
        <v>1034</v>
      </c>
      <c r="E54" s="155"/>
    </row>
    <row r="55" spans="1:12" x14ac:dyDescent="0.3">
      <c r="A55" s="165" t="s">
        <v>5</v>
      </c>
      <c r="C55" s="54">
        <v>1</v>
      </c>
      <c r="D55" s="80" t="s">
        <v>1035</v>
      </c>
      <c r="E55" s="155"/>
    </row>
    <row r="56" spans="1:12" x14ac:dyDescent="0.3">
      <c r="A56" s="165" t="s">
        <v>101</v>
      </c>
      <c r="C56" s="54">
        <v>1</v>
      </c>
      <c r="D56" s="80" t="s">
        <v>1038</v>
      </c>
      <c r="E56" s="155"/>
    </row>
    <row r="57" spans="1:12" x14ac:dyDescent="0.3">
      <c r="A57" s="165" t="s">
        <v>98</v>
      </c>
      <c r="C57" s="54">
        <v>2</v>
      </c>
      <c r="D57" s="80" t="s">
        <v>1037</v>
      </c>
      <c r="E57" s="155"/>
    </row>
    <row r="58" spans="1:12" x14ac:dyDescent="0.3">
      <c r="E58" s="155"/>
    </row>
    <row r="59" spans="1:12" x14ac:dyDescent="0.3">
      <c r="A59" s="214"/>
      <c r="B59" s="66"/>
      <c r="C59" s="69"/>
      <c r="D59" s="82"/>
      <c r="E59" s="214"/>
      <c r="F59" s="66"/>
      <c r="G59" s="66"/>
      <c r="H59" s="66"/>
      <c r="I59" s="66"/>
      <c r="J59" s="66"/>
      <c r="K59" s="69"/>
      <c r="L59" s="66"/>
    </row>
    <row r="60" spans="1:12" x14ac:dyDescent="0.3">
      <c r="A60" s="214"/>
      <c r="B60" s="66"/>
      <c r="C60" s="69"/>
      <c r="D60" s="82"/>
      <c r="E60" s="214"/>
      <c r="F60" s="66"/>
      <c r="G60" s="66"/>
      <c r="H60" s="66"/>
      <c r="I60" s="66"/>
      <c r="J60" s="66"/>
      <c r="K60" s="69"/>
      <c r="L60" s="66"/>
    </row>
    <row r="61" spans="1:12" x14ac:dyDescent="0.3">
      <c r="A61" s="155"/>
      <c r="C61" s="54"/>
      <c r="D61" s="80"/>
      <c r="E61" s="155"/>
    </row>
    <row r="62" spans="1:12" x14ac:dyDescent="0.3">
      <c r="A62" s="55" t="s">
        <v>1028</v>
      </c>
      <c r="C62" s="75" t="s">
        <v>203</v>
      </c>
      <c r="D62" s="80" t="s">
        <v>61</v>
      </c>
    </row>
    <row r="63" spans="1:12" x14ac:dyDescent="0.3">
      <c r="A63" s="165" t="s">
        <v>1022</v>
      </c>
      <c r="C63" s="54">
        <v>5</v>
      </c>
      <c r="D63" s="80" t="s">
        <v>1026</v>
      </c>
    </row>
    <row r="64" spans="1:12" x14ac:dyDescent="0.3">
      <c r="A64" s="63"/>
      <c r="D64" s="80" t="s">
        <v>1029</v>
      </c>
    </row>
    <row r="65" spans="1:12" x14ac:dyDescent="0.3">
      <c r="A65" s="165" t="s">
        <v>1020</v>
      </c>
      <c r="C65" s="54">
        <v>1</v>
      </c>
      <c r="D65" s="80" t="s">
        <v>1027</v>
      </c>
    </row>
    <row r="66" spans="1:12" x14ac:dyDescent="0.3">
      <c r="A66" s="165" t="s">
        <v>1023</v>
      </c>
      <c r="C66" s="54">
        <v>-3</v>
      </c>
      <c r="D66" s="80" t="s">
        <v>1030</v>
      </c>
    </row>
    <row r="67" spans="1:12" x14ac:dyDescent="0.3">
      <c r="A67" s="165" t="s">
        <v>1021</v>
      </c>
      <c r="C67" s="54">
        <v>-2</v>
      </c>
      <c r="D67" s="80" t="s">
        <v>1031</v>
      </c>
    </row>
    <row r="68" spans="1:12" x14ac:dyDescent="0.3">
      <c r="A68" s="165" t="s">
        <v>1024</v>
      </c>
      <c r="C68" s="54">
        <v>-1</v>
      </c>
      <c r="D68" s="80" t="s">
        <v>1025</v>
      </c>
    </row>
    <row r="70" spans="1:12" x14ac:dyDescent="0.3">
      <c r="A70" s="66"/>
      <c r="B70" s="66"/>
      <c r="C70" s="66"/>
      <c r="D70" s="66"/>
      <c r="E70" s="66"/>
      <c r="F70" s="66"/>
      <c r="G70" s="66"/>
      <c r="H70" s="66"/>
      <c r="I70" s="66"/>
      <c r="J70" s="66"/>
      <c r="K70" s="69"/>
      <c r="L70" s="66"/>
    </row>
    <row r="71" spans="1:12" x14ac:dyDescent="0.3">
      <c r="A71" s="66"/>
      <c r="B71" s="66"/>
      <c r="C71" s="66"/>
      <c r="D71" s="66"/>
      <c r="E71" s="66"/>
      <c r="F71" s="66"/>
      <c r="G71" s="66"/>
      <c r="H71" s="66"/>
      <c r="I71" s="66"/>
      <c r="J71" s="66"/>
      <c r="K71" s="69"/>
      <c r="L71" s="66"/>
    </row>
    <row r="73" spans="1:12" x14ac:dyDescent="0.3">
      <c r="A73" s="57" t="s">
        <v>105</v>
      </c>
      <c r="C73" s="63" t="s">
        <v>1046</v>
      </c>
    </row>
    <row r="74" spans="1:12" x14ac:dyDescent="0.3">
      <c r="A74" s="57" t="s">
        <v>106</v>
      </c>
      <c r="C74" s="63" t="s">
        <v>1053</v>
      </c>
    </row>
    <row r="75" spans="1:12" x14ac:dyDescent="0.3">
      <c r="A75" s="57" t="s">
        <v>98</v>
      </c>
      <c r="C75" s="63" t="s">
        <v>1054</v>
      </c>
    </row>
    <row r="76" spans="1:12" x14ac:dyDescent="0.3">
      <c r="A76" s="57" t="s">
        <v>108</v>
      </c>
      <c r="C76" s="100"/>
      <c r="D76" s="61"/>
      <c r="E76" s="61"/>
      <c r="F76" s="61"/>
      <c r="G76" s="61"/>
      <c r="H76" s="61"/>
      <c r="I76" s="61"/>
      <c r="J76" s="61"/>
      <c r="K76" s="78"/>
      <c r="L76" s="61"/>
    </row>
    <row r="78" spans="1:12" x14ac:dyDescent="0.3">
      <c r="A78" s="57" t="s">
        <v>110</v>
      </c>
      <c r="C78" s="57" t="s">
        <v>109</v>
      </c>
      <c r="E78" s="57" t="s">
        <v>61</v>
      </c>
    </row>
    <row r="79" spans="1:12" x14ac:dyDescent="0.3">
      <c r="A79" s="80" t="s">
        <v>1039</v>
      </c>
      <c r="B79" s="80"/>
      <c r="C79" s="80" t="s">
        <v>1052</v>
      </c>
      <c r="E79" s="57" t="s">
        <v>1055</v>
      </c>
    </row>
    <row r="80" spans="1:12" x14ac:dyDescent="0.3">
      <c r="A80" s="81"/>
      <c r="B80" s="81"/>
      <c r="C80" s="81"/>
      <c r="D80" s="61"/>
      <c r="E80" s="61"/>
      <c r="F80" s="61"/>
      <c r="G80" s="61"/>
      <c r="H80" s="61"/>
      <c r="I80" s="61"/>
      <c r="J80" s="61"/>
      <c r="K80" s="78"/>
      <c r="L80" s="61"/>
    </row>
    <row r="81" spans="1:12" x14ac:dyDescent="0.3">
      <c r="A81" s="82"/>
      <c r="B81" s="82"/>
      <c r="C81" s="82"/>
      <c r="D81" s="66"/>
      <c r="E81" s="66"/>
      <c r="F81" s="66"/>
      <c r="G81" s="66"/>
      <c r="H81" s="66"/>
      <c r="I81" s="66"/>
      <c r="J81" s="66"/>
      <c r="K81" s="69"/>
      <c r="L81" s="66"/>
    </row>
    <row r="83" spans="1:12" x14ac:dyDescent="0.3">
      <c r="B83" s="54" t="s">
        <v>17</v>
      </c>
      <c r="J83" s="54" t="s">
        <v>123</v>
      </c>
      <c r="K83" s="57"/>
      <c r="L83" s="54"/>
    </row>
    <row r="84" spans="1:12" x14ac:dyDescent="0.3">
      <c r="A84" s="80" t="s">
        <v>113</v>
      </c>
      <c r="C84" s="212">
        <v>29</v>
      </c>
      <c r="E84" s="80" t="s">
        <v>118</v>
      </c>
      <c r="G84" s="212" t="s">
        <v>1072</v>
      </c>
      <c r="I84" s="57" t="s">
        <v>0</v>
      </c>
      <c r="K84" s="57" t="s">
        <v>87</v>
      </c>
    </row>
    <row r="85" spans="1:12" x14ac:dyDescent="0.3">
      <c r="A85" s="80" t="s">
        <v>112</v>
      </c>
      <c r="B85" s="66"/>
      <c r="C85" s="211">
        <v>0</v>
      </c>
      <c r="E85" s="80" t="s">
        <v>119</v>
      </c>
      <c r="F85" s="66"/>
      <c r="G85" s="211" t="s">
        <v>392</v>
      </c>
      <c r="I85" s="66"/>
      <c r="J85" s="66"/>
      <c r="K85" s="66"/>
      <c r="L85" s="69"/>
    </row>
    <row r="86" spans="1:12" x14ac:dyDescent="0.3">
      <c r="A86" s="80" t="s">
        <v>114</v>
      </c>
      <c r="C86" s="235">
        <v>36047</v>
      </c>
      <c r="E86" s="80" t="s">
        <v>120</v>
      </c>
      <c r="G86" s="212" t="s">
        <v>1047</v>
      </c>
      <c r="I86" s="85"/>
      <c r="J86" s="85"/>
      <c r="K86" s="85"/>
      <c r="L86" s="131"/>
    </row>
    <row r="87" spans="1:12" x14ac:dyDescent="0.3">
      <c r="A87" s="80" t="s">
        <v>115</v>
      </c>
      <c r="B87" s="66"/>
      <c r="C87" s="213">
        <v>45943</v>
      </c>
      <c r="E87" s="80" t="s">
        <v>121</v>
      </c>
      <c r="F87" s="66"/>
      <c r="G87" s="211" t="s">
        <v>1048</v>
      </c>
      <c r="I87" s="66"/>
      <c r="J87" s="66"/>
      <c r="K87" s="66"/>
      <c r="L87" s="69"/>
    </row>
    <row r="88" spans="1:12" x14ac:dyDescent="0.3">
      <c r="A88" s="80" t="s">
        <v>116</v>
      </c>
      <c r="C88" s="212" t="s">
        <v>1049</v>
      </c>
      <c r="E88" s="80" t="s">
        <v>122</v>
      </c>
      <c r="G88" s="212" t="s">
        <v>394</v>
      </c>
      <c r="K88" s="57"/>
      <c r="L88" s="54"/>
    </row>
    <row r="89" spans="1:12" x14ac:dyDescent="0.3">
      <c r="A89" s="80" t="s">
        <v>117</v>
      </c>
      <c r="B89" s="66"/>
      <c r="C89" s="211" t="s">
        <v>1050</v>
      </c>
      <c r="E89" s="80"/>
      <c r="F89" s="66"/>
      <c r="G89" s="211"/>
      <c r="I89" s="66"/>
      <c r="J89" s="66"/>
      <c r="K89" s="66"/>
      <c r="L89" s="69"/>
    </row>
    <row r="90" spans="1:12" x14ac:dyDescent="0.3">
      <c r="I90" s="61"/>
      <c r="J90" s="61"/>
      <c r="K90" s="61"/>
      <c r="L90" s="78"/>
    </row>
    <row r="92" spans="1:12" x14ac:dyDescent="0.3">
      <c r="A92" s="90" t="s">
        <v>1070</v>
      </c>
    </row>
    <row r="93" spans="1:12" x14ac:dyDescent="0.3">
      <c r="A93" s="216" t="s">
        <v>1045</v>
      </c>
      <c r="B93" s="216"/>
      <c r="C93" s="216"/>
      <c r="D93" s="216"/>
      <c r="E93" s="216"/>
      <c r="F93" s="216"/>
      <c r="G93" s="216"/>
      <c r="H93" s="216"/>
      <c r="I93" s="216"/>
      <c r="J93" s="216"/>
      <c r="K93" s="216"/>
      <c r="L93" s="216"/>
    </row>
    <row r="94" spans="1:12" x14ac:dyDescent="0.3">
      <c r="A94" s="216"/>
      <c r="B94" s="216"/>
      <c r="C94" s="216"/>
      <c r="D94" s="216"/>
      <c r="E94" s="216"/>
      <c r="F94" s="216"/>
      <c r="G94" s="216"/>
      <c r="H94" s="216"/>
      <c r="I94" s="216"/>
      <c r="J94" s="216"/>
      <c r="K94" s="216"/>
      <c r="L94" s="216"/>
    </row>
    <row r="95" spans="1:12" x14ac:dyDescent="0.3">
      <c r="A95" s="216"/>
      <c r="B95" s="216"/>
      <c r="C95" s="216"/>
      <c r="D95" s="216"/>
      <c r="E95" s="216"/>
      <c r="F95" s="216"/>
      <c r="G95" s="216"/>
      <c r="H95" s="216"/>
      <c r="I95" s="216"/>
      <c r="J95" s="216"/>
      <c r="K95" s="216"/>
      <c r="L95" s="216"/>
    </row>
    <row r="96" spans="1:12" x14ac:dyDescent="0.3">
      <c r="A96" s="216"/>
      <c r="B96" s="216"/>
      <c r="C96" s="216"/>
      <c r="D96" s="216"/>
      <c r="E96" s="216"/>
      <c r="F96" s="216"/>
      <c r="G96" s="216"/>
      <c r="H96" s="216"/>
      <c r="I96" s="216"/>
      <c r="J96" s="216"/>
      <c r="K96" s="216"/>
      <c r="L96" s="216"/>
    </row>
    <row r="97" spans="1:12" x14ac:dyDescent="0.3">
      <c r="A97" s="90" t="s">
        <v>6</v>
      </c>
    </row>
    <row r="98" spans="1:12" x14ac:dyDescent="0.3">
      <c r="A98" s="216" t="s">
        <v>1051</v>
      </c>
      <c r="B98" s="216"/>
      <c r="C98" s="216"/>
      <c r="D98" s="216"/>
      <c r="E98" s="216"/>
      <c r="F98" s="216"/>
      <c r="G98" s="216"/>
      <c r="H98" s="216"/>
      <c r="I98" s="216"/>
      <c r="J98" s="216"/>
      <c r="K98" s="216"/>
      <c r="L98" s="216"/>
    </row>
    <row r="99" spans="1:12" x14ac:dyDescent="0.3">
      <c r="A99" s="216"/>
      <c r="B99" s="216"/>
      <c r="C99" s="216"/>
      <c r="D99" s="216"/>
      <c r="E99" s="216"/>
      <c r="F99" s="216"/>
      <c r="G99" s="216"/>
      <c r="H99" s="216"/>
      <c r="I99" s="216"/>
      <c r="J99" s="216"/>
      <c r="K99" s="216"/>
      <c r="L99" s="216"/>
    </row>
    <row r="100" spans="1:12" x14ac:dyDescent="0.3">
      <c r="A100" s="216"/>
      <c r="B100" s="216"/>
      <c r="C100" s="216"/>
      <c r="D100" s="216"/>
      <c r="E100" s="216"/>
      <c r="F100" s="216"/>
      <c r="G100" s="216"/>
      <c r="H100" s="216"/>
      <c r="I100" s="216"/>
      <c r="J100" s="216"/>
      <c r="K100" s="216"/>
      <c r="L100" s="216"/>
    </row>
    <row r="101" spans="1:12" x14ac:dyDescent="0.3">
      <c r="F101" s="72" t="s">
        <v>1066</v>
      </c>
    </row>
    <row r="102" spans="1:12" ht="13.8" customHeight="1" x14ac:dyDescent="0.3">
      <c r="A102" s="57" t="s">
        <v>78</v>
      </c>
      <c r="C102" s="57" t="s">
        <v>73</v>
      </c>
      <c r="D102" s="57" t="s">
        <v>81</v>
      </c>
      <c r="E102" s="57" t="s">
        <v>79</v>
      </c>
    </row>
    <row r="103" spans="1:12" x14ac:dyDescent="0.3">
      <c r="A103" s="82" t="s">
        <v>407</v>
      </c>
      <c r="B103" s="66"/>
      <c r="C103" s="169">
        <v>1</v>
      </c>
      <c r="D103" s="134" t="s">
        <v>1068</v>
      </c>
      <c r="E103" s="82" t="s">
        <v>483</v>
      </c>
      <c r="F103" s="66"/>
      <c r="G103" s="66"/>
      <c r="H103" s="66"/>
      <c r="I103" s="66"/>
      <c r="J103" s="66"/>
      <c r="K103" s="69"/>
      <c r="L103" s="66"/>
    </row>
    <row r="104" spans="1:12" x14ac:dyDescent="0.3">
      <c r="A104" s="80" t="s">
        <v>1067</v>
      </c>
      <c r="C104" s="169" t="s">
        <v>131</v>
      </c>
      <c r="D104" s="134" t="s">
        <v>1071</v>
      </c>
      <c r="E104" s="82" t="s">
        <v>1069</v>
      </c>
    </row>
    <row r="105" spans="1:12" x14ac:dyDescent="0.3">
      <c r="A105" s="66"/>
      <c r="B105" s="66"/>
      <c r="C105" s="66"/>
      <c r="D105" s="134"/>
      <c r="E105" s="99"/>
      <c r="F105" s="66"/>
      <c r="G105" s="66"/>
      <c r="H105" s="66"/>
      <c r="I105" s="66"/>
      <c r="J105" s="66"/>
      <c r="K105" s="69"/>
      <c r="L105" s="66"/>
    </row>
    <row r="106" spans="1:12" x14ac:dyDescent="0.3">
      <c r="D106" s="134"/>
      <c r="E106" s="99"/>
    </row>
    <row r="107" spans="1:12" x14ac:dyDescent="0.3">
      <c r="A107" s="66"/>
      <c r="B107" s="66"/>
      <c r="C107" s="66"/>
      <c r="D107" s="134"/>
      <c r="E107" s="99"/>
      <c r="F107" s="66"/>
      <c r="G107" s="66"/>
      <c r="H107" s="66"/>
      <c r="I107" s="66"/>
      <c r="J107" s="66"/>
      <c r="K107" s="69"/>
      <c r="L107" s="66"/>
    </row>
    <row r="108" spans="1:12" x14ac:dyDescent="0.3">
      <c r="A108" s="66"/>
      <c r="B108" s="66"/>
      <c r="C108" s="66"/>
      <c r="D108" s="66"/>
      <c r="E108" s="66"/>
      <c r="F108" s="66"/>
      <c r="G108" s="66"/>
      <c r="H108" s="66"/>
      <c r="I108" s="66"/>
      <c r="J108" s="66"/>
      <c r="K108" s="69"/>
      <c r="L108" s="66"/>
    </row>
    <row r="110" spans="1:12" x14ac:dyDescent="0.3">
      <c r="F110" s="72" t="s">
        <v>80</v>
      </c>
    </row>
    <row r="111" spans="1:12" ht="13.8" customHeight="1" x14ac:dyDescent="0.3">
      <c r="A111" s="80" t="s">
        <v>81</v>
      </c>
      <c r="B111" s="80" t="s">
        <v>82</v>
      </c>
      <c r="C111" s="80" t="s">
        <v>61</v>
      </c>
      <c r="D111" s="80"/>
      <c r="E111" s="80"/>
      <c r="F111" s="80" t="s">
        <v>83</v>
      </c>
      <c r="G111" s="80" t="s">
        <v>86</v>
      </c>
      <c r="H111" s="80" t="s">
        <v>85</v>
      </c>
      <c r="I111" s="80" t="s">
        <v>84</v>
      </c>
      <c r="J111" s="80" t="s">
        <v>87</v>
      </c>
      <c r="K111" s="75"/>
      <c r="L111" s="80"/>
    </row>
    <row r="113" spans="1:12" x14ac:dyDescent="0.3">
      <c r="A113" s="66"/>
      <c r="B113" s="66"/>
      <c r="C113" s="66"/>
      <c r="D113" s="66"/>
      <c r="E113" s="66"/>
      <c r="F113" s="66"/>
      <c r="G113" s="66"/>
      <c r="H113" s="66"/>
      <c r="I113" s="66"/>
      <c r="J113" s="66"/>
      <c r="K113" s="69"/>
      <c r="L113" s="66"/>
    </row>
    <row r="115" spans="1:12" x14ac:dyDescent="0.3">
      <c r="A115" s="66"/>
      <c r="B115" s="66"/>
      <c r="C115" s="66"/>
      <c r="D115" s="66"/>
      <c r="E115" s="66"/>
      <c r="F115" s="66"/>
      <c r="G115" s="66"/>
      <c r="H115" s="66"/>
      <c r="I115" s="66"/>
      <c r="J115" s="66"/>
      <c r="K115" s="69"/>
      <c r="L115" s="66"/>
    </row>
    <row r="117" spans="1:12" x14ac:dyDescent="0.3">
      <c r="A117" s="66"/>
      <c r="B117" s="66"/>
      <c r="C117" s="66"/>
      <c r="D117" s="66"/>
      <c r="E117" s="66"/>
      <c r="F117" s="66"/>
      <c r="G117" s="66"/>
      <c r="H117" s="66"/>
      <c r="I117" s="66"/>
      <c r="J117" s="66"/>
      <c r="K117" s="69"/>
      <c r="L117" s="66"/>
    </row>
    <row r="119" spans="1:12" x14ac:dyDescent="0.3">
      <c r="A119" s="66"/>
      <c r="B119" s="66"/>
      <c r="C119" s="66"/>
      <c r="D119" s="66"/>
      <c r="E119" s="66"/>
      <c r="F119" s="66"/>
      <c r="G119" s="66"/>
      <c r="H119" s="66"/>
      <c r="I119" s="66"/>
      <c r="J119" s="66"/>
      <c r="K119" s="69"/>
      <c r="L119" s="66"/>
    </row>
    <row r="121" spans="1:12" x14ac:dyDescent="0.3">
      <c r="A121" s="66"/>
      <c r="B121" s="66"/>
      <c r="C121" s="66"/>
      <c r="D121" s="66"/>
      <c r="E121" s="66"/>
      <c r="F121" s="66"/>
      <c r="G121" s="66"/>
      <c r="H121" s="66"/>
      <c r="I121" s="66"/>
      <c r="J121" s="66"/>
      <c r="K121" s="69"/>
      <c r="L121" s="66"/>
    </row>
    <row r="123" spans="1:12" x14ac:dyDescent="0.3">
      <c r="F123" s="72" t="s">
        <v>1131</v>
      </c>
    </row>
    <row r="124" spans="1:12" x14ac:dyDescent="0.3">
      <c r="A124" s="63" t="s">
        <v>1057</v>
      </c>
      <c r="B124" s="63"/>
      <c r="C124" s="155" t="s">
        <v>1056</v>
      </c>
      <c r="D124" s="63" t="s">
        <v>1058</v>
      </c>
    </row>
    <row r="125" spans="1:12" x14ac:dyDescent="0.3">
      <c r="A125" s="63" t="s">
        <v>1059</v>
      </c>
      <c r="B125" s="63"/>
      <c r="C125" s="155" t="s">
        <v>1056</v>
      </c>
      <c r="D125" s="63" t="s">
        <v>1060</v>
      </c>
    </row>
    <row r="126" spans="1:12" ht="13.8" customHeight="1" x14ac:dyDescent="0.3">
      <c r="A126" s="63" t="s">
        <v>1064</v>
      </c>
      <c r="B126" s="63"/>
      <c r="C126" s="155" t="s">
        <v>101</v>
      </c>
      <c r="D126" s="63" t="s">
        <v>1065</v>
      </c>
    </row>
    <row r="127" spans="1:12" ht="13.8" customHeight="1" x14ac:dyDescent="0.3">
      <c r="A127" s="63" t="s">
        <v>1061</v>
      </c>
      <c r="B127" s="63"/>
      <c r="C127" s="155" t="s">
        <v>1062</v>
      </c>
      <c r="D127" s="63" t="s">
        <v>1063</v>
      </c>
    </row>
    <row r="128" spans="1:12" x14ac:dyDescent="0.3">
      <c r="A128" s="61"/>
      <c r="B128" s="61"/>
      <c r="C128" s="61"/>
      <c r="D128" s="61"/>
      <c r="E128" s="61"/>
      <c r="F128" s="61"/>
      <c r="G128" s="61"/>
      <c r="H128" s="61"/>
      <c r="I128" s="61"/>
      <c r="J128" s="61"/>
      <c r="K128" s="78"/>
      <c r="L128" s="61"/>
    </row>
    <row r="129" spans="1:12" x14ac:dyDescent="0.3">
      <c r="A129" s="63"/>
      <c r="B129" s="63"/>
      <c r="C129" s="63"/>
      <c r="D129" s="63"/>
    </row>
    <row r="130" spans="1:12" x14ac:dyDescent="0.3">
      <c r="A130" s="99"/>
      <c r="B130" s="99"/>
      <c r="C130" s="99"/>
      <c r="D130" s="99"/>
      <c r="E130" s="66"/>
      <c r="F130" s="66"/>
      <c r="G130" s="66"/>
      <c r="H130" s="66"/>
      <c r="I130" s="66"/>
      <c r="J130" s="66"/>
      <c r="K130" s="69"/>
      <c r="L130" s="66"/>
    </row>
    <row r="132" spans="1:12" x14ac:dyDescent="0.3">
      <c r="A132" s="66"/>
      <c r="B132" s="66"/>
      <c r="C132" s="66"/>
      <c r="D132" s="66"/>
      <c r="E132" s="66"/>
      <c r="F132" s="66"/>
      <c r="G132" s="66"/>
      <c r="H132" s="66"/>
      <c r="I132" s="66"/>
      <c r="J132" s="66"/>
      <c r="K132" s="69"/>
      <c r="L132" s="66"/>
    </row>
    <row r="134" spans="1:12" x14ac:dyDescent="0.3">
      <c r="B134" s="72" t="s">
        <v>72</v>
      </c>
      <c r="F134" s="101" t="s">
        <v>373</v>
      </c>
      <c r="J134" s="54" t="s">
        <v>74</v>
      </c>
    </row>
    <row r="135" spans="1:12" x14ac:dyDescent="0.3">
      <c r="A135" s="57" t="s">
        <v>0</v>
      </c>
      <c r="B135" s="57" t="s">
        <v>73</v>
      </c>
      <c r="C135" s="57" t="s">
        <v>61</v>
      </c>
      <c r="E135" s="76" t="s">
        <v>61</v>
      </c>
      <c r="I135" s="76" t="s">
        <v>75</v>
      </c>
      <c r="K135" s="69"/>
      <c r="L135" s="66"/>
    </row>
    <row r="136" spans="1:12" x14ac:dyDescent="0.3">
      <c r="A136" s="76"/>
      <c r="E136" s="76"/>
      <c r="I136" s="76" t="s">
        <v>76</v>
      </c>
      <c r="K136" s="69"/>
      <c r="L136" s="66"/>
    </row>
    <row r="137" spans="1:12" x14ac:dyDescent="0.3">
      <c r="A137" s="94"/>
      <c r="B137" s="66"/>
      <c r="C137" s="66"/>
      <c r="D137" s="66"/>
      <c r="E137" s="94"/>
      <c r="F137" s="66"/>
      <c r="G137" s="66"/>
      <c r="H137" s="66"/>
      <c r="I137" s="94"/>
      <c r="J137" s="66"/>
      <c r="K137" s="69"/>
      <c r="L137" s="66"/>
    </row>
    <row r="138" spans="1:12" x14ac:dyDescent="0.3">
      <c r="A138" s="76"/>
      <c r="E138" s="76"/>
      <c r="I138" s="76"/>
    </row>
    <row r="139" spans="1:12" x14ac:dyDescent="0.3">
      <c r="A139" s="94"/>
      <c r="B139" s="66"/>
      <c r="C139" s="66"/>
      <c r="D139" s="66"/>
      <c r="E139" s="94"/>
      <c r="F139" s="66"/>
      <c r="G139" s="66"/>
      <c r="H139" s="66"/>
      <c r="I139" s="94"/>
      <c r="J139" s="66"/>
      <c r="K139" s="69"/>
      <c r="L139" s="66"/>
    </row>
    <row r="140" spans="1:12" x14ac:dyDescent="0.3">
      <c r="A140" s="76"/>
      <c r="E140" s="76"/>
      <c r="I140" s="76"/>
    </row>
    <row r="141" spans="1:12" x14ac:dyDescent="0.3">
      <c r="A141" s="94"/>
      <c r="B141" s="66"/>
      <c r="C141" s="66"/>
      <c r="D141" s="66"/>
      <c r="E141" s="94"/>
      <c r="F141" s="66"/>
      <c r="G141" s="66"/>
      <c r="H141" s="66"/>
      <c r="I141" s="94"/>
      <c r="J141" s="66"/>
      <c r="K141" s="69"/>
      <c r="L141" s="66"/>
    </row>
    <row r="143" spans="1:12" x14ac:dyDescent="0.3">
      <c r="A143" s="80" t="s">
        <v>88</v>
      </c>
      <c r="B143" s="80" t="s">
        <v>89</v>
      </c>
      <c r="C143" s="80" t="s">
        <v>486</v>
      </c>
      <c r="D143" s="80" t="s">
        <v>90</v>
      </c>
      <c r="E143" s="80" t="s">
        <v>91</v>
      </c>
      <c r="F143" s="80" t="s">
        <v>92</v>
      </c>
      <c r="G143" s="80" t="s">
        <v>93</v>
      </c>
      <c r="H143" s="80" t="s">
        <v>87</v>
      </c>
      <c r="J143" s="57" t="s">
        <v>94</v>
      </c>
    </row>
    <row r="145" spans="1:12" x14ac:dyDescent="0.3">
      <c r="A145" s="99" t="s">
        <v>484</v>
      </c>
      <c r="B145" s="134" t="s">
        <v>485</v>
      </c>
      <c r="C145" s="134">
        <v>6</v>
      </c>
      <c r="D145" s="134" t="s">
        <v>492</v>
      </c>
      <c r="E145" s="134">
        <v>0</v>
      </c>
      <c r="F145" s="134">
        <v>0</v>
      </c>
      <c r="G145" s="134"/>
      <c r="H145" s="82" t="s">
        <v>143</v>
      </c>
      <c r="J145" s="66"/>
      <c r="K145" s="69"/>
      <c r="L145" s="66"/>
    </row>
    <row r="146" spans="1:12" x14ac:dyDescent="0.3">
      <c r="A146" s="99" t="s">
        <v>487</v>
      </c>
      <c r="B146" s="134" t="s">
        <v>485</v>
      </c>
      <c r="C146" s="134">
        <v>6</v>
      </c>
      <c r="D146" s="134">
        <v>0</v>
      </c>
      <c r="E146" s="134">
        <v>0</v>
      </c>
      <c r="F146" s="134">
        <v>0</v>
      </c>
      <c r="G146" s="134"/>
      <c r="H146" s="82" t="s">
        <v>490</v>
      </c>
    </row>
    <row r="147" spans="1:12" x14ac:dyDescent="0.3">
      <c r="A147" s="99" t="s">
        <v>489</v>
      </c>
      <c r="B147" s="134" t="s">
        <v>488</v>
      </c>
      <c r="C147" s="134">
        <v>5</v>
      </c>
      <c r="D147" s="134">
        <v>0</v>
      </c>
      <c r="E147" s="134">
        <v>0</v>
      </c>
      <c r="F147" s="134">
        <v>0</v>
      </c>
      <c r="G147" s="134"/>
      <c r="H147" s="82" t="s">
        <v>142</v>
      </c>
      <c r="J147" s="66"/>
      <c r="K147" s="69"/>
      <c r="L147" s="66"/>
    </row>
    <row r="148" spans="1:12" x14ac:dyDescent="0.3">
      <c r="A148" s="99" t="s">
        <v>491</v>
      </c>
      <c r="B148" s="134">
        <v>4</v>
      </c>
      <c r="C148" s="134">
        <v>6</v>
      </c>
      <c r="D148" s="134">
        <v>12</v>
      </c>
      <c r="E148" s="134">
        <v>3</v>
      </c>
      <c r="F148" s="134">
        <v>6</v>
      </c>
      <c r="G148" s="134" t="s">
        <v>493</v>
      </c>
      <c r="H148" s="82" t="s">
        <v>143</v>
      </c>
    </row>
    <row r="149" spans="1:12" x14ac:dyDescent="0.3">
      <c r="A149" s="99"/>
      <c r="B149" s="99"/>
      <c r="C149" s="134"/>
      <c r="D149" s="134"/>
      <c r="E149" s="134"/>
      <c r="F149" s="134"/>
      <c r="G149" s="99"/>
      <c r="H149" s="82"/>
      <c r="J149" s="66"/>
      <c r="K149" s="69"/>
      <c r="L149" s="66"/>
    </row>
    <row r="150" spans="1:12" x14ac:dyDescent="0.3">
      <c r="A150" s="66"/>
      <c r="B150" s="66"/>
      <c r="C150" s="66"/>
      <c r="D150" s="66"/>
      <c r="E150" s="66"/>
      <c r="F150" s="66"/>
      <c r="G150" s="66"/>
      <c r="H150" s="66"/>
      <c r="J150" s="66"/>
      <c r="K150" s="69"/>
      <c r="L150" s="66"/>
    </row>
    <row r="175" ht="13.8" customHeight="1" x14ac:dyDescent="0.3"/>
    <row r="179" ht="13.2" customHeight="1" x14ac:dyDescent="0.3"/>
    <row r="180" ht="13.8" customHeight="1" x14ac:dyDescent="0.3"/>
    <row r="181" ht="13.8" customHeight="1" x14ac:dyDescent="0.3"/>
    <row r="199" spans="1:12" x14ac:dyDescent="0.3">
      <c r="F199" s="72"/>
    </row>
    <row r="201" spans="1:12" x14ac:dyDescent="0.3">
      <c r="A201" s="63"/>
    </row>
    <row r="202" spans="1:12" x14ac:dyDescent="0.3">
      <c r="A202" s="63"/>
    </row>
    <row r="204" spans="1:12" x14ac:dyDescent="0.3">
      <c r="A204" s="63"/>
      <c r="C204" s="63"/>
      <c r="D204" s="63"/>
      <c r="E204" s="63"/>
      <c r="F204" s="63"/>
      <c r="G204" s="63"/>
      <c r="H204" s="63"/>
      <c r="I204" s="63"/>
      <c r="J204" s="63"/>
      <c r="K204" s="63"/>
      <c r="L204" s="63"/>
    </row>
    <row r="205" spans="1:12" x14ac:dyDescent="0.3">
      <c r="D205" s="63"/>
      <c r="E205" s="63"/>
      <c r="F205" s="63"/>
      <c r="G205" s="63"/>
      <c r="H205" s="63"/>
      <c r="I205" s="63"/>
      <c r="J205" s="63"/>
      <c r="K205" s="63"/>
      <c r="L205" s="63"/>
    </row>
    <row r="206" spans="1:12" x14ac:dyDescent="0.3">
      <c r="A206" s="63"/>
      <c r="B206" s="63"/>
      <c r="C206" s="63"/>
      <c r="D206" s="63"/>
      <c r="E206" s="63"/>
      <c r="F206" s="63"/>
      <c r="G206" s="63"/>
      <c r="H206" s="63"/>
      <c r="I206" s="63"/>
      <c r="J206" s="63"/>
      <c r="K206" s="63"/>
      <c r="L206" s="63"/>
    </row>
    <row r="207" spans="1:12" x14ac:dyDescent="0.3">
      <c r="B207" s="63"/>
      <c r="C207" s="63"/>
      <c r="D207" s="63"/>
      <c r="E207" s="63"/>
      <c r="F207" s="63"/>
      <c r="G207" s="63"/>
      <c r="H207" s="63"/>
      <c r="I207" s="63"/>
      <c r="J207" s="63"/>
      <c r="K207" s="63"/>
      <c r="L207" s="63"/>
    </row>
    <row r="208" spans="1:12" x14ac:dyDescent="0.3">
      <c r="A208" s="63"/>
      <c r="B208" s="63"/>
      <c r="C208" s="63"/>
      <c r="D208" s="63"/>
      <c r="E208" s="63"/>
      <c r="F208" s="63"/>
      <c r="G208" s="63"/>
      <c r="H208" s="63"/>
      <c r="I208" s="63"/>
      <c r="J208" s="63"/>
      <c r="K208" s="63"/>
      <c r="L208" s="63"/>
    </row>
    <row r="209" spans="1:12" x14ac:dyDescent="0.3">
      <c r="A209" s="63"/>
      <c r="B209" s="63"/>
      <c r="C209" s="63"/>
      <c r="D209" s="63"/>
      <c r="E209" s="63"/>
      <c r="F209" s="63"/>
      <c r="G209" s="63"/>
      <c r="H209" s="63"/>
      <c r="I209" s="63"/>
      <c r="J209" s="63"/>
      <c r="K209" s="63"/>
      <c r="L209" s="63"/>
    </row>
    <row r="210" spans="1:12" x14ac:dyDescent="0.3">
      <c r="A210" s="63"/>
      <c r="B210" s="63"/>
      <c r="C210" s="63"/>
      <c r="D210" s="63"/>
      <c r="E210" s="63"/>
      <c r="F210" s="63"/>
      <c r="G210" s="63"/>
      <c r="H210" s="63"/>
      <c r="I210" s="63"/>
      <c r="J210" s="63"/>
      <c r="K210" s="63"/>
      <c r="L210" s="63"/>
    </row>
    <row r="211" spans="1:12" x14ac:dyDescent="0.3">
      <c r="A211" s="63"/>
      <c r="B211" s="63"/>
      <c r="C211" s="63"/>
      <c r="D211" s="63"/>
      <c r="E211" s="63"/>
      <c r="F211" s="63"/>
      <c r="G211" s="63"/>
      <c r="H211" s="63"/>
      <c r="I211" s="63"/>
      <c r="J211" s="63"/>
      <c r="K211" s="63"/>
      <c r="L211" s="63"/>
    </row>
    <row r="212" spans="1:12" x14ac:dyDescent="0.3">
      <c r="A212" s="63"/>
      <c r="B212" s="63"/>
      <c r="C212" s="63"/>
      <c r="D212" s="63"/>
      <c r="E212" s="63"/>
      <c r="F212" s="63"/>
      <c r="G212" s="63"/>
      <c r="H212" s="63"/>
      <c r="I212" s="63"/>
      <c r="J212" s="63"/>
      <c r="K212" s="63"/>
      <c r="L212" s="63"/>
    </row>
    <row r="213" spans="1:12" x14ac:dyDescent="0.3">
      <c r="A213" s="63"/>
      <c r="B213" s="63"/>
      <c r="C213" s="63"/>
      <c r="D213" s="63"/>
      <c r="E213" s="63"/>
      <c r="F213" s="63"/>
      <c r="G213" s="63"/>
      <c r="H213" s="63"/>
      <c r="I213" s="63"/>
      <c r="J213" s="63"/>
      <c r="K213" s="63"/>
      <c r="L213" s="63"/>
    </row>
    <row r="214" spans="1:12" x14ac:dyDescent="0.3">
      <c r="A214" s="72"/>
      <c r="B214" s="90"/>
      <c r="J214" s="72"/>
      <c r="K214" s="57"/>
    </row>
    <row r="215" spans="1:12" x14ac:dyDescent="0.3">
      <c r="A215" s="72"/>
      <c r="B215" s="80"/>
      <c r="I215" s="80"/>
      <c r="K215" s="57"/>
    </row>
    <row r="216" spans="1:12" x14ac:dyDescent="0.3">
      <c r="A216" s="72"/>
      <c r="B216" s="80"/>
      <c r="I216" s="80"/>
      <c r="K216" s="57"/>
    </row>
    <row r="217" spans="1:12" x14ac:dyDescent="0.3">
      <c r="A217" s="72"/>
      <c r="B217" s="80"/>
      <c r="I217" s="80"/>
      <c r="K217" s="57"/>
    </row>
    <row r="218" spans="1:12" x14ac:dyDescent="0.3">
      <c r="A218" s="72"/>
      <c r="B218" s="80"/>
      <c r="I218" s="80"/>
      <c r="K218" s="57"/>
    </row>
    <row r="219" spans="1:12" x14ac:dyDescent="0.3">
      <c r="A219" s="72"/>
      <c r="B219" s="80"/>
      <c r="I219" s="80"/>
      <c r="K219" s="57"/>
    </row>
    <row r="220" spans="1:12" x14ac:dyDescent="0.3">
      <c r="A220" s="72"/>
      <c r="B220" s="80"/>
      <c r="I220" s="80"/>
      <c r="K220" s="57"/>
    </row>
    <row r="221" spans="1:12" x14ac:dyDescent="0.3">
      <c r="A221" s="72"/>
      <c r="B221" s="80"/>
      <c r="I221" s="80"/>
      <c r="K221" s="57"/>
    </row>
    <row r="222" spans="1:12" x14ac:dyDescent="0.3">
      <c r="A222" s="72"/>
      <c r="B222" s="80"/>
      <c r="I222" s="80"/>
      <c r="K222" s="57"/>
    </row>
    <row r="223" spans="1:12" x14ac:dyDescent="0.3">
      <c r="A223" s="72"/>
      <c r="B223" s="80"/>
    </row>
    <row r="224" spans="1:12" x14ac:dyDescent="0.3">
      <c r="A224" s="72"/>
      <c r="B224" s="80"/>
    </row>
    <row r="225" spans="1:2" x14ac:dyDescent="0.3">
      <c r="A225" s="72"/>
      <c r="B225" s="80"/>
    </row>
  </sheetData>
  <mergeCells count="2">
    <mergeCell ref="A93:L96"/>
    <mergeCell ref="A98:L100"/>
  </mergeCells>
  <pageMargins left="0.25" right="0.25"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1615-1EA2-4AD7-A86C-59952E5A099E}">
  <dimension ref="A1:L225"/>
  <sheetViews>
    <sheetView topLeftCell="A50" zoomScale="170" zoomScaleNormal="170" workbookViewId="0">
      <selection activeCell="C74" sqref="C74"/>
    </sheetView>
  </sheetViews>
  <sheetFormatPr defaultRowHeight="13.8" x14ac:dyDescent="0.3"/>
  <cols>
    <col min="1" max="10" width="8" style="57" customWidth="1"/>
    <col min="11" max="11" width="8" style="54" customWidth="1"/>
    <col min="12" max="12" width="8" style="57" customWidth="1"/>
    <col min="13" max="13" width="8.88671875" style="57"/>
    <col min="14" max="15" width="8.88671875" style="57" customWidth="1"/>
    <col min="16" max="16384" width="8.88671875" style="57"/>
  </cols>
  <sheetData>
    <row r="1" spans="1:12" ht="13.8" customHeight="1" x14ac:dyDescent="0.3">
      <c r="A1" s="90" t="s">
        <v>1010</v>
      </c>
      <c r="C1" s="61"/>
      <c r="D1" s="61"/>
      <c r="F1" s="75" t="s">
        <v>5</v>
      </c>
      <c r="G1" s="54" t="s">
        <v>1202</v>
      </c>
      <c r="H1" s="151" t="s">
        <v>1203</v>
      </c>
      <c r="I1" s="81" t="s">
        <v>348</v>
      </c>
      <c r="J1" s="100"/>
      <c r="K1" s="61"/>
      <c r="L1" s="209" t="s">
        <v>1161</v>
      </c>
    </row>
    <row r="3" spans="1:12" x14ac:dyDescent="0.3">
      <c r="A3" s="156" t="s">
        <v>0</v>
      </c>
      <c r="B3" s="57" t="s">
        <v>1158</v>
      </c>
      <c r="E3" s="156" t="s">
        <v>2</v>
      </c>
      <c r="F3" s="152" t="s">
        <v>1153</v>
      </c>
      <c r="H3" s="55" t="s">
        <v>1154</v>
      </c>
      <c r="K3" s="57"/>
    </row>
    <row r="4" spans="1:12" x14ac:dyDescent="0.3">
      <c r="A4" s="156" t="s">
        <v>343</v>
      </c>
      <c r="B4" s="57" t="s">
        <v>1040</v>
      </c>
      <c r="H4" s="230" t="s">
        <v>1155</v>
      </c>
    </row>
    <row r="5" spans="1:12" x14ac:dyDescent="0.3">
      <c r="A5" s="156" t="s">
        <v>4</v>
      </c>
      <c r="B5" s="152" t="s">
        <v>1159</v>
      </c>
      <c r="E5" s="210" t="s">
        <v>3</v>
      </c>
      <c r="F5" s="139" t="s">
        <v>1156</v>
      </c>
      <c r="G5" s="85"/>
      <c r="H5" s="140" t="s">
        <v>1157</v>
      </c>
      <c r="I5" s="85"/>
      <c r="J5" s="85"/>
      <c r="K5" s="131"/>
      <c r="L5" s="85"/>
    </row>
    <row r="6" spans="1:12" x14ac:dyDescent="0.3">
      <c r="A6" s="156" t="s">
        <v>69</v>
      </c>
      <c r="B6" s="57" t="s">
        <v>126</v>
      </c>
      <c r="H6" s="55" t="s">
        <v>1160</v>
      </c>
    </row>
    <row r="8" spans="1:12" ht="13.8" customHeight="1" x14ac:dyDescent="0.3">
      <c r="F8" s="72" t="s">
        <v>7</v>
      </c>
    </row>
    <row r="9" spans="1:12" x14ac:dyDescent="0.3">
      <c r="B9" s="72" t="s">
        <v>8</v>
      </c>
      <c r="C9" s="73"/>
      <c r="D9" s="73"/>
      <c r="E9" s="73"/>
      <c r="F9" s="72" t="s">
        <v>9</v>
      </c>
      <c r="G9" s="73"/>
      <c r="H9" s="73"/>
      <c r="I9" s="73"/>
      <c r="J9" s="72" t="s">
        <v>10</v>
      </c>
    </row>
    <row r="10" spans="1:12" x14ac:dyDescent="0.3">
      <c r="A10" s="165" t="s">
        <v>11</v>
      </c>
      <c r="B10" s="80"/>
      <c r="D10" s="163">
        <v>2</v>
      </c>
      <c r="E10" s="165" t="s">
        <v>12</v>
      </c>
      <c r="F10" s="80"/>
      <c r="H10" s="163">
        <v>2</v>
      </c>
      <c r="I10" s="165" t="s">
        <v>13</v>
      </c>
      <c r="J10" s="80" t="s">
        <v>1164</v>
      </c>
      <c r="L10" s="163">
        <v>4</v>
      </c>
    </row>
    <row r="11" spans="1:12" x14ac:dyDescent="0.3">
      <c r="A11" s="165" t="s">
        <v>14</v>
      </c>
      <c r="B11" s="80" t="s">
        <v>1163</v>
      </c>
      <c r="D11" s="163">
        <v>4</v>
      </c>
      <c r="E11" s="165" t="s">
        <v>16</v>
      </c>
      <c r="F11" s="80"/>
      <c r="H11" s="163">
        <v>3</v>
      </c>
      <c r="I11" s="165" t="s">
        <v>18</v>
      </c>
      <c r="J11" s="80"/>
      <c r="L11" s="163">
        <v>3</v>
      </c>
    </row>
    <row r="12" spans="1:12" x14ac:dyDescent="0.3">
      <c r="A12" s="165" t="s">
        <v>15</v>
      </c>
      <c r="B12" s="80"/>
      <c r="D12" s="163">
        <v>2</v>
      </c>
      <c r="E12" s="165" t="s">
        <v>17</v>
      </c>
      <c r="F12" s="80"/>
      <c r="H12" s="163">
        <v>0</v>
      </c>
      <c r="I12" s="165" t="s">
        <v>19</v>
      </c>
      <c r="J12" s="80"/>
      <c r="L12" s="163">
        <v>3</v>
      </c>
    </row>
    <row r="13" spans="1:12" x14ac:dyDescent="0.3">
      <c r="C13" s="75"/>
      <c r="G13" s="75"/>
      <c r="K13" s="75"/>
    </row>
    <row r="14" spans="1:12" x14ac:dyDescent="0.3">
      <c r="F14" s="72" t="s">
        <v>21</v>
      </c>
    </row>
    <row r="15" spans="1:12" ht="13.2" customHeight="1" x14ac:dyDescent="0.3">
      <c r="B15" s="72" t="s">
        <v>22</v>
      </c>
      <c r="C15" s="72"/>
      <c r="D15" s="72"/>
      <c r="E15" s="72"/>
      <c r="F15" s="72" t="s">
        <v>53</v>
      </c>
      <c r="G15" s="72"/>
      <c r="H15" s="72"/>
      <c r="I15" s="72"/>
      <c r="J15" s="72" t="s">
        <v>54</v>
      </c>
    </row>
    <row r="16" spans="1:12" x14ac:dyDescent="0.3">
      <c r="A16" s="154" t="s">
        <v>23</v>
      </c>
      <c r="B16" s="80"/>
      <c r="D16" s="163">
        <v>0</v>
      </c>
      <c r="E16" s="154" t="s">
        <v>438</v>
      </c>
      <c r="F16" s="80"/>
      <c r="G16" s="54"/>
      <c r="H16" s="163">
        <v>3</v>
      </c>
      <c r="I16" s="154" t="s">
        <v>31</v>
      </c>
      <c r="J16" s="111" t="s">
        <v>1162</v>
      </c>
      <c r="L16" s="163">
        <v>1</v>
      </c>
    </row>
    <row r="17" spans="1:12" x14ac:dyDescent="0.3">
      <c r="A17" s="154" t="s">
        <v>32</v>
      </c>
      <c r="B17" s="80" t="s">
        <v>1171</v>
      </c>
      <c r="D17" s="163">
        <v>4</v>
      </c>
      <c r="E17" s="154" t="s">
        <v>33</v>
      </c>
      <c r="F17" s="80"/>
      <c r="G17" s="54"/>
      <c r="H17" s="163">
        <v>0</v>
      </c>
      <c r="I17" s="154" t="s">
        <v>34</v>
      </c>
      <c r="J17" s="80"/>
      <c r="L17" s="163">
        <v>0</v>
      </c>
    </row>
    <row r="18" spans="1:12" x14ac:dyDescent="0.3">
      <c r="A18" s="154" t="s">
        <v>436</v>
      </c>
      <c r="B18" s="80"/>
      <c r="D18" s="163">
        <v>1</v>
      </c>
      <c r="E18" s="154" t="s">
        <v>437</v>
      </c>
      <c r="F18" s="111"/>
      <c r="G18" s="54"/>
      <c r="H18" s="163">
        <v>2</v>
      </c>
      <c r="I18" s="154" t="s">
        <v>36</v>
      </c>
      <c r="J18" s="80"/>
      <c r="L18" s="163">
        <v>0</v>
      </c>
    </row>
    <row r="19" spans="1:12" x14ac:dyDescent="0.3">
      <c r="A19" s="154" t="s">
        <v>26</v>
      </c>
      <c r="B19" s="80"/>
      <c r="D19" s="163">
        <v>0</v>
      </c>
      <c r="E19" s="154" t="s">
        <v>38</v>
      </c>
      <c r="F19" s="80" t="s">
        <v>1172</v>
      </c>
      <c r="G19" s="54"/>
      <c r="H19" s="163">
        <v>4</v>
      </c>
      <c r="I19" s="154" t="s">
        <v>45</v>
      </c>
      <c r="J19" s="80"/>
      <c r="L19" s="163">
        <v>1</v>
      </c>
    </row>
    <row r="20" spans="1:12" x14ac:dyDescent="0.3">
      <c r="A20" s="154" t="s">
        <v>27</v>
      </c>
      <c r="B20" s="80"/>
      <c r="D20" s="163">
        <v>2</v>
      </c>
      <c r="E20" s="154" t="s">
        <v>39</v>
      </c>
      <c r="F20" s="80"/>
      <c r="G20" s="54"/>
      <c r="H20" s="163">
        <v>2</v>
      </c>
      <c r="I20" s="154" t="s">
        <v>46</v>
      </c>
      <c r="J20" s="80"/>
      <c r="L20" s="163">
        <v>1</v>
      </c>
    </row>
    <row r="21" spans="1:12" x14ac:dyDescent="0.3">
      <c r="A21" s="154" t="s">
        <v>28</v>
      </c>
      <c r="B21" s="80"/>
      <c r="D21" s="163">
        <v>1</v>
      </c>
      <c r="E21" s="154" t="s">
        <v>40</v>
      </c>
      <c r="F21" s="80"/>
      <c r="G21" s="54"/>
      <c r="H21" s="163">
        <v>0</v>
      </c>
      <c r="I21" s="154" t="s">
        <v>47</v>
      </c>
      <c r="J21" s="80"/>
      <c r="L21" s="163">
        <v>0</v>
      </c>
    </row>
    <row r="22" spans="1:12" x14ac:dyDescent="0.3">
      <c r="A22" s="154" t="s">
        <v>24</v>
      </c>
      <c r="B22" s="80"/>
      <c r="D22" s="163">
        <v>0</v>
      </c>
      <c r="E22" s="154" t="s">
        <v>41</v>
      </c>
      <c r="F22" s="80"/>
      <c r="G22" s="54"/>
      <c r="H22" s="163">
        <v>0</v>
      </c>
      <c r="I22" s="154" t="s">
        <v>48</v>
      </c>
      <c r="J22" s="80"/>
      <c r="L22" s="163">
        <v>0</v>
      </c>
    </row>
    <row r="23" spans="1:12" x14ac:dyDescent="0.3">
      <c r="A23" s="154" t="s">
        <v>1011</v>
      </c>
      <c r="B23" s="80"/>
      <c r="D23" s="163">
        <v>0</v>
      </c>
      <c r="E23" s="154" t="s">
        <v>42</v>
      </c>
      <c r="F23" s="80"/>
      <c r="G23" s="54"/>
      <c r="H23" s="163">
        <v>0</v>
      </c>
      <c r="I23" s="154" t="s">
        <v>49</v>
      </c>
      <c r="J23" s="80"/>
      <c r="L23" s="163">
        <v>0</v>
      </c>
    </row>
    <row r="24" spans="1:12" x14ac:dyDescent="0.3">
      <c r="A24" s="154" t="s">
        <v>358</v>
      </c>
      <c r="B24" s="80"/>
      <c r="D24" s="163">
        <v>2</v>
      </c>
      <c r="E24" s="154" t="s">
        <v>43</v>
      </c>
      <c r="G24" s="54"/>
      <c r="H24" s="163">
        <v>0</v>
      </c>
      <c r="I24" s="154" t="s">
        <v>50</v>
      </c>
      <c r="J24" s="80"/>
      <c r="L24" s="163">
        <v>3</v>
      </c>
    </row>
    <row r="25" spans="1:12" x14ac:dyDescent="0.3">
      <c r="A25" s="154" t="s">
        <v>29</v>
      </c>
      <c r="B25" s="80"/>
      <c r="D25" s="163">
        <v>2</v>
      </c>
      <c r="E25" s="154" t="s">
        <v>44</v>
      </c>
      <c r="F25" s="80"/>
      <c r="G25" s="54"/>
      <c r="H25" s="163">
        <v>0</v>
      </c>
      <c r="I25" s="154" t="s">
        <v>51</v>
      </c>
      <c r="J25" s="80"/>
      <c r="L25" s="163">
        <v>0</v>
      </c>
    </row>
    <row r="27" spans="1:12" x14ac:dyDescent="0.3">
      <c r="C27" s="75"/>
      <c r="G27" s="75"/>
      <c r="K27" s="75"/>
    </row>
    <row r="28" spans="1:12" x14ac:dyDescent="0.3">
      <c r="A28" s="73"/>
      <c r="B28" s="72" t="s">
        <v>56</v>
      </c>
      <c r="C28" s="73"/>
      <c r="D28" s="73"/>
      <c r="E28" s="73"/>
      <c r="F28" s="73"/>
      <c r="H28" s="73"/>
      <c r="I28" s="72" t="s">
        <v>57</v>
      </c>
      <c r="J28" s="73"/>
      <c r="K28" s="55"/>
      <c r="L28" s="170" t="s">
        <v>480</v>
      </c>
    </row>
    <row r="29" spans="1:12" ht="13.8" customHeight="1" x14ac:dyDescent="0.3">
      <c r="A29" s="80" t="s">
        <v>0</v>
      </c>
      <c r="B29" s="75" t="s">
        <v>73</v>
      </c>
      <c r="C29" s="80" t="s">
        <v>61</v>
      </c>
      <c r="G29" s="73"/>
      <c r="H29" s="166" t="s">
        <v>58</v>
      </c>
      <c r="J29" s="167">
        <v>3</v>
      </c>
      <c r="K29" s="162" t="s">
        <v>465</v>
      </c>
      <c r="L29" s="54"/>
    </row>
    <row r="30" spans="1:12" s="73" customFormat="1" x14ac:dyDescent="0.3">
      <c r="A30" s="57" t="s">
        <v>1165</v>
      </c>
      <c r="B30" s="54">
        <v>1</v>
      </c>
      <c r="C30" s="175" t="s">
        <v>1166</v>
      </c>
      <c r="D30" s="57"/>
      <c r="E30" s="57"/>
      <c r="F30" s="57"/>
      <c r="G30" s="57"/>
      <c r="H30" s="166" t="s">
        <v>342</v>
      </c>
      <c r="I30" s="57"/>
      <c r="J30" s="167">
        <v>4</v>
      </c>
      <c r="K30" s="55" t="s">
        <v>477</v>
      </c>
      <c r="L30" s="54"/>
    </row>
    <row r="31" spans="1:12" x14ac:dyDescent="0.3">
      <c r="A31" s="239" t="s">
        <v>1167</v>
      </c>
      <c r="B31" s="54">
        <v>1</v>
      </c>
      <c r="C31" s="80" t="s">
        <v>1168</v>
      </c>
      <c r="H31" s="166" t="s">
        <v>59</v>
      </c>
      <c r="J31" s="167">
        <v>3</v>
      </c>
      <c r="K31" s="55" t="s">
        <v>479</v>
      </c>
      <c r="L31" s="54"/>
    </row>
    <row r="32" spans="1:12" x14ac:dyDescent="0.3">
      <c r="A32" s="239" t="s">
        <v>1167</v>
      </c>
      <c r="B32" s="54">
        <v>2</v>
      </c>
      <c r="C32" s="80" t="s">
        <v>1169</v>
      </c>
      <c r="H32" s="63" t="s">
        <v>70</v>
      </c>
      <c r="J32" s="167" t="s">
        <v>131</v>
      </c>
      <c r="L32" s="54"/>
    </row>
    <row r="33" spans="1:12" x14ac:dyDescent="0.3">
      <c r="A33" s="233"/>
      <c r="B33" s="234"/>
      <c r="C33" s="241" t="s">
        <v>1170</v>
      </c>
      <c r="D33" s="233"/>
      <c r="E33" s="233"/>
      <c r="F33" s="233"/>
      <c r="H33" s="63" t="s">
        <v>66</v>
      </c>
      <c r="J33" s="167">
        <v>7</v>
      </c>
      <c r="K33" s="162" t="s">
        <v>464</v>
      </c>
      <c r="L33" s="54"/>
    </row>
    <row r="34" spans="1:12" x14ac:dyDescent="0.3">
      <c r="A34" s="61"/>
      <c r="B34" s="61"/>
      <c r="C34" s="61"/>
      <c r="D34" s="61"/>
      <c r="E34" s="61"/>
      <c r="F34" s="61"/>
      <c r="L34" s="215" t="s">
        <v>470</v>
      </c>
    </row>
    <row r="35" spans="1:12" x14ac:dyDescent="0.3">
      <c r="H35" s="63" t="s">
        <v>20</v>
      </c>
      <c r="J35" s="167">
        <v>5</v>
      </c>
      <c r="K35" s="162" t="s">
        <v>478</v>
      </c>
      <c r="L35" s="54"/>
    </row>
    <row r="36" spans="1:12" x14ac:dyDescent="0.3">
      <c r="A36" s="66"/>
      <c r="B36" s="66"/>
      <c r="C36" s="66"/>
      <c r="D36" s="66"/>
      <c r="E36" s="66"/>
      <c r="F36" s="66"/>
      <c r="H36" s="63" t="s">
        <v>1019</v>
      </c>
      <c r="J36" s="167">
        <v>10</v>
      </c>
      <c r="K36" s="162" t="s">
        <v>494</v>
      </c>
    </row>
    <row r="37" spans="1:12" x14ac:dyDescent="0.3">
      <c r="G37" s="73"/>
      <c r="H37" s="63" t="s">
        <v>341</v>
      </c>
      <c r="I37" s="73"/>
      <c r="J37" s="167">
        <f>7-J30</f>
        <v>3</v>
      </c>
      <c r="K37" s="162" t="s">
        <v>481</v>
      </c>
      <c r="L37" s="73"/>
    </row>
    <row r="38" spans="1:12" s="73" customFormat="1" x14ac:dyDescent="0.3">
      <c r="A38" s="157"/>
      <c r="B38" s="157"/>
      <c r="C38" s="157"/>
      <c r="D38" s="157"/>
      <c r="E38" s="157"/>
      <c r="F38" s="157"/>
      <c r="H38" s="57"/>
      <c r="I38" s="57"/>
      <c r="J38" s="57"/>
      <c r="K38" s="54"/>
      <c r="L38" s="57"/>
    </row>
    <row r="39" spans="1:12" x14ac:dyDescent="0.3">
      <c r="A39" s="66"/>
      <c r="B39" s="66"/>
      <c r="C39" s="66"/>
      <c r="D39" s="66"/>
      <c r="E39" s="66"/>
      <c r="F39" s="66"/>
      <c r="H39" s="63" t="s">
        <v>495</v>
      </c>
      <c r="I39" s="171"/>
      <c r="J39" s="171"/>
      <c r="K39" s="73"/>
      <c r="L39" s="73"/>
    </row>
    <row r="40" spans="1:12" ht="13.8" customHeight="1" x14ac:dyDescent="0.3">
      <c r="H40" s="63" t="s">
        <v>496</v>
      </c>
      <c r="I40" s="66"/>
      <c r="J40" s="66"/>
    </row>
    <row r="41" spans="1:12" x14ac:dyDescent="0.3">
      <c r="A41" s="157"/>
      <c r="B41" s="158"/>
      <c r="C41" s="157"/>
      <c r="D41" s="66"/>
      <c r="E41" s="69"/>
      <c r="F41" s="66"/>
      <c r="G41" s="73"/>
    </row>
    <row r="42" spans="1:12" x14ac:dyDescent="0.3">
      <c r="B42" s="54"/>
      <c r="D42" s="54"/>
      <c r="E42" s="153"/>
      <c r="H42" s="90" t="s">
        <v>366</v>
      </c>
      <c r="I42" s="75" t="s">
        <v>182</v>
      </c>
      <c r="J42" s="75" t="s">
        <v>142</v>
      </c>
      <c r="K42" s="75" t="s">
        <v>143</v>
      </c>
      <c r="L42" s="75" t="s">
        <v>144</v>
      </c>
    </row>
    <row r="43" spans="1:12" x14ac:dyDescent="0.3">
      <c r="A43" s="68"/>
      <c r="B43" s="68"/>
      <c r="C43" s="69"/>
      <c r="D43" s="108"/>
      <c r="E43" s="109"/>
      <c r="F43" s="66"/>
      <c r="H43" s="172"/>
      <c r="I43" s="172" t="s">
        <v>500</v>
      </c>
      <c r="J43" s="172" t="s">
        <v>498</v>
      </c>
      <c r="K43" s="172" t="s">
        <v>499</v>
      </c>
      <c r="L43" s="172" t="s">
        <v>497</v>
      </c>
    </row>
    <row r="44" spans="1:12" x14ac:dyDescent="0.3">
      <c r="A44" s="152"/>
      <c r="B44" s="152"/>
      <c r="C44" s="54"/>
      <c r="D44" s="55"/>
      <c r="E44" s="153"/>
      <c r="H44" s="63" t="s">
        <v>156</v>
      </c>
      <c r="I44" s="167">
        <v>0</v>
      </c>
      <c r="J44" s="159" t="b">
        <v>0</v>
      </c>
      <c r="K44" s="160" t="b">
        <v>0</v>
      </c>
      <c r="L44" s="159" t="b">
        <v>0</v>
      </c>
    </row>
    <row r="45" spans="1:12" ht="13.8" customHeight="1" x14ac:dyDescent="0.3">
      <c r="A45" s="68"/>
      <c r="B45" s="68"/>
      <c r="C45" s="69"/>
      <c r="D45" s="168"/>
      <c r="E45" s="109"/>
      <c r="F45" s="66"/>
      <c r="H45" s="63" t="s">
        <v>157</v>
      </c>
      <c r="I45" s="167">
        <v>-1</v>
      </c>
      <c r="J45" s="161" t="b">
        <v>0</v>
      </c>
      <c r="K45" s="160" t="b">
        <v>0</v>
      </c>
      <c r="L45" s="159" t="b">
        <v>0</v>
      </c>
    </row>
    <row r="46" spans="1:12" x14ac:dyDescent="0.3">
      <c r="C46" s="54"/>
      <c r="D46" s="80"/>
      <c r="E46" s="54"/>
      <c r="H46" s="63" t="s">
        <v>158</v>
      </c>
      <c r="I46" s="167">
        <v>-1</v>
      </c>
      <c r="J46" s="159" t="b">
        <v>0</v>
      </c>
      <c r="K46" s="160" t="b">
        <v>0</v>
      </c>
      <c r="L46" s="159" t="b">
        <v>0</v>
      </c>
    </row>
    <row r="47" spans="1:12" x14ac:dyDescent="0.3">
      <c r="A47" s="68"/>
      <c r="B47" s="68"/>
      <c r="C47" s="69"/>
      <c r="D47" s="108"/>
      <c r="E47" s="109"/>
      <c r="F47" s="66"/>
      <c r="H47" s="63" t="s">
        <v>159</v>
      </c>
      <c r="I47" s="167">
        <v>-2</v>
      </c>
      <c r="J47" s="159" t="b">
        <v>0</v>
      </c>
      <c r="K47" s="160" t="b">
        <v>0</v>
      </c>
      <c r="L47" s="159" t="b">
        <v>0</v>
      </c>
    </row>
    <row r="48" spans="1:12" x14ac:dyDescent="0.3">
      <c r="A48" s="152"/>
      <c r="B48" s="152"/>
      <c r="C48" s="54"/>
      <c r="D48" s="55"/>
      <c r="E48" s="153"/>
      <c r="H48" s="63" t="s">
        <v>441</v>
      </c>
      <c r="I48" s="167">
        <v>-2</v>
      </c>
      <c r="J48" s="159" t="b">
        <v>0</v>
      </c>
      <c r="K48" s="160" t="b">
        <v>0</v>
      </c>
      <c r="L48" s="159" t="b">
        <v>0</v>
      </c>
    </row>
    <row r="49" spans="1:12" x14ac:dyDescent="0.3">
      <c r="A49" s="66"/>
      <c r="B49" s="69"/>
      <c r="C49" s="66"/>
      <c r="D49" s="82"/>
      <c r="E49" s="66"/>
      <c r="F49" s="66"/>
      <c r="H49" s="63" t="s">
        <v>161</v>
      </c>
      <c r="I49" s="167">
        <v>-5</v>
      </c>
      <c r="J49" s="159" t="b">
        <v>0</v>
      </c>
      <c r="K49" s="160" t="b">
        <v>0</v>
      </c>
      <c r="L49" s="159" t="b">
        <v>0</v>
      </c>
    </row>
    <row r="50" spans="1:12" x14ac:dyDescent="0.3">
      <c r="A50" s="66"/>
      <c r="B50" s="69"/>
      <c r="C50" s="66"/>
      <c r="D50" s="82"/>
      <c r="E50" s="66"/>
      <c r="F50" s="66"/>
      <c r="H50" s="63" t="s">
        <v>162</v>
      </c>
      <c r="I50" s="167" t="s">
        <v>131</v>
      </c>
    </row>
    <row r="51" spans="1:12" x14ac:dyDescent="0.3">
      <c r="A51" s="80" t="s">
        <v>55</v>
      </c>
      <c r="C51" s="75" t="s">
        <v>73</v>
      </c>
      <c r="D51" s="80" t="s">
        <v>61</v>
      </c>
    </row>
    <row r="52" spans="1:12" x14ac:dyDescent="0.3">
      <c r="A52" s="165" t="s">
        <v>453</v>
      </c>
      <c r="C52" s="54">
        <v>2</v>
      </c>
      <c r="D52" s="80" t="s">
        <v>1201</v>
      </c>
    </row>
    <row r="53" spans="1:12" x14ac:dyDescent="0.3">
      <c r="A53" s="165" t="s">
        <v>100</v>
      </c>
      <c r="C53" s="54">
        <v>2</v>
      </c>
      <c r="D53" s="80" t="s">
        <v>1178</v>
      </c>
    </row>
    <row r="54" spans="1:12" x14ac:dyDescent="0.3">
      <c r="A54" s="165" t="s">
        <v>102</v>
      </c>
      <c r="C54" s="54">
        <v>2</v>
      </c>
      <c r="D54" s="80" t="s">
        <v>1179</v>
      </c>
      <c r="E54" s="155"/>
    </row>
    <row r="55" spans="1:12" x14ac:dyDescent="0.3">
      <c r="A55" s="165" t="s">
        <v>5</v>
      </c>
      <c r="C55" s="54">
        <v>2</v>
      </c>
      <c r="D55" s="80" t="s">
        <v>1035</v>
      </c>
      <c r="E55" s="155"/>
    </row>
    <row r="56" spans="1:12" x14ac:dyDescent="0.3">
      <c r="A56" s="165" t="s">
        <v>96</v>
      </c>
      <c r="C56" s="54">
        <v>3</v>
      </c>
      <c r="D56" s="80" t="s">
        <v>1175</v>
      </c>
      <c r="E56" s="155"/>
    </row>
    <row r="57" spans="1:12" x14ac:dyDescent="0.3">
      <c r="A57" s="165" t="s">
        <v>98</v>
      </c>
      <c r="C57" s="54">
        <v>2</v>
      </c>
      <c r="D57" s="80" t="s">
        <v>1037</v>
      </c>
      <c r="E57" s="155"/>
    </row>
    <row r="58" spans="1:12" x14ac:dyDescent="0.3">
      <c r="E58" s="155"/>
    </row>
    <row r="59" spans="1:12" x14ac:dyDescent="0.3">
      <c r="A59" s="214"/>
      <c r="B59" s="66"/>
      <c r="C59" s="69"/>
      <c r="D59" s="82"/>
      <c r="E59" s="214"/>
      <c r="F59" s="66"/>
      <c r="G59" s="66"/>
      <c r="H59" s="66"/>
      <c r="I59" s="66"/>
      <c r="J59" s="66"/>
      <c r="K59" s="69"/>
      <c r="L59" s="66"/>
    </row>
    <row r="60" spans="1:12" x14ac:dyDescent="0.3">
      <c r="A60" s="214"/>
      <c r="B60" s="66"/>
      <c r="C60" s="69"/>
      <c r="D60" s="82"/>
      <c r="E60" s="214"/>
      <c r="F60" s="66"/>
      <c r="G60" s="66"/>
      <c r="H60" s="66"/>
      <c r="I60" s="66"/>
      <c r="J60" s="66"/>
      <c r="K60" s="69"/>
      <c r="L60" s="66"/>
    </row>
    <row r="61" spans="1:12" x14ac:dyDescent="0.3">
      <c r="A61" s="155"/>
      <c r="C61" s="54"/>
      <c r="D61" s="80"/>
      <c r="E61" s="155"/>
    </row>
    <row r="62" spans="1:12" x14ac:dyDescent="0.3">
      <c r="A62" s="55" t="s">
        <v>1028</v>
      </c>
      <c r="C62" s="75" t="s">
        <v>203</v>
      </c>
      <c r="D62" s="80" t="s">
        <v>61</v>
      </c>
    </row>
    <row r="63" spans="1:12" x14ac:dyDescent="0.3">
      <c r="A63" s="165" t="s">
        <v>1176</v>
      </c>
      <c r="C63" s="54">
        <v>-3</v>
      </c>
      <c r="D63" s="80" t="s">
        <v>1189</v>
      </c>
    </row>
    <row r="64" spans="1:12" x14ac:dyDescent="0.3">
      <c r="A64" s="63"/>
      <c r="D64" s="239" t="s">
        <v>1188</v>
      </c>
    </row>
    <row r="65" spans="1:12" x14ac:dyDescent="0.3">
      <c r="A65" s="165" t="s">
        <v>1177</v>
      </c>
      <c r="C65" s="54">
        <v>-3</v>
      </c>
      <c r="D65" s="239" t="s">
        <v>1187</v>
      </c>
    </row>
    <row r="66" spans="1:12" x14ac:dyDescent="0.3">
      <c r="A66" s="165"/>
      <c r="C66" s="54"/>
      <c r="D66" s="80"/>
    </row>
    <row r="67" spans="1:12" x14ac:dyDescent="0.3">
      <c r="A67" s="242"/>
      <c r="B67" s="66"/>
      <c r="C67" s="69"/>
      <c r="D67" s="82"/>
      <c r="E67" s="66"/>
      <c r="F67" s="66"/>
      <c r="G67" s="66"/>
      <c r="H67" s="66"/>
      <c r="I67" s="66"/>
      <c r="J67" s="66"/>
      <c r="K67" s="69"/>
      <c r="L67" s="66"/>
    </row>
    <row r="68" spans="1:12" x14ac:dyDescent="0.3">
      <c r="A68" s="242"/>
      <c r="B68" s="66"/>
      <c r="C68" s="69"/>
      <c r="D68" s="82"/>
      <c r="E68" s="66"/>
      <c r="F68" s="66"/>
      <c r="G68" s="66"/>
      <c r="H68" s="66"/>
      <c r="I68" s="66"/>
      <c r="J68" s="66"/>
      <c r="K68" s="69"/>
      <c r="L68" s="66"/>
    </row>
    <row r="70" spans="1:12" x14ac:dyDescent="0.3">
      <c r="A70" s="66"/>
      <c r="B70" s="66"/>
      <c r="C70" s="66"/>
      <c r="D70" s="66"/>
      <c r="E70" s="66"/>
      <c r="F70" s="66"/>
      <c r="G70" s="66"/>
      <c r="H70" s="66"/>
      <c r="I70" s="66"/>
      <c r="J70" s="66"/>
      <c r="K70" s="69"/>
      <c r="L70" s="66"/>
    </row>
    <row r="71" spans="1:12" x14ac:dyDescent="0.3">
      <c r="A71" s="66"/>
      <c r="B71" s="66"/>
      <c r="C71" s="66"/>
      <c r="D71" s="66"/>
      <c r="E71" s="66"/>
      <c r="F71" s="66"/>
      <c r="G71" s="66"/>
      <c r="H71" s="66"/>
      <c r="I71" s="66"/>
      <c r="J71" s="66"/>
      <c r="K71" s="69"/>
      <c r="L71" s="66"/>
    </row>
    <row r="73" spans="1:12" x14ac:dyDescent="0.3">
      <c r="A73" s="57" t="s">
        <v>105</v>
      </c>
      <c r="C73" s="63" t="s">
        <v>1205</v>
      </c>
    </row>
    <row r="74" spans="1:12" x14ac:dyDescent="0.3">
      <c r="A74" s="57" t="s">
        <v>106</v>
      </c>
      <c r="C74" s="63" t="s">
        <v>1190</v>
      </c>
    </row>
    <row r="75" spans="1:12" x14ac:dyDescent="0.3">
      <c r="A75" s="57" t="s">
        <v>98</v>
      </c>
      <c r="C75" s="63" t="s">
        <v>1191</v>
      </c>
    </row>
    <row r="76" spans="1:12" x14ac:dyDescent="0.3">
      <c r="A76" s="57" t="s">
        <v>108</v>
      </c>
      <c r="C76" s="100"/>
      <c r="D76" s="61"/>
      <c r="E76" s="61"/>
      <c r="F76" s="61"/>
      <c r="G76" s="61"/>
      <c r="H76" s="61"/>
      <c r="I76" s="61"/>
      <c r="J76" s="61"/>
      <c r="K76" s="78"/>
      <c r="L76" s="61"/>
    </row>
    <row r="78" spans="1:12" x14ac:dyDescent="0.3">
      <c r="A78" s="57" t="s">
        <v>110</v>
      </c>
      <c r="C78" s="57" t="s">
        <v>109</v>
      </c>
      <c r="E78" s="57" t="s">
        <v>61</v>
      </c>
    </row>
    <row r="79" spans="1:12" x14ac:dyDescent="0.3">
      <c r="A79" s="80" t="s">
        <v>1039</v>
      </c>
      <c r="B79" s="80"/>
      <c r="C79" s="80" t="s">
        <v>1192</v>
      </c>
      <c r="E79" s="57" t="s">
        <v>1193</v>
      </c>
    </row>
    <row r="80" spans="1:12" x14ac:dyDescent="0.3">
      <c r="A80" s="81"/>
      <c r="B80" s="81"/>
      <c r="C80" s="81"/>
      <c r="D80" s="61"/>
      <c r="E80" s="61"/>
      <c r="F80" s="61"/>
      <c r="G80" s="61"/>
      <c r="H80" s="61"/>
      <c r="I80" s="61"/>
      <c r="J80" s="61"/>
      <c r="K80" s="78"/>
      <c r="L80" s="61"/>
    </row>
    <row r="81" spans="1:12" x14ac:dyDescent="0.3">
      <c r="A81" s="82"/>
      <c r="B81" s="82"/>
      <c r="C81" s="82"/>
      <c r="D81" s="66"/>
      <c r="E81" s="66"/>
      <c r="F81" s="66"/>
      <c r="G81" s="66"/>
      <c r="H81" s="66"/>
      <c r="I81" s="66"/>
      <c r="J81" s="66"/>
      <c r="K81" s="69"/>
      <c r="L81" s="66"/>
    </row>
    <row r="83" spans="1:12" x14ac:dyDescent="0.3">
      <c r="B83" s="54" t="s">
        <v>17</v>
      </c>
      <c r="J83" s="54" t="s">
        <v>123</v>
      </c>
      <c r="K83" s="57"/>
      <c r="L83" s="54"/>
    </row>
    <row r="84" spans="1:12" x14ac:dyDescent="0.3">
      <c r="A84" s="80" t="s">
        <v>113</v>
      </c>
      <c r="C84" s="212">
        <v>35</v>
      </c>
      <c r="E84" s="80" t="s">
        <v>118</v>
      </c>
      <c r="G84" s="212" t="s">
        <v>1196</v>
      </c>
      <c r="I84" s="57" t="s">
        <v>0</v>
      </c>
      <c r="K84" s="57" t="s">
        <v>87</v>
      </c>
    </row>
    <row r="85" spans="1:12" x14ac:dyDescent="0.3">
      <c r="A85" s="80" t="s">
        <v>112</v>
      </c>
      <c r="B85" s="66"/>
      <c r="C85" s="211">
        <v>0</v>
      </c>
      <c r="E85" s="80" t="s">
        <v>119</v>
      </c>
      <c r="F85" s="66"/>
      <c r="G85" s="236" t="s">
        <v>392</v>
      </c>
      <c r="I85" s="66"/>
      <c r="J85" s="66"/>
      <c r="K85" s="66"/>
      <c r="L85" s="69"/>
    </row>
    <row r="86" spans="1:12" x14ac:dyDescent="0.3">
      <c r="A86" s="80" t="s">
        <v>114</v>
      </c>
      <c r="C86" s="213">
        <v>32939</v>
      </c>
      <c r="E86" s="80" t="s">
        <v>120</v>
      </c>
      <c r="G86" s="212" t="s">
        <v>1197</v>
      </c>
      <c r="I86" s="85"/>
      <c r="J86" s="85"/>
      <c r="K86" s="85"/>
      <c r="L86" s="131"/>
    </row>
    <row r="87" spans="1:12" x14ac:dyDescent="0.3">
      <c r="A87" s="80" t="s">
        <v>115</v>
      </c>
      <c r="B87" s="66"/>
      <c r="C87" s="213">
        <v>45943</v>
      </c>
      <c r="E87" s="80" t="s">
        <v>121</v>
      </c>
      <c r="F87" s="66"/>
      <c r="G87" s="211" t="s">
        <v>1198</v>
      </c>
      <c r="I87" s="66"/>
      <c r="J87" s="66"/>
      <c r="K87" s="66"/>
      <c r="L87" s="69"/>
    </row>
    <row r="88" spans="1:12" x14ac:dyDescent="0.3">
      <c r="A88" s="80" t="s">
        <v>116</v>
      </c>
      <c r="C88" s="212" t="s">
        <v>1194</v>
      </c>
      <c r="E88" s="80" t="s">
        <v>122</v>
      </c>
      <c r="G88" s="212" t="s">
        <v>1199</v>
      </c>
      <c r="K88" s="57"/>
      <c r="L88" s="54"/>
    </row>
    <row r="89" spans="1:12" x14ac:dyDescent="0.3">
      <c r="A89" s="80" t="s">
        <v>117</v>
      </c>
      <c r="B89" s="66"/>
      <c r="C89" s="211" t="s">
        <v>1195</v>
      </c>
      <c r="E89" s="80"/>
      <c r="F89" s="66"/>
      <c r="G89" s="211"/>
      <c r="I89" s="66"/>
      <c r="J89" s="66"/>
      <c r="K89" s="66"/>
      <c r="L89" s="69"/>
    </row>
    <row r="90" spans="1:12" x14ac:dyDescent="0.3">
      <c r="I90" s="61"/>
      <c r="J90" s="61"/>
      <c r="K90" s="61"/>
      <c r="L90" s="78"/>
    </row>
    <row r="92" spans="1:12" x14ac:dyDescent="0.3">
      <c r="A92" s="90" t="s">
        <v>1070</v>
      </c>
    </row>
    <row r="93" spans="1:12" x14ac:dyDescent="0.3">
      <c r="A93" s="237" t="s">
        <v>1200</v>
      </c>
      <c r="B93" s="237"/>
      <c r="C93" s="237"/>
      <c r="D93" s="237"/>
      <c r="E93" s="237"/>
      <c r="F93" s="237"/>
      <c r="G93" s="237"/>
      <c r="H93" s="237"/>
      <c r="I93" s="237"/>
      <c r="J93" s="237"/>
      <c r="K93" s="237"/>
      <c r="L93" s="237"/>
    </row>
    <row r="94" spans="1:12" x14ac:dyDescent="0.3">
      <c r="A94" s="237"/>
      <c r="B94" s="237"/>
      <c r="C94" s="237"/>
      <c r="D94" s="237"/>
      <c r="E94" s="237"/>
      <c r="F94" s="237"/>
      <c r="G94" s="237"/>
      <c r="H94" s="237"/>
      <c r="I94" s="237"/>
      <c r="J94" s="237"/>
      <c r="K94" s="237"/>
      <c r="L94" s="237"/>
    </row>
    <row r="95" spans="1:12" x14ac:dyDescent="0.3">
      <c r="A95" s="237"/>
      <c r="B95" s="237"/>
      <c r="C95" s="237"/>
      <c r="D95" s="237"/>
      <c r="E95" s="237"/>
      <c r="F95" s="237"/>
      <c r="G95" s="237"/>
      <c r="H95" s="237"/>
      <c r="I95" s="237"/>
      <c r="J95" s="237"/>
      <c r="K95" s="237"/>
      <c r="L95" s="237"/>
    </row>
    <row r="96" spans="1:12" x14ac:dyDescent="0.3">
      <c r="A96" s="237"/>
      <c r="B96" s="237"/>
      <c r="C96" s="237"/>
      <c r="D96" s="237"/>
      <c r="E96" s="237"/>
      <c r="F96" s="237"/>
      <c r="G96" s="237"/>
      <c r="H96" s="237"/>
      <c r="I96" s="237"/>
      <c r="J96" s="237"/>
      <c r="K96" s="237"/>
      <c r="L96" s="237"/>
    </row>
    <row r="97" spans="1:12" x14ac:dyDescent="0.3">
      <c r="A97" s="90" t="s">
        <v>6</v>
      </c>
    </row>
    <row r="98" spans="1:12" x14ac:dyDescent="0.3">
      <c r="A98" s="216" t="s">
        <v>1204</v>
      </c>
      <c r="B98" s="216"/>
      <c r="C98" s="216"/>
      <c r="D98" s="216"/>
      <c r="E98" s="216"/>
      <c r="F98" s="216"/>
      <c r="G98" s="216"/>
      <c r="H98" s="216"/>
      <c r="I98" s="216"/>
      <c r="J98" s="216"/>
      <c r="K98" s="216"/>
      <c r="L98" s="216"/>
    </row>
    <row r="99" spans="1:12" x14ac:dyDescent="0.3">
      <c r="A99" s="216"/>
      <c r="B99" s="216"/>
      <c r="C99" s="216"/>
      <c r="D99" s="216"/>
      <c r="E99" s="216"/>
      <c r="F99" s="216"/>
      <c r="G99" s="216"/>
      <c r="H99" s="216"/>
      <c r="I99" s="216"/>
      <c r="J99" s="216"/>
      <c r="K99" s="216"/>
      <c r="L99" s="216"/>
    </row>
    <row r="100" spans="1:12" x14ac:dyDescent="0.3">
      <c r="A100" s="216"/>
      <c r="B100" s="216"/>
      <c r="C100" s="216"/>
      <c r="D100" s="216"/>
      <c r="E100" s="216"/>
      <c r="F100" s="216"/>
      <c r="G100" s="216"/>
      <c r="H100" s="216"/>
      <c r="I100" s="216"/>
      <c r="J100" s="216"/>
      <c r="K100" s="216"/>
      <c r="L100" s="216"/>
    </row>
    <row r="101" spans="1:12" x14ac:dyDescent="0.3">
      <c r="F101" s="72" t="s">
        <v>1066</v>
      </c>
    </row>
    <row r="102" spans="1:12" ht="13.8" customHeight="1" x14ac:dyDescent="0.3">
      <c r="A102" s="57" t="s">
        <v>78</v>
      </c>
      <c r="C102" s="57" t="s">
        <v>73</v>
      </c>
      <c r="D102" s="57" t="s">
        <v>81</v>
      </c>
      <c r="E102" s="57" t="s">
        <v>79</v>
      </c>
    </row>
    <row r="103" spans="1:12" x14ac:dyDescent="0.3">
      <c r="A103" s="82" t="s">
        <v>407</v>
      </c>
      <c r="B103" s="66"/>
      <c r="C103" s="169">
        <v>1</v>
      </c>
      <c r="D103" s="134" t="s">
        <v>1068</v>
      </c>
      <c r="E103" s="82" t="s">
        <v>483</v>
      </c>
      <c r="F103" s="66"/>
      <c r="G103" s="66"/>
      <c r="H103" s="66"/>
      <c r="I103" s="66"/>
      <c r="J103" s="66"/>
      <c r="K103" s="69"/>
      <c r="L103" s="66"/>
    </row>
    <row r="104" spans="1:12" x14ac:dyDescent="0.3">
      <c r="A104" s="80" t="s">
        <v>1185</v>
      </c>
      <c r="C104" s="169" t="s">
        <v>131</v>
      </c>
      <c r="D104" s="134" t="s">
        <v>1071</v>
      </c>
      <c r="E104" s="238" t="s">
        <v>1186</v>
      </c>
    </row>
    <row r="105" spans="1:12" x14ac:dyDescent="0.3">
      <c r="A105" s="66"/>
      <c r="B105" s="66"/>
      <c r="C105" s="66"/>
      <c r="D105" s="134"/>
      <c r="E105" s="99"/>
      <c r="F105" s="66"/>
      <c r="G105" s="66"/>
      <c r="H105" s="66"/>
      <c r="I105" s="66"/>
      <c r="J105" s="66"/>
      <c r="K105" s="69"/>
      <c r="L105" s="66"/>
    </row>
    <row r="106" spans="1:12" x14ac:dyDescent="0.3">
      <c r="D106" s="134"/>
      <c r="E106" s="99"/>
    </row>
    <row r="107" spans="1:12" x14ac:dyDescent="0.3">
      <c r="A107" s="66"/>
      <c r="B107" s="66"/>
      <c r="C107" s="66"/>
      <c r="D107" s="134"/>
      <c r="E107" s="99"/>
      <c r="F107" s="66"/>
      <c r="G107" s="66"/>
      <c r="H107" s="66"/>
      <c r="I107" s="66"/>
      <c r="J107" s="66"/>
      <c r="K107" s="69"/>
      <c r="L107" s="66"/>
    </row>
    <row r="108" spans="1:12" x14ac:dyDescent="0.3">
      <c r="A108" s="66"/>
      <c r="B108" s="66"/>
      <c r="C108" s="66"/>
      <c r="D108" s="66"/>
      <c r="E108" s="66"/>
      <c r="F108" s="66"/>
      <c r="G108" s="66"/>
      <c r="H108" s="66"/>
      <c r="I108" s="66"/>
      <c r="J108" s="66"/>
      <c r="K108" s="69"/>
      <c r="L108" s="66"/>
    </row>
    <row r="110" spans="1:12" x14ac:dyDescent="0.3">
      <c r="F110" s="72" t="s">
        <v>80</v>
      </c>
    </row>
    <row r="111" spans="1:12" ht="13.8" customHeight="1" x14ac:dyDescent="0.3">
      <c r="A111" s="80" t="s">
        <v>81</v>
      </c>
      <c r="B111" s="80" t="s">
        <v>82</v>
      </c>
      <c r="C111" s="80" t="s">
        <v>61</v>
      </c>
      <c r="D111" s="80"/>
      <c r="E111" s="80"/>
      <c r="F111" s="80" t="s">
        <v>83</v>
      </c>
      <c r="G111" s="80" t="s">
        <v>86</v>
      </c>
      <c r="H111" s="80" t="s">
        <v>85</v>
      </c>
      <c r="I111" s="80" t="s">
        <v>84</v>
      </c>
      <c r="J111" s="80" t="s">
        <v>87</v>
      </c>
      <c r="K111" s="75"/>
      <c r="L111" s="80"/>
    </row>
    <row r="113" spans="1:12" x14ac:dyDescent="0.3">
      <c r="A113" s="66"/>
      <c r="B113" s="66"/>
      <c r="C113" s="66"/>
      <c r="D113" s="66"/>
      <c r="E113" s="66"/>
      <c r="F113" s="66"/>
      <c r="G113" s="66"/>
      <c r="H113" s="66"/>
      <c r="I113" s="66"/>
      <c r="J113" s="66"/>
      <c r="K113" s="69"/>
      <c r="L113" s="66"/>
    </row>
    <row r="115" spans="1:12" x14ac:dyDescent="0.3">
      <c r="A115" s="66"/>
      <c r="B115" s="66"/>
      <c r="C115" s="66"/>
      <c r="D115" s="66"/>
      <c r="E115" s="66"/>
      <c r="F115" s="66"/>
      <c r="G115" s="66"/>
      <c r="H115" s="66"/>
      <c r="I115" s="66"/>
      <c r="J115" s="66"/>
      <c r="K115" s="69"/>
      <c r="L115" s="66"/>
    </row>
    <row r="117" spans="1:12" x14ac:dyDescent="0.3">
      <c r="A117" s="66"/>
      <c r="B117" s="66"/>
      <c r="C117" s="66"/>
      <c r="D117" s="66"/>
      <c r="E117" s="66"/>
      <c r="F117" s="66"/>
      <c r="G117" s="66"/>
      <c r="H117" s="66"/>
      <c r="I117" s="66"/>
      <c r="J117" s="66"/>
      <c r="K117" s="69"/>
      <c r="L117" s="66"/>
    </row>
    <row r="119" spans="1:12" x14ac:dyDescent="0.3">
      <c r="A119" s="66"/>
      <c r="B119" s="66"/>
      <c r="C119" s="66"/>
      <c r="D119" s="66"/>
      <c r="E119" s="66"/>
      <c r="F119" s="66"/>
      <c r="G119" s="66"/>
      <c r="H119" s="66"/>
      <c r="I119" s="66"/>
      <c r="J119" s="66"/>
      <c r="K119" s="69"/>
      <c r="L119" s="66"/>
    </row>
    <row r="121" spans="1:12" x14ac:dyDescent="0.3">
      <c r="A121" s="66"/>
      <c r="B121" s="66"/>
      <c r="C121" s="66"/>
      <c r="D121" s="66"/>
      <c r="E121" s="66"/>
      <c r="F121" s="66"/>
      <c r="G121" s="66"/>
      <c r="H121" s="66"/>
      <c r="I121" s="66"/>
      <c r="J121" s="66"/>
      <c r="K121" s="69"/>
      <c r="L121" s="66"/>
    </row>
    <row r="123" spans="1:12" x14ac:dyDescent="0.3">
      <c r="F123" s="72" t="s">
        <v>1131</v>
      </c>
    </row>
    <row r="124" spans="1:12" x14ac:dyDescent="0.3">
      <c r="A124" s="63" t="s">
        <v>1173</v>
      </c>
      <c r="B124" s="63"/>
      <c r="C124" s="155" t="s">
        <v>96</v>
      </c>
      <c r="D124" s="63" t="s">
        <v>1174</v>
      </c>
    </row>
    <row r="125" spans="1:12" x14ac:dyDescent="0.3">
      <c r="A125" s="232" t="s">
        <v>1180</v>
      </c>
      <c r="B125" s="232"/>
      <c r="C125" s="240" t="s">
        <v>1181</v>
      </c>
      <c r="D125" s="241" t="s">
        <v>1182</v>
      </c>
      <c r="E125" s="233"/>
      <c r="F125" s="233"/>
      <c r="G125" s="233"/>
      <c r="H125" s="233"/>
      <c r="I125" s="233"/>
      <c r="J125" s="233"/>
      <c r="K125" s="234"/>
      <c r="L125" s="233"/>
    </row>
    <row r="126" spans="1:12" ht="13.8" customHeight="1" x14ac:dyDescent="0.3">
      <c r="A126" s="232" t="s">
        <v>1183</v>
      </c>
      <c r="B126" s="232"/>
      <c r="C126" s="240" t="s">
        <v>1181</v>
      </c>
      <c r="D126" s="232" t="s">
        <v>1184</v>
      </c>
      <c r="E126" s="233"/>
      <c r="F126" s="233"/>
      <c r="G126" s="233"/>
      <c r="H126" s="233"/>
      <c r="I126" s="233"/>
      <c r="J126" s="233"/>
      <c r="K126" s="234"/>
      <c r="L126" s="233"/>
    </row>
    <row r="127" spans="1:12" ht="13.8" customHeight="1" x14ac:dyDescent="0.3">
      <c r="A127" s="100"/>
      <c r="B127" s="100"/>
      <c r="C127" s="100"/>
      <c r="D127" s="100"/>
      <c r="E127" s="61"/>
      <c r="F127" s="61"/>
      <c r="G127" s="61"/>
      <c r="H127" s="61"/>
      <c r="I127" s="61"/>
      <c r="J127" s="61"/>
      <c r="K127" s="78"/>
      <c r="L127" s="61"/>
    </row>
    <row r="128" spans="1:12" x14ac:dyDescent="0.3">
      <c r="A128" s="61"/>
      <c r="B128" s="61"/>
      <c r="C128" s="61"/>
      <c r="D128" s="61"/>
      <c r="E128" s="61"/>
      <c r="F128" s="61"/>
      <c r="G128" s="61"/>
      <c r="H128" s="61"/>
      <c r="I128" s="61"/>
      <c r="J128" s="61"/>
      <c r="K128" s="78"/>
      <c r="L128" s="61"/>
    </row>
    <row r="129" spans="1:12" x14ac:dyDescent="0.3">
      <c r="A129" s="63"/>
      <c r="B129" s="63"/>
      <c r="C129" s="63"/>
      <c r="D129" s="63"/>
    </row>
    <row r="130" spans="1:12" x14ac:dyDescent="0.3">
      <c r="A130" s="99"/>
      <c r="B130" s="99"/>
      <c r="C130" s="99"/>
      <c r="D130" s="99"/>
      <c r="E130" s="66"/>
      <c r="F130" s="66"/>
      <c r="G130" s="66"/>
      <c r="H130" s="66"/>
      <c r="I130" s="66"/>
      <c r="J130" s="66"/>
      <c r="K130" s="69"/>
      <c r="L130" s="66"/>
    </row>
    <row r="132" spans="1:12" x14ac:dyDescent="0.3">
      <c r="A132" s="66"/>
      <c r="B132" s="66"/>
      <c r="C132" s="66"/>
      <c r="D132" s="66"/>
      <c r="E132" s="66"/>
      <c r="F132" s="66"/>
      <c r="G132" s="66"/>
      <c r="H132" s="66"/>
      <c r="I132" s="66"/>
      <c r="J132" s="66"/>
      <c r="K132" s="69"/>
      <c r="L132" s="66"/>
    </row>
    <row r="134" spans="1:12" x14ac:dyDescent="0.3">
      <c r="B134" s="72" t="s">
        <v>72</v>
      </c>
      <c r="F134" s="101" t="s">
        <v>373</v>
      </c>
      <c r="J134" s="54" t="s">
        <v>74</v>
      </c>
    </row>
    <row r="135" spans="1:12" x14ac:dyDescent="0.3">
      <c r="A135" s="57" t="s">
        <v>0</v>
      </c>
      <c r="B135" s="57" t="s">
        <v>73</v>
      </c>
      <c r="C135" s="57" t="s">
        <v>61</v>
      </c>
      <c r="E135" s="76" t="s">
        <v>61</v>
      </c>
      <c r="I135" s="76" t="s">
        <v>75</v>
      </c>
      <c r="K135" s="69"/>
      <c r="L135" s="66"/>
    </row>
    <row r="136" spans="1:12" x14ac:dyDescent="0.3">
      <c r="A136" s="76"/>
      <c r="E136" s="76"/>
      <c r="I136" s="76" t="s">
        <v>76</v>
      </c>
      <c r="K136" s="69"/>
      <c r="L136" s="66"/>
    </row>
    <row r="137" spans="1:12" x14ac:dyDescent="0.3">
      <c r="A137" s="94"/>
      <c r="B137" s="66"/>
      <c r="C137" s="66"/>
      <c r="D137" s="66"/>
      <c r="E137" s="94"/>
      <c r="F137" s="66"/>
      <c r="G137" s="66"/>
      <c r="H137" s="66"/>
      <c r="I137" s="94"/>
      <c r="J137" s="66"/>
      <c r="K137" s="69"/>
      <c r="L137" s="66"/>
    </row>
    <row r="138" spans="1:12" x14ac:dyDescent="0.3">
      <c r="A138" s="76"/>
      <c r="E138" s="76"/>
      <c r="I138" s="76"/>
    </row>
    <row r="139" spans="1:12" x14ac:dyDescent="0.3">
      <c r="A139" s="94"/>
      <c r="B139" s="66"/>
      <c r="C139" s="66"/>
      <c r="D139" s="66"/>
      <c r="E139" s="94"/>
      <c r="F139" s="66"/>
      <c r="G139" s="66"/>
      <c r="H139" s="66"/>
      <c r="I139" s="94"/>
      <c r="J139" s="66"/>
      <c r="K139" s="69"/>
      <c r="L139" s="66"/>
    </row>
    <row r="140" spans="1:12" x14ac:dyDescent="0.3">
      <c r="A140" s="76"/>
      <c r="E140" s="76"/>
      <c r="I140" s="76"/>
    </row>
    <row r="141" spans="1:12" x14ac:dyDescent="0.3">
      <c r="A141" s="94"/>
      <c r="B141" s="66"/>
      <c r="C141" s="66"/>
      <c r="D141" s="66"/>
      <c r="E141" s="94"/>
      <c r="F141" s="66"/>
      <c r="G141" s="66"/>
      <c r="H141" s="66"/>
      <c r="I141" s="94"/>
      <c r="J141" s="66"/>
      <c r="K141" s="69"/>
      <c r="L141" s="66"/>
    </row>
    <row r="143" spans="1:12" x14ac:dyDescent="0.3">
      <c r="A143" s="80" t="s">
        <v>88</v>
      </c>
      <c r="B143" s="80" t="s">
        <v>89</v>
      </c>
      <c r="C143" s="80" t="s">
        <v>486</v>
      </c>
      <c r="D143" s="80" t="s">
        <v>90</v>
      </c>
      <c r="E143" s="80" t="s">
        <v>91</v>
      </c>
      <c r="F143" s="80" t="s">
        <v>92</v>
      </c>
      <c r="G143" s="80" t="s">
        <v>93</v>
      </c>
      <c r="H143" s="80" t="s">
        <v>87</v>
      </c>
      <c r="J143" s="57" t="s">
        <v>94</v>
      </c>
    </row>
    <row r="145" spans="1:12" x14ac:dyDescent="0.3">
      <c r="A145" s="99" t="s">
        <v>484</v>
      </c>
      <c r="B145" s="134" t="s">
        <v>485</v>
      </c>
      <c r="C145" s="134">
        <v>6</v>
      </c>
      <c r="D145" s="134" t="s">
        <v>492</v>
      </c>
      <c r="E145" s="134">
        <v>0</v>
      </c>
      <c r="F145" s="134">
        <v>0</v>
      </c>
      <c r="G145" s="134"/>
      <c r="H145" s="82" t="s">
        <v>143</v>
      </c>
      <c r="J145" s="66"/>
      <c r="K145" s="69"/>
      <c r="L145" s="66"/>
    </row>
    <row r="146" spans="1:12" x14ac:dyDescent="0.3">
      <c r="A146" s="99" t="s">
        <v>487</v>
      </c>
      <c r="B146" s="134" t="s">
        <v>485</v>
      </c>
      <c r="C146" s="134">
        <v>6</v>
      </c>
      <c r="D146" s="134">
        <v>0</v>
      </c>
      <c r="E146" s="134">
        <v>0</v>
      </c>
      <c r="F146" s="134">
        <v>0</v>
      </c>
      <c r="G146" s="134"/>
      <c r="H146" s="82" t="s">
        <v>490</v>
      </c>
    </row>
    <row r="147" spans="1:12" x14ac:dyDescent="0.3">
      <c r="A147" s="99" t="s">
        <v>489</v>
      </c>
      <c r="B147" s="134" t="s">
        <v>488</v>
      </c>
      <c r="C147" s="134">
        <v>5</v>
      </c>
      <c r="D147" s="134">
        <v>0</v>
      </c>
      <c r="E147" s="134">
        <v>0</v>
      </c>
      <c r="F147" s="134">
        <v>0</v>
      </c>
      <c r="G147" s="134"/>
      <c r="H147" s="82" t="s">
        <v>142</v>
      </c>
      <c r="J147" s="66"/>
      <c r="K147" s="69"/>
      <c r="L147" s="66"/>
    </row>
    <row r="148" spans="1:12" x14ac:dyDescent="0.3">
      <c r="A148" s="99" t="s">
        <v>491</v>
      </c>
      <c r="B148" s="134">
        <v>4</v>
      </c>
      <c r="C148" s="134">
        <v>6</v>
      </c>
      <c r="D148" s="134">
        <v>12</v>
      </c>
      <c r="E148" s="134">
        <v>3</v>
      </c>
      <c r="F148" s="134">
        <v>6</v>
      </c>
      <c r="G148" s="134" t="s">
        <v>493</v>
      </c>
      <c r="H148" s="82" t="s">
        <v>143</v>
      </c>
    </row>
    <row r="149" spans="1:12" x14ac:dyDescent="0.3">
      <c r="A149" s="99"/>
      <c r="B149" s="99"/>
      <c r="C149" s="134"/>
      <c r="D149" s="134"/>
      <c r="E149" s="134"/>
      <c r="F149" s="134"/>
      <c r="G149" s="99"/>
      <c r="H149" s="82"/>
      <c r="J149" s="66"/>
      <c r="K149" s="69"/>
      <c r="L149" s="66"/>
    </row>
    <row r="150" spans="1:12" x14ac:dyDescent="0.3">
      <c r="A150" s="66"/>
      <c r="B150" s="66"/>
      <c r="C150" s="66"/>
      <c r="D150" s="66"/>
      <c r="E150" s="66"/>
      <c r="F150" s="66"/>
      <c r="G150" s="66"/>
      <c r="H150" s="66"/>
      <c r="J150" s="66"/>
      <c r="K150" s="69"/>
      <c r="L150" s="66"/>
    </row>
    <row r="175" ht="13.8" customHeight="1" x14ac:dyDescent="0.3"/>
    <row r="179" ht="13.2" customHeight="1" x14ac:dyDescent="0.3"/>
    <row r="180" ht="13.8" customHeight="1" x14ac:dyDescent="0.3"/>
    <row r="181" ht="13.8" customHeight="1" x14ac:dyDescent="0.3"/>
    <row r="199" spans="1:12" x14ac:dyDescent="0.3">
      <c r="F199" s="72"/>
    </row>
    <row r="201" spans="1:12" x14ac:dyDescent="0.3">
      <c r="A201" s="63"/>
    </row>
    <row r="202" spans="1:12" x14ac:dyDescent="0.3">
      <c r="A202" s="63"/>
    </row>
    <row r="204" spans="1:12" x14ac:dyDescent="0.3">
      <c r="A204" s="63"/>
      <c r="C204" s="63"/>
      <c r="D204" s="63"/>
      <c r="E204" s="63"/>
      <c r="F204" s="63"/>
      <c r="G204" s="63"/>
      <c r="H204" s="63"/>
      <c r="I204" s="63"/>
      <c r="J204" s="63"/>
      <c r="K204" s="63"/>
      <c r="L204" s="63"/>
    </row>
    <row r="205" spans="1:12" x14ac:dyDescent="0.3">
      <c r="D205" s="63"/>
      <c r="E205" s="63"/>
      <c r="F205" s="63"/>
      <c r="G205" s="63"/>
      <c r="H205" s="63"/>
      <c r="I205" s="63"/>
      <c r="J205" s="63"/>
      <c r="K205" s="63"/>
      <c r="L205" s="63"/>
    </row>
    <row r="206" spans="1:12" x14ac:dyDescent="0.3">
      <c r="A206" s="63"/>
      <c r="B206" s="63"/>
      <c r="C206" s="63"/>
      <c r="D206" s="63"/>
      <c r="E206" s="63"/>
      <c r="F206" s="63"/>
      <c r="G206" s="63"/>
      <c r="H206" s="63"/>
      <c r="I206" s="63"/>
      <c r="J206" s="63"/>
      <c r="K206" s="63"/>
      <c r="L206" s="63"/>
    </row>
    <row r="207" spans="1:12" x14ac:dyDescent="0.3">
      <c r="B207" s="63"/>
      <c r="C207" s="63"/>
      <c r="D207" s="63"/>
      <c r="E207" s="63"/>
      <c r="F207" s="63"/>
      <c r="G207" s="63"/>
      <c r="H207" s="63"/>
      <c r="I207" s="63"/>
      <c r="J207" s="63"/>
      <c r="K207" s="63"/>
      <c r="L207" s="63"/>
    </row>
    <row r="208" spans="1:12" x14ac:dyDescent="0.3">
      <c r="A208" s="63"/>
      <c r="B208" s="63"/>
      <c r="C208" s="63"/>
      <c r="D208" s="63"/>
      <c r="E208" s="63"/>
      <c r="F208" s="63"/>
      <c r="G208" s="63"/>
      <c r="H208" s="63"/>
      <c r="I208" s="63"/>
      <c r="J208" s="63"/>
      <c r="K208" s="63"/>
      <c r="L208" s="63"/>
    </row>
    <row r="209" spans="1:12" x14ac:dyDescent="0.3">
      <c r="A209" s="63"/>
      <c r="B209" s="63"/>
      <c r="C209" s="63"/>
      <c r="D209" s="63"/>
      <c r="E209" s="63"/>
      <c r="F209" s="63"/>
      <c r="G209" s="63"/>
      <c r="H209" s="63"/>
      <c r="I209" s="63"/>
      <c r="J209" s="63"/>
      <c r="K209" s="63"/>
      <c r="L209" s="63"/>
    </row>
    <row r="210" spans="1:12" x14ac:dyDescent="0.3">
      <c r="A210" s="63"/>
      <c r="B210" s="63"/>
      <c r="C210" s="63"/>
      <c r="D210" s="63"/>
      <c r="E210" s="63"/>
      <c r="F210" s="63"/>
      <c r="G210" s="63"/>
      <c r="H210" s="63"/>
      <c r="I210" s="63"/>
      <c r="J210" s="63"/>
      <c r="K210" s="63"/>
      <c r="L210" s="63"/>
    </row>
    <row r="211" spans="1:12" x14ac:dyDescent="0.3">
      <c r="A211" s="63"/>
      <c r="B211" s="63"/>
      <c r="C211" s="63"/>
      <c r="D211" s="63"/>
      <c r="E211" s="63"/>
      <c r="F211" s="63"/>
      <c r="G211" s="63"/>
      <c r="H211" s="63"/>
      <c r="I211" s="63"/>
      <c r="J211" s="63"/>
      <c r="K211" s="63"/>
      <c r="L211" s="63"/>
    </row>
    <row r="212" spans="1:12" x14ac:dyDescent="0.3">
      <c r="A212" s="63"/>
      <c r="B212" s="63"/>
      <c r="C212" s="63"/>
      <c r="D212" s="63"/>
      <c r="E212" s="63"/>
      <c r="F212" s="63"/>
      <c r="G212" s="63"/>
      <c r="H212" s="63"/>
      <c r="I212" s="63"/>
      <c r="J212" s="63"/>
      <c r="K212" s="63"/>
      <c r="L212" s="63"/>
    </row>
    <row r="213" spans="1:12" x14ac:dyDescent="0.3">
      <c r="A213" s="63"/>
      <c r="B213" s="63"/>
      <c r="C213" s="63"/>
      <c r="D213" s="63"/>
      <c r="E213" s="63"/>
      <c r="F213" s="63"/>
      <c r="G213" s="63"/>
      <c r="H213" s="63"/>
      <c r="I213" s="63"/>
      <c r="J213" s="63"/>
      <c r="K213" s="63"/>
      <c r="L213" s="63"/>
    </row>
    <row r="214" spans="1:12" x14ac:dyDescent="0.3">
      <c r="A214" s="72"/>
      <c r="B214" s="90"/>
      <c r="J214" s="72"/>
      <c r="K214" s="57"/>
    </row>
    <row r="215" spans="1:12" x14ac:dyDescent="0.3">
      <c r="A215" s="72"/>
      <c r="B215" s="80"/>
      <c r="I215" s="80"/>
      <c r="K215" s="57"/>
    </row>
    <row r="216" spans="1:12" x14ac:dyDescent="0.3">
      <c r="A216" s="72"/>
      <c r="B216" s="80"/>
      <c r="I216" s="80"/>
      <c r="K216" s="57"/>
    </row>
    <row r="217" spans="1:12" x14ac:dyDescent="0.3">
      <c r="A217" s="72"/>
      <c r="B217" s="80"/>
      <c r="I217" s="80"/>
      <c r="K217" s="57"/>
    </row>
    <row r="218" spans="1:12" x14ac:dyDescent="0.3">
      <c r="A218" s="72"/>
      <c r="B218" s="80"/>
      <c r="I218" s="80"/>
      <c r="K218" s="57"/>
    </row>
    <row r="219" spans="1:12" x14ac:dyDescent="0.3">
      <c r="A219" s="72"/>
      <c r="B219" s="80"/>
      <c r="I219" s="80"/>
      <c r="K219" s="57"/>
    </row>
    <row r="220" spans="1:12" x14ac:dyDescent="0.3">
      <c r="A220" s="72"/>
      <c r="B220" s="80"/>
      <c r="I220" s="80"/>
      <c r="K220" s="57"/>
    </row>
    <row r="221" spans="1:12" x14ac:dyDescent="0.3">
      <c r="A221" s="72"/>
      <c r="B221" s="80"/>
      <c r="I221" s="80"/>
      <c r="K221" s="57"/>
    </row>
    <row r="222" spans="1:12" x14ac:dyDescent="0.3">
      <c r="A222" s="72"/>
      <c r="B222" s="80"/>
      <c r="I222" s="80"/>
      <c r="K222" s="57"/>
    </row>
    <row r="223" spans="1:12" x14ac:dyDescent="0.3">
      <c r="A223" s="72"/>
      <c r="B223" s="80"/>
    </row>
    <row r="224" spans="1:12" x14ac:dyDescent="0.3">
      <c r="A224" s="72"/>
      <c r="B224" s="80"/>
    </row>
    <row r="225" spans="1:2" x14ac:dyDescent="0.3">
      <c r="A225" s="72"/>
      <c r="B225" s="80"/>
    </row>
  </sheetData>
  <mergeCells count="2">
    <mergeCell ref="A93:L96"/>
    <mergeCell ref="A98:L100"/>
  </mergeCells>
  <pageMargins left="0.25" right="0.25" top="0.75" bottom="0.75" header="0.3" footer="0.3"/>
  <pageSetup paperSize="9" orientation="portrait" horizontalDpi="360" verticalDpi="36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20AF3-E2AF-4B08-9CF1-A8BB16CCBDFC}">
  <dimension ref="A1:L225"/>
  <sheetViews>
    <sheetView topLeftCell="A85" zoomScale="170" zoomScaleNormal="170" workbookViewId="0">
      <selection activeCell="F13" sqref="F13"/>
    </sheetView>
  </sheetViews>
  <sheetFormatPr defaultRowHeight="13.8" x14ac:dyDescent="0.3"/>
  <cols>
    <col min="1" max="10" width="8" style="57" customWidth="1"/>
    <col min="11" max="11" width="8" style="54" customWidth="1"/>
    <col min="12" max="12" width="8" style="57" customWidth="1"/>
    <col min="13" max="13" width="8.88671875" style="57"/>
    <col min="14" max="15" width="8.88671875" style="57" customWidth="1"/>
    <col min="16" max="16384" width="8.88671875" style="57"/>
  </cols>
  <sheetData>
    <row r="1" spans="1:12" ht="13.8" customHeight="1" x14ac:dyDescent="0.3">
      <c r="A1" s="90" t="s">
        <v>1010</v>
      </c>
      <c r="C1" s="61"/>
      <c r="D1" s="61"/>
      <c r="F1" s="75" t="s">
        <v>5</v>
      </c>
      <c r="G1" s="54" t="s">
        <v>1036</v>
      </c>
      <c r="H1" s="151" t="s">
        <v>173</v>
      </c>
      <c r="I1" s="81" t="s">
        <v>348</v>
      </c>
      <c r="J1" s="100"/>
      <c r="K1" s="61"/>
      <c r="L1" s="209" t="s">
        <v>1017</v>
      </c>
    </row>
    <row r="3" spans="1:12" x14ac:dyDescent="0.3">
      <c r="A3" s="156" t="s">
        <v>0</v>
      </c>
      <c r="B3" s="57" t="s">
        <v>1012</v>
      </c>
      <c r="E3" s="156" t="s">
        <v>2</v>
      </c>
      <c r="F3" s="152" t="s">
        <v>503</v>
      </c>
      <c r="H3" s="55" t="s">
        <v>1013</v>
      </c>
      <c r="K3" s="57"/>
    </row>
    <row r="4" spans="1:12" x14ac:dyDescent="0.3">
      <c r="A4" s="156" t="s">
        <v>343</v>
      </c>
      <c r="B4" s="57" t="s">
        <v>1040</v>
      </c>
      <c r="H4" s="55" t="s">
        <v>1014</v>
      </c>
    </row>
    <row r="5" spans="1:12" x14ac:dyDescent="0.3">
      <c r="A5" s="156" t="s">
        <v>4</v>
      </c>
      <c r="B5" s="152" t="s">
        <v>502</v>
      </c>
      <c r="E5" s="210" t="s">
        <v>3</v>
      </c>
      <c r="F5" s="139" t="s">
        <v>504</v>
      </c>
      <c r="G5" s="85"/>
      <c r="H5" s="140" t="s">
        <v>1015</v>
      </c>
      <c r="I5" s="85"/>
      <c r="J5" s="85"/>
      <c r="K5" s="131"/>
      <c r="L5" s="85"/>
    </row>
    <row r="6" spans="1:12" x14ac:dyDescent="0.3">
      <c r="A6" s="156" t="s">
        <v>69</v>
      </c>
      <c r="B6" s="57" t="s">
        <v>126</v>
      </c>
      <c r="H6" s="55" t="s">
        <v>1016</v>
      </c>
    </row>
    <row r="8" spans="1:12" ht="13.8" customHeight="1" x14ac:dyDescent="0.3">
      <c r="F8" s="72" t="s">
        <v>7</v>
      </c>
    </row>
    <row r="9" spans="1:12" x14ac:dyDescent="0.3">
      <c r="B9" s="72" t="s">
        <v>8</v>
      </c>
      <c r="C9" s="73"/>
      <c r="D9" s="73"/>
      <c r="E9" s="73"/>
      <c r="F9" s="72" t="s">
        <v>9</v>
      </c>
      <c r="G9" s="73"/>
      <c r="H9" s="73"/>
      <c r="I9" s="73"/>
      <c r="J9" s="72" t="s">
        <v>10</v>
      </c>
    </row>
    <row r="10" spans="1:12" x14ac:dyDescent="0.3">
      <c r="A10" s="165" t="s">
        <v>11</v>
      </c>
      <c r="B10" s="80"/>
      <c r="D10" s="163">
        <v>3</v>
      </c>
      <c r="E10" s="165" t="s">
        <v>12</v>
      </c>
      <c r="F10" s="80"/>
      <c r="H10" s="163">
        <v>3</v>
      </c>
      <c r="I10" s="165" t="s">
        <v>13</v>
      </c>
      <c r="J10" s="80"/>
      <c r="L10" s="163">
        <v>2</v>
      </c>
    </row>
    <row r="11" spans="1:12" x14ac:dyDescent="0.3">
      <c r="A11" s="165" t="s">
        <v>14</v>
      </c>
      <c r="B11" s="80"/>
      <c r="D11" s="163">
        <v>2</v>
      </c>
      <c r="E11" s="165" t="s">
        <v>16</v>
      </c>
      <c r="F11" s="80"/>
      <c r="H11" s="163">
        <v>2</v>
      </c>
      <c r="I11" s="165" t="s">
        <v>18</v>
      </c>
      <c r="J11" s="80"/>
      <c r="L11" s="163">
        <v>2</v>
      </c>
    </row>
    <row r="12" spans="1:12" x14ac:dyDescent="0.3">
      <c r="A12" s="165" t="s">
        <v>15</v>
      </c>
      <c r="B12" s="80"/>
      <c r="D12" s="163">
        <v>3</v>
      </c>
      <c r="E12" s="165" t="s">
        <v>17</v>
      </c>
      <c r="F12" s="80" t="s">
        <v>509</v>
      </c>
      <c r="H12" s="163">
        <v>5</v>
      </c>
      <c r="I12" s="165" t="s">
        <v>19</v>
      </c>
      <c r="J12" s="80"/>
      <c r="L12" s="163">
        <v>2</v>
      </c>
    </row>
    <row r="13" spans="1:12" x14ac:dyDescent="0.3">
      <c r="C13" s="75"/>
      <c r="G13" s="75"/>
      <c r="K13" s="75"/>
    </row>
    <row r="14" spans="1:12" x14ac:dyDescent="0.3">
      <c r="F14" s="72" t="s">
        <v>21</v>
      </c>
    </row>
    <row r="15" spans="1:12" ht="13.2" customHeight="1" x14ac:dyDescent="0.3">
      <c r="B15" s="72" t="s">
        <v>22</v>
      </c>
      <c r="C15" s="72"/>
      <c r="D15" s="72"/>
      <c r="E15" s="72"/>
      <c r="F15" s="72" t="s">
        <v>53</v>
      </c>
      <c r="G15" s="72"/>
      <c r="H15" s="72"/>
      <c r="I15" s="72"/>
      <c r="J15" s="72" t="s">
        <v>54</v>
      </c>
    </row>
    <row r="16" spans="1:12" x14ac:dyDescent="0.3">
      <c r="A16" s="154" t="s">
        <v>23</v>
      </c>
      <c r="B16" s="80"/>
      <c r="D16" s="163">
        <v>1</v>
      </c>
      <c r="E16" s="154" t="s">
        <v>438</v>
      </c>
      <c r="F16" s="80"/>
      <c r="G16" s="54"/>
      <c r="H16" s="163">
        <v>0</v>
      </c>
      <c r="I16" s="154" t="s">
        <v>31</v>
      </c>
      <c r="J16" s="111" t="s">
        <v>1018</v>
      </c>
      <c r="L16" s="163">
        <v>2</v>
      </c>
    </row>
    <row r="17" spans="1:12" x14ac:dyDescent="0.3">
      <c r="A17" s="154" t="s">
        <v>32</v>
      </c>
      <c r="B17" s="80"/>
      <c r="D17" s="163">
        <v>1</v>
      </c>
      <c r="E17" s="154" t="s">
        <v>33</v>
      </c>
      <c r="F17" s="80"/>
      <c r="G17" s="54"/>
      <c r="H17" s="163">
        <v>2</v>
      </c>
      <c r="I17" s="154" t="s">
        <v>34</v>
      </c>
      <c r="J17" s="80"/>
      <c r="L17" s="163">
        <v>0</v>
      </c>
    </row>
    <row r="18" spans="1:12" x14ac:dyDescent="0.3">
      <c r="A18" s="154" t="s">
        <v>436</v>
      </c>
      <c r="B18" s="80"/>
      <c r="D18" s="163">
        <v>1</v>
      </c>
      <c r="E18" s="154" t="s">
        <v>437</v>
      </c>
      <c r="F18" s="80"/>
      <c r="G18" s="54"/>
      <c r="H18" s="163">
        <v>4</v>
      </c>
      <c r="I18" s="154" t="s">
        <v>36</v>
      </c>
      <c r="J18" s="80"/>
      <c r="L18" s="163">
        <v>0</v>
      </c>
    </row>
    <row r="19" spans="1:12" x14ac:dyDescent="0.3">
      <c r="A19" s="154" t="s">
        <v>26</v>
      </c>
      <c r="B19" s="80"/>
      <c r="D19" s="163">
        <v>3</v>
      </c>
      <c r="E19" s="154" t="s">
        <v>38</v>
      </c>
      <c r="F19" s="80"/>
      <c r="G19" s="54"/>
      <c r="H19" s="163">
        <v>0</v>
      </c>
      <c r="I19" s="154" t="s">
        <v>45</v>
      </c>
      <c r="J19" s="80"/>
      <c r="L19" s="163">
        <v>0</v>
      </c>
    </row>
    <row r="20" spans="1:12" x14ac:dyDescent="0.3">
      <c r="A20" s="154" t="s">
        <v>27</v>
      </c>
      <c r="B20" s="80"/>
      <c r="D20" s="163">
        <v>3</v>
      </c>
      <c r="E20" s="154" t="s">
        <v>39</v>
      </c>
      <c r="F20" s="80"/>
      <c r="G20" s="54"/>
      <c r="H20" s="163">
        <v>2</v>
      </c>
      <c r="I20" s="154" t="s">
        <v>46</v>
      </c>
      <c r="J20" s="80"/>
      <c r="L20" s="163">
        <v>1</v>
      </c>
    </row>
    <row r="21" spans="1:12" x14ac:dyDescent="0.3">
      <c r="A21" s="154" t="s">
        <v>28</v>
      </c>
      <c r="B21" s="80"/>
      <c r="D21" s="163">
        <v>2</v>
      </c>
      <c r="E21" s="154" t="s">
        <v>40</v>
      </c>
      <c r="F21" s="80"/>
      <c r="G21" s="54"/>
      <c r="H21" s="163">
        <v>0</v>
      </c>
      <c r="I21" s="154" t="s">
        <v>47</v>
      </c>
      <c r="J21" s="80"/>
      <c r="L21" s="163">
        <v>0</v>
      </c>
    </row>
    <row r="22" spans="1:12" x14ac:dyDescent="0.3">
      <c r="A22" s="154" t="s">
        <v>24</v>
      </c>
      <c r="B22" s="80"/>
      <c r="D22" s="163">
        <v>1</v>
      </c>
      <c r="E22" s="154" t="s">
        <v>41</v>
      </c>
      <c r="F22" s="80"/>
      <c r="G22" s="54"/>
      <c r="H22" s="163">
        <v>0</v>
      </c>
      <c r="I22" s="154" t="s">
        <v>48</v>
      </c>
      <c r="J22" s="80"/>
      <c r="L22" s="163">
        <v>0</v>
      </c>
    </row>
    <row r="23" spans="1:12" x14ac:dyDescent="0.3">
      <c r="A23" s="154" t="s">
        <v>1011</v>
      </c>
      <c r="B23" s="80"/>
      <c r="D23" s="163">
        <v>0</v>
      </c>
      <c r="E23" s="154" t="s">
        <v>42</v>
      </c>
      <c r="F23" s="80"/>
      <c r="G23" s="54"/>
      <c r="H23" s="163">
        <v>0</v>
      </c>
      <c r="I23" s="154" t="s">
        <v>49</v>
      </c>
      <c r="J23" s="80"/>
      <c r="L23" s="163">
        <v>0</v>
      </c>
    </row>
    <row r="24" spans="1:12" x14ac:dyDescent="0.3">
      <c r="A24" s="154" t="s">
        <v>358</v>
      </c>
      <c r="B24" s="80"/>
      <c r="D24" s="163">
        <v>0</v>
      </c>
      <c r="E24" s="154" t="s">
        <v>43</v>
      </c>
      <c r="F24" s="80"/>
      <c r="G24" s="54"/>
      <c r="H24" s="163">
        <v>0</v>
      </c>
      <c r="I24" s="154" t="s">
        <v>50</v>
      </c>
      <c r="J24" s="80"/>
      <c r="L24" s="163">
        <v>1</v>
      </c>
    </row>
    <row r="25" spans="1:12" x14ac:dyDescent="0.3">
      <c r="A25" s="154" t="s">
        <v>29</v>
      </c>
      <c r="B25" s="80"/>
      <c r="D25" s="163">
        <v>1</v>
      </c>
      <c r="E25" s="154" t="s">
        <v>44</v>
      </c>
      <c r="F25" s="80"/>
      <c r="G25" s="54"/>
      <c r="H25" s="163">
        <v>1</v>
      </c>
      <c r="I25" s="154" t="s">
        <v>51</v>
      </c>
      <c r="J25" s="80"/>
      <c r="L25" s="163">
        <v>0</v>
      </c>
    </row>
    <row r="27" spans="1:12" x14ac:dyDescent="0.3">
      <c r="C27" s="75"/>
      <c r="G27" s="75"/>
      <c r="K27" s="75"/>
    </row>
    <row r="28" spans="1:12" x14ac:dyDescent="0.3">
      <c r="A28" s="73"/>
      <c r="B28" s="72" t="s">
        <v>56</v>
      </c>
      <c r="C28" s="73"/>
      <c r="D28" s="73"/>
      <c r="E28" s="73"/>
      <c r="F28" s="73"/>
      <c r="H28" s="73"/>
      <c r="I28" s="72" t="s">
        <v>57</v>
      </c>
      <c r="J28" s="73"/>
      <c r="K28" s="55"/>
      <c r="L28" s="170" t="s">
        <v>480</v>
      </c>
    </row>
    <row r="29" spans="1:12" ht="13.8" customHeight="1" x14ac:dyDescent="0.3">
      <c r="A29" s="80" t="s">
        <v>0</v>
      </c>
      <c r="B29" s="75" t="s">
        <v>73</v>
      </c>
      <c r="C29" s="80" t="s">
        <v>61</v>
      </c>
      <c r="G29" s="73"/>
      <c r="H29" s="166" t="s">
        <v>58</v>
      </c>
      <c r="J29" s="167">
        <v>3</v>
      </c>
      <c r="K29" s="162" t="s">
        <v>465</v>
      </c>
      <c r="L29" s="54"/>
    </row>
    <row r="30" spans="1:12" s="73" customFormat="1" x14ac:dyDescent="0.3">
      <c r="A30" s="57" t="s">
        <v>512</v>
      </c>
      <c r="B30" s="54">
        <v>1</v>
      </c>
      <c r="C30" s="80" t="s">
        <v>1041</v>
      </c>
      <c r="D30" s="57"/>
      <c r="E30" s="57"/>
      <c r="F30" s="57"/>
      <c r="G30" s="57"/>
      <c r="H30" s="166" t="s">
        <v>342</v>
      </c>
      <c r="I30" s="57"/>
      <c r="J30" s="167">
        <v>3</v>
      </c>
      <c r="K30" s="55" t="s">
        <v>477</v>
      </c>
      <c r="L30" s="54"/>
    </row>
    <row r="31" spans="1:12" x14ac:dyDescent="0.3">
      <c r="A31" s="57" t="s">
        <v>328</v>
      </c>
      <c r="B31" s="54">
        <v>1</v>
      </c>
      <c r="C31" s="80" t="s">
        <v>440</v>
      </c>
      <c r="H31" s="166" t="s">
        <v>59</v>
      </c>
      <c r="J31" s="167">
        <v>4</v>
      </c>
      <c r="K31" s="55" t="s">
        <v>479</v>
      </c>
      <c r="L31" s="54"/>
    </row>
    <row r="32" spans="1:12" x14ac:dyDescent="0.3">
      <c r="A32" s="57" t="s">
        <v>320</v>
      </c>
      <c r="B32" s="54">
        <v>1</v>
      </c>
      <c r="C32" s="80" t="s">
        <v>1042</v>
      </c>
      <c r="H32" s="63" t="s">
        <v>70</v>
      </c>
      <c r="J32" s="167" t="s">
        <v>131</v>
      </c>
      <c r="L32" s="54"/>
    </row>
    <row r="33" spans="1:12" x14ac:dyDescent="0.3">
      <c r="A33" s="57" t="s">
        <v>320</v>
      </c>
      <c r="B33" s="54">
        <v>2</v>
      </c>
      <c r="C33" s="80" t="s">
        <v>1044</v>
      </c>
      <c r="H33" s="63" t="s">
        <v>66</v>
      </c>
      <c r="J33" s="167">
        <f>J29+J30</f>
        <v>6</v>
      </c>
      <c r="K33" s="162" t="s">
        <v>464</v>
      </c>
      <c r="L33" s="54"/>
    </row>
    <row r="34" spans="1:12" x14ac:dyDescent="0.3">
      <c r="C34" s="80" t="s">
        <v>1043</v>
      </c>
      <c r="L34" s="215" t="s">
        <v>471</v>
      </c>
    </row>
    <row r="35" spans="1:12" x14ac:dyDescent="0.3">
      <c r="H35" s="63" t="s">
        <v>20</v>
      </c>
      <c r="J35" s="167">
        <v>6</v>
      </c>
      <c r="K35" s="162" t="s">
        <v>478</v>
      </c>
      <c r="L35" s="54"/>
    </row>
    <row r="36" spans="1:12" x14ac:dyDescent="0.3">
      <c r="A36" s="66"/>
      <c r="B36" s="66"/>
      <c r="C36" s="66"/>
      <c r="D36" s="66"/>
      <c r="E36" s="66"/>
      <c r="F36" s="66"/>
      <c r="H36" s="63" t="s">
        <v>1019</v>
      </c>
      <c r="J36" s="167">
        <v>10</v>
      </c>
      <c r="K36" s="162" t="s">
        <v>494</v>
      </c>
    </row>
    <row r="37" spans="1:12" x14ac:dyDescent="0.3">
      <c r="G37" s="73"/>
      <c r="H37" s="63" t="s">
        <v>341</v>
      </c>
      <c r="I37" s="73"/>
      <c r="J37" s="167">
        <f>7-J30</f>
        <v>4</v>
      </c>
      <c r="K37" s="162" t="s">
        <v>481</v>
      </c>
      <c r="L37" s="73"/>
    </row>
    <row r="38" spans="1:12" s="73" customFormat="1" x14ac:dyDescent="0.3">
      <c r="A38" s="157"/>
      <c r="B38" s="157"/>
      <c r="C38" s="157"/>
      <c r="D38" s="157"/>
      <c r="E38" s="157"/>
      <c r="F38" s="157"/>
      <c r="H38" s="57"/>
      <c r="I38" s="57"/>
      <c r="J38" s="57"/>
      <c r="K38" s="54"/>
      <c r="L38" s="57"/>
    </row>
    <row r="39" spans="1:12" x14ac:dyDescent="0.3">
      <c r="A39" s="66"/>
      <c r="B39" s="66"/>
      <c r="C39" s="66"/>
      <c r="D39" s="66"/>
      <c r="E39" s="66"/>
      <c r="F39" s="66"/>
      <c r="H39" s="63" t="s">
        <v>495</v>
      </c>
      <c r="I39" s="171"/>
      <c r="J39" s="171"/>
      <c r="K39" s="73"/>
      <c r="L39" s="73"/>
    </row>
    <row r="40" spans="1:12" ht="13.8" customHeight="1" x14ac:dyDescent="0.3">
      <c r="H40" s="63" t="s">
        <v>496</v>
      </c>
      <c r="I40" s="66"/>
      <c r="J40" s="66"/>
    </row>
    <row r="41" spans="1:12" x14ac:dyDescent="0.3">
      <c r="A41" s="157"/>
      <c r="B41" s="158"/>
      <c r="C41" s="157"/>
      <c r="D41" s="66"/>
      <c r="E41" s="69"/>
      <c r="F41" s="66"/>
      <c r="G41" s="73"/>
    </row>
    <row r="42" spans="1:12" x14ac:dyDescent="0.3">
      <c r="B42" s="54"/>
      <c r="D42" s="54"/>
      <c r="E42" s="153"/>
      <c r="H42" s="90" t="s">
        <v>366</v>
      </c>
      <c r="I42" s="75" t="s">
        <v>182</v>
      </c>
      <c r="J42" s="75" t="s">
        <v>142</v>
      </c>
      <c r="K42" s="75" t="s">
        <v>143</v>
      </c>
      <c r="L42" s="75" t="s">
        <v>144</v>
      </c>
    </row>
    <row r="43" spans="1:12" x14ac:dyDescent="0.3">
      <c r="A43" s="68"/>
      <c r="B43" s="68"/>
      <c r="C43" s="69"/>
      <c r="D43" s="108"/>
      <c r="E43" s="109"/>
      <c r="F43" s="66"/>
      <c r="H43" s="172"/>
      <c r="I43" s="172" t="s">
        <v>500</v>
      </c>
      <c r="J43" s="172" t="s">
        <v>498</v>
      </c>
      <c r="K43" s="172" t="s">
        <v>499</v>
      </c>
      <c r="L43" s="172" t="s">
        <v>497</v>
      </c>
    </row>
    <row r="44" spans="1:12" x14ac:dyDescent="0.3">
      <c r="A44" s="152"/>
      <c r="B44" s="152"/>
      <c r="C44" s="54"/>
      <c r="D44" s="55"/>
      <c r="E44" s="153"/>
      <c r="H44" s="63" t="s">
        <v>156</v>
      </c>
      <c r="I44" s="167">
        <v>0</v>
      </c>
      <c r="J44" s="159" t="b">
        <v>0</v>
      </c>
      <c r="K44" s="160" t="b">
        <v>0</v>
      </c>
      <c r="L44" s="159" t="b">
        <v>0</v>
      </c>
    </row>
    <row r="45" spans="1:12" ht="13.8" customHeight="1" x14ac:dyDescent="0.3">
      <c r="A45" s="68"/>
      <c r="B45" s="68"/>
      <c r="C45" s="69"/>
      <c r="D45" s="168"/>
      <c r="E45" s="109"/>
      <c r="F45" s="66"/>
      <c r="H45" s="63" t="s">
        <v>157</v>
      </c>
      <c r="I45" s="167">
        <v>-1</v>
      </c>
      <c r="J45" s="161" t="b">
        <v>0</v>
      </c>
      <c r="K45" s="160" t="b">
        <v>0</v>
      </c>
      <c r="L45" s="159" t="b">
        <v>0</v>
      </c>
    </row>
    <row r="46" spans="1:12" x14ac:dyDescent="0.3">
      <c r="C46" s="54"/>
      <c r="D46" s="80"/>
      <c r="E46" s="54"/>
      <c r="H46" s="63" t="s">
        <v>158</v>
      </c>
      <c r="I46" s="167">
        <v>-1</v>
      </c>
      <c r="J46" s="159" t="b">
        <v>0</v>
      </c>
      <c r="K46" s="160" t="b">
        <v>0</v>
      </c>
      <c r="L46" s="159" t="b">
        <v>0</v>
      </c>
    </row>
    <row r="47" spans="1:12" x14ac:dyDescent="0.3">
      <c r="A47" s="68"/>
      <c r="B47" s="68"/>
      <c r="C47" s="69"/>
      <c r="D47" s="108"/>
      <c r="E47" s="109"/>
      <c r="F47" s="66"/>
      <c r="H47" s="63" t="s">
        <v>159</v>
      </c>
      <c r="I47" s="167">
        <v>-2</v>
      </c>
      <c r="J47" s="159" t="b">
        <v>0</v>
      </c>
      <c r="K47" s="160" t="b">
        <v>0</v>
      </c>
      <c r="L47" s="159" t="b">
        <v>0</v>
      </c>
    </row>
    <row r="48" spans="1:12" x14ac:dyDescent="0.3">
      <c r="A48" s="152"/>
      <c r="B48" s="152"/>
      <c r="C48" s="54"/>
      <c r="D48" s="55"/>
      <c r="E48" s="153"/>
      <c r="H48" s="63" t="s">
        <v>441</v>
      </c>
      <c r="I48" s="167">
        <v>-2</v>
      </c>
      <c r="J48" s="159" t="b">
        <v>0</v>
      </c>
      <c r="K48" s="160" t="b">
        <v>0</v>
      </c>
      <c r="L48" s="159" t="b">
        <v>0</v>
      </c>
    </row>
    <row r="49" spans="1:12" x14ac:dyDescent="0.3">
      <c r="A49" s="66"/>
      <c r="B49" s="69"/>
      <c r="C49" s="66"/>
      <c r="D49" s="82"/>
      <c r="E49" s="66"/>
      <c r="F49" s="66"/>
      <c r="H49" s="63" t="s">
        <v>161</v>
      </c>
      <c r="I49" s="167">
        <v>-5</v>
      </c>
      <c r="J49" s="159" t="b">
        <v>0</v>
      </c>
      <c r="K49" s="160" t="b">
        <v>0</v>
      </c>
      <c r="L49" s="159" t="b">
        <v>0</v>
      </c>
    </row>
    <row r="50" spans="1:12" x14ac:dyDescent="0.3">
      <c r="A50" s="66"/>
      <c r="B50" s="69"/>
      <c r="C50" s="66"/>
      <c r="D50" s="82"/>
      <c r="E50" s="66"/>
      <c r="F50" s="66"/>
      <c r="H50" s="63" t="s">
        <v>162</v>
      </c>
      <c r="I50" s="167" t="s">
        <v>131</v>
      </c>
    </row>
    <row r="51" spans="1:12" x14ac:dyDescent="0.3">
      <c r="A51" s="80" t="s">
        <v>55</v>
      </c>
      <c r="C51" s="75" t="s">
        <v>73</v>
      </c>
      <c r="D51" s="80" t="s">
        <v>61</v>
      </c>
    </row>
    <row r="52" spans="1:12" x14ac:dyDescent="0.3">
      <c r="A52" s="165" t="s">
        <v>746</v>
      </c>
      <c r="C52" s="54">
        <v>2</v>
      </c>
      <c r="D52" s="80" t="s">
        <v>1032</v>
      </c>
    </row>
    <row r="53" spans="1:12" x14ac:dyDescent="0.3">
      <c r="A53" s="165" t="s">
        <v>97</v>
      </c>
      <c r="C53" s="54">
        <v>2</v>
      </c>
      <c r="D53" s="80" t="s">
        <v>1033</v>
      </c>
    </row>
    <row r="54" spans="1:12" x14ac:dyDescent="0.3">
      <c r="A54" s="165" t="s">
        <v>99</v>
      </c>
      <c r="C54" s="54">
        <v>3</v>
      </c>
      <c r="D54" s="80" t="s">
        <v>1034</v>
      </c>
      <c r="E54" s="155"/>
    </row>
    <row r="55" spans="1:12" x14ac:dyDescent="0.3">
      <c r="A55" s="165" t="s">
        <v>5</v>
      </c>
      <c r="C55" s="54">
        <v>1</v>
      </c>
      <c r="D55" s="80" t="s">
        <v>1035</v>
      </c>
      <c r="E55" s="155"/>
    </row>
    <row r="56" spans="1:12" x14ac:dyDescent="0.3">
      <c r="A56" s="165" t="s">
        <v>101</v>
      </c>
      <c r="C56" s="54">
        <v>1</v>
      </c>
      <c r="D56" s="80" t="s">
        <v>1038</v>
      </c>
      <c r="E56" s="155"/>
    </row>
    <row r="57" spans="1:12" x14ac:dyDescent="0.3">
      <c r="A57" s="165" t="s">
        <v>98</v>
      </c>
      <c r="C57" s="54">
        <v>2</v>
      </c>
      <c r="D57" s="80" t="s">
        <v>1037</v>
      </c>
      <c r="E57" s="155"/>
    </row>
    <row r="58" spans="1:12" x14ac:dyDescent="0.3">
      <c r="E58" s="155"/>
    </row>
    <row r="59" spans="1:12" x14ac:dyDescent="0.3">
      <c r="A59" s="214"/>
      <c r="B59" s="66"/>
      <c r="C59" s="69"/>
      <c r="D59" s="82"/>
      <c r="E59" s="214"/>
      <c r="F59" s="66"/>
      <c r="G59" s="66"/>
      <c r="H59" s="66"/>
      <c r="I59" s="66"/>
      <c r="J59" s="66"/>
      <c r="K59" s="69"/>
      <c r="L59" s="66"/>
    </row>
    <row r="60" spans="1:12" x14ac:dyDescent="0.3">
      <c r="A60" s="214"/>
      <c r="B60" s="66"/>
      <c r="C60" s="69"/>
      <c r="D60" s="82"/>
      <c r="E60" s="214"/>
      <c r="F60" s="66"/>
      <c r="G60" s="66"/>
      <c r="H60" s="66"/>
      <c r="I60" s="66"/>
      <c r="J60" s="66"/>
      <c r="K60" s="69"/>
      <c r="L60" s="66"/>
    </row>
    <row r="61" spans="1:12" x14ac:dyDescent="0.3">
      <c r="A61" s="155"/>
      <c r="C61" s="54"/>
      <c r="D61" s="80"/>
      <c r="E61" s="155"/>
    </row>
    <row r="62" spans="1:12" x14ac:dyDescent="0.3">
      <c r="A62" s="55" t="s">
        <v>1028</v>
      </c>
      <c r="C62" s="75" t="s">
        <v>203</v>
      </c>
      <c r="D62" s="80" t="s">
        <v>61</v>
      </c>
    </row>
    <row r="63" spans="1:12" x14ac:dyDescent="0.3">
      <c r="A63" s="165" t="s">
        <v>1022</v>
      </c>
      <c r="C63" s="54">
        <v>5</v>
      </c>
      <c r="D63" s="80" t="s">
        <v>1026</v>
      </c>
    </row>
    <row r="64" spans="1:12" x14ac:dyDescent="0.3">
      <c r="A64" s="63"/>
      <c r="D64" s="80" t="s">
        <v>1029</v>
      </c>
    </row>
    <row r="65" spans="1:12" x14ac:dyDescent="0.3">
      <c r="A65" s="165" t="s">
        <v>1020</v>
      </c>
      <c r="C65" s="54">
        <v>1</v>
      </c>
      <c r="D65" s="80" t="s">
        <v>1027</v>
      </c>
    </row>
    <row r="66" spans="1:12" x14ac:dyDescent="0.3">
      <c r="A66" s="165" t="s">
        <v>1023</v>
      </c>
      <c r="C66" s="54">
        <v>-3</v>
      </c>
      <c r="D66" s="80" t="s">
        <v>1030</v>
      </c>
    </row>
    <row r="67" spans="1:12" x14ac:dyDescent="0.3">
      <c r="A67" s="165" t="s">
        <v>1021</v>
      </c>
      <c r="C67" s="54">
        <v>-2</v>
      </c>
      <c r="D67" s="80" t="s">
        <v>1031</v>
      </c>
    </row>
    <row r="68" spans="1:12" x14ac:dyDescent="0.3">
      <c r="A68" s="165" t="s">
        <v>1024</v>
      </c>
      <c r="C68" s="54">
        <v>-1</v>
      </c>
      <c r="D68" s="80" t="s">
        <v>1025</v>
      </c>
    </row>
    <row r="70" spans="1:12" x14ac:dyDescent="0.3">
      <c r="A70" s="66"/>
      <c r="B70" s="66"/>
      <c r="C70" s="66"/>
      <c r="D70" s="66"/>
      <c r="E70" s="66"/>
      <c r="F70" s="66"/>
      <c r="G70" s="66"/>
      <c r="H70" s="66"/>
      <c r="I70" s="66"/>
      <c r="J70" s="66"/>
      <c r="K70" s="69"/>
      <c r="L70" s="66"/>
    </row>
    <row r="71" spans="1:12" x14ac:dyDescent="0.3">
      <c r="A71" s="66"/>
      <c r="B71" s="66"/>
      <c r="C71" s="66"/>
      <c r="D71" s="66"/>
      <c r="E71" s="66"/>
      <c r="F71" s="66"/>
      <c r="G71" s="66"/>
      <c r="H71" s="66"/>
      <c r="I71" s="66"/>
      <c r="J71" s="66"/>
      <c r="K71" s="69"/>
      <c r="L71" s="66"/>
    </row>
    <row r="73" spans="1:12" x14ac:dyDescent="0.3">
      <c r="A73" s="57" t="s">
        <v>105</v>
      </c>
      <c r="C73" s="63" t="s">
        <v>1046</v>
      </c>
    </row>
    <row r="74" spans="1:12" x14ac:dyDescent="0.3">
      <c r="A74" s="57" t="s">
        <v>106</v>
      </c>
      <c r="C74" s="63" t="s">
        <v>1053</v>
      </c>
    </row>
    <row r="75" spans="1:12" x14ac:dyDescent="0.3">
      <c r="A75" s="57" t="s">
        <v>98</v>
      </c>
      <c r="C75" s="63" t="s">
        <v>1054</v>
      </c>
    </row>
    <row r="76" spans="1:12" x14ac:dyDescent="0.3">
      <c r="A76" s="57" t="s">
        <v>108</v>
      </c>
      <c r="C76" s="100"/>
      <c r="D76" s="61"/>
      <c r="E76" s="61"/>
      <c r="F76" s="61"/>
      <c r="G76" s="61"/>
      <c r="H76" s="61"/>
      <c r="I76" s="61"/>
      <c r="J76" s="61"/>
      <c r="K76" s="78"/>
      <c r="L76" s="61"/>
    </row>
    <row r="78" spans="1:12" x14ac:dyDescent="0.3">
      <c r="A78" s="57" t="s">
        <v>110</v>
      </c>
      <c r="C78" s="57" t="s">
        <v>109</v>
      </c>
      <c r="E78" s="57" t="s">
        <v>61</v>
      </c>
    </row>
    <row r="79" spans="1:12" x14ac:dyDescent="0.3">
      <c r="A79" s="80" t="s">
        <v>1039</v>
      </c>
      <c r="B79" s="80"/>
      <c r="C79" s="80" t="s">
        <v>1052</v>
      </c>
      <c r="E79" s="57" t="s">
        <v>1055</v>
      </c>
    </row>
    <row r="80" spans="1:12" x14ac:dyDescent="0.3">
      <c r="A80" s="81"/>
      <c r="B80" s="81"/>
      <c r="C80" s="81"/>
      <c r="D80" s="61"/>
      <c r="E80" s="61"/>
      <c r="F80" s="61"/>
      <c r="G80" s="61"/>
      <c r="H80" s="61"/>
      <c r="I80" s="61"/>
      <c r="J80" s="61"/>
      <c r="K80" s="78"/>
      <c r="L80" s="61"/>
    </row>
    <row r="81" spans="1:12" x14ac:dyDescent="0.3">
      <c r="A81" s="82"/>
      <c r="B81" s="82"/>
      <c r="C81" s="82"/>
      <c r="D81" s="66"/>
      <c r="E81" s="66"/>
      <c r="F81" s="66"/>
      <c r="G81" s="66"/>
      <c r="H81" s="66"/>
      <c r="I81" s="66"/>
      <c r="J81" s="66"/>
      <c r="K81" s="69"/>
      <c r="L81" s="66"/>
    </row>
    <row r="83" spans="1:12" x14ac:dyDescent="0.3">
      <c r="B83" s="54" t="s">
        <v>17</v>
      </c>
      <c r="J83" s="54" t="s">
        <v>123</v>
      </c>
      <c r="K83" s="57"/>
      <c r="L83" s="54"/>
    </row>
    <row r="84" spans="1:12" x14ac:dyDescent="0.3">
      <c r="A84" s="80" t="s">
        <v>113</v>
      </c>
      <c r="C84" s="212">
        <v>29</v>
      </c>
      <c r="E84" s="80" t="s">
        <v>118</v>
      </c>
      <c r="G84" s="212" t="s">
        <v>1072</v>
      </c>
      <c r="I84" s="57" t="s">
        <v>0</v>
      </c>
      <c r="K84" s="57" t="s">
        <v>87</v>
      </c>
    </row>
    <row r="85" spans="1:12" x14ac:dyDescent="0.3">
      <c r="A85" s="80" t="s">
        <v>112</v>
      </c>
      <c r="B85" s="66"/>
      <c r="C85" s="211">
        <v>0</v>
      </c>
      <c r="E85" s="80" t="s">
        <v>119</v>
      </c>
      <c r="F85" s="66"/>
      <c r="G85" s="211" t="s">
        <v>392</v>
      </c>
      <c r="I85" s="66"/>
      <c r="J85" s="66"/>
      <c r="K85" s="66"/>
      <c r="L85" s="69"/>
    </row>
    <row r="86" spans="1:12" x14ac:dyDescent="0.3">
      <c r="A86" s="80" t="s">
        <v>114</v>
      </c>
      <c r="C86" s="235">
        <v>36047</v>
      </c>
      <c r="E86" s="80" t="s">
        <v>120</v>
      </c>
      <c r="G86" s="212" t="s">
        <v>1047</v>
      </c>
      <c r="I86" s="85"/>
      <c r="J86" s="85"/>
      <c r="K86" s="85"/>
      <c r="L86" s="131"/>
    </row>
    <row r="87" spans="1:12" x14ac:dyDescent="0.3">
      <c r="A87" s="80" t="s">
        <v>115</v>
      </c>
      <c r="B87" s="66"/>
      <c r="C87" s="213">
        <v>45943</v>
      </c>
      <c r="E87" s="80" t="s">
        <v>121</v>
      </c>
      <c r="F87" s="66"/>
      <c r="G87" s="211" t="s">
        <v>1048</v>
      </c>
      <c r="I87" s="66"/>
      <c r="J87" s="66"/>
      <c r="K87" s="66"/>
      <c r="L87" s="69"/>
    </row>
    <row r="88" spans="1:12" x14ac:dyDescent="0.3">
      <c r="A88" s="80" t="s">
        <v>116</v>
      </c>
      <c r="C88" s="212" t="s">
        <v>1049</v>
      </c>
      <c r="E88" s="80" t="s">
        <v>122</v>
      </c>
      <c r="G88" s="212" t="s">
        <v>394</v>
      </c>
      <c r="K88" s="57"/>
      <c r="L88" s="54"/>
    </row>
    <row r="89" spans="1:12" x14ac:dyDescent="0.3">
      <c r="A89" s="80" t="s">
        <v>117</v>
      </c>
      <c r="B89" s="66"/>
      <c r="C89" s="211" t="s">
        <v>1050</v>
      </c>
      <c r="E89" s="80"/>
      <c r="F89" s="66"/>
      <c r="G89" s="211"/>
      <c r="I89" s="66"/>
      <c r="J89" s="66"/>
      <c r="K89" s="66"/>
      <c r="L89" s="69"/>
    </row>
    <row r="90" spans="1:12" x14ac:dyDescent="0.3">
      <c r="I90" s="61"/>
      <c r="J90" s="61"/>
      <c r="K90" s="61"/>
      <c r="L90" s="78"/>
    </row>
    <row r="92" spans="1:12" x14ac:dyDescent="0.3">
      <c r="A92" s="90" t="s">
        <v>1070</v>
      </c>
    </row>
    <row r="93" spans="1:12" x14ac:dyDescent="0.3">
      <c r="A93" s="216" t="s">
        <v>1045</v>
      </c>
      <c r="B93" s="216"/>
      <c r="C93" s="216"/>
      <c r="D93" s="216"/>
      <c r="E93" s="216"/>
      <c r="F93" s="216"/>
      <c r="G93" s="216"/>
      <c r="H93" s="216"/>
      <c r="I93" s="216"/>
      <c r="J93" s="216"/>
      <c r="K93" s="216"/>
      <c r="L93" s="216"/>
    </row>
    <row r="94" spans="1:12" x14ac:dyDescent="0.3">
      <c r="A94" s="216"/>
      <c r="B94" s="216"/>
      <c r="C94" s="216"/>
      <c r="D94" s="216"/>
      <c r="E94" s="216"/>
      <c r="F94" s="216"/>
      <c r="G94" s="216"/>
      <c r="H94" s="216"/>
      <c r="I94" s="216"/>
      <c r="J94" s="216"/>
      <c r="K94" s="216"/>
      <c r="L94" s="216"/>
    </row>
    <row r="95" spans="1:12" x14ac:dyDescent="0.3">
      <c r="A95" s="216"/>
      <c r="B95" s="216"/>
      <c r="C95" s="216"/>
      <c r="D95" s="216"/>
      <c r="E95" s="216"/>
      <c r="F95" s="216"/>
      <c r="G95" s="216"/>
      <c r="H95" s="216"/>
      <c r="I95" s="216"/>
      <c r="J95" s="216"/>
      <c r="K95" s="216"/>
      <c r="L95" s="216"/>
    </row>
    <row r="96" spans="1:12" x14ac:dyDescent="0.3">
      <c r="A96" s="216"/>
      <c r="B96" s="216"/>
      <c r="C96" s="216"/>
      <c r="D96" s="216"/>
      <c r="E96" s="216"/>
      <c r="F96" s="216"/>
      <c r="G96" s="216"/>
      <c r="H96" s="216"/>
      <c r="I96" s="216"/>
      <c r="J96" s="216"/>
      <c r="K96" s="216"/>
      <c r="L96" s="216"/>
    </row>
    <row r="97" spans="1:12" x14ac:dyDescent="0.3">
      <c r="A97" s="90" t="s">
        <v>6</v>
      </c>
    </row>
    <row r="98" spans="1:12" x14ac:dyDescent="0.3">
      <c r="A98" s="216" t="s">
        <v>1051</v>
      </c>
      <c r="B98" s="216"/>
      <c r="C98" s="216"/>
      <c r="D98" s="216"/>
      <c r="E98" s="216"/>
      <c r="F98" s="216"/>
      <c r="G98" s="216"/>
      <c r="H98" s="216"/>
      <c r="I98" s="216"/>
      <c r="J98" s="216"/>
      <c r="K98" s="216"/>
      <c r="L98" s="216"/>
    </row>
    <row r="99" spans="1:12" x14ac:dyDescent="0.3">
      <c r="A99" s="216"/>
      <c r="B99" s="216"/>
      <c r="C99" s="216"/>
      <c r="D99" s="216"/>
      <c r="E99" s="216"/>
      <c r="F99" s="216"/>
      <c r="G99" s="216"/>
      <c r="H99" s="216"/>
      <c r="I99" s="216"/>
      <c r="J99" s="216"/>
      <c r="K99" s="216"/>
      <c r="L99" s="216"/>
    </row>
    <row r="100" spans="1:12" x14ac:dyDescent="0.3">
      <c r="A100" s="216"/>
      <c r="B100" s="216"/>
      <c r="C100" s="216"/>
      <c r="D100" s="216"/>
      <c r="E100" s="216"/>
      <c r="F100" s="216"/>
      <c r="G100" s="216"/>
      <c r="H100" s="216"/>
      <c r="I100" s="216"/>
      <c r="J100" s="216"/>
      <c r="K100" s="216"/>
      <c r="L100" s="216"/>
    </row>
    <row r="101" spans="1:12" x14ac:dyDescent="0.3">
      <c r="F101" s="72" t="s">
        <v>1066</v>
      </c>
    </row>
    <row r="102" spans="1:12" ht="13.8" customHeight="1" x14ac:dyDescent="0.3">
      <c r="A102" s="57" t="s">
        <v>78</v>
      </c>
      <c r="C102" s="57" t="s">
        <v>73</v>
      </c>
      <c r="D102" s="57" t="s">
        <v>81</v>
      </c>
      <c r="E102" s="57" t="s">
        <v>79</v>
      </c>
    </row>
    <row r="103" spans="1:12" x14ac:dyDescent="0.3">
      <c r="A103" s="82" t="s">
        <v>407</v>
      </c>
      <c r="B103" s="66"/>
      <c r="C103" s="169">
        <v>1</v>
      </c>
      <c r="D103" s="134" t="s">
        <v>1068</v>
      </c>
      <c r="E103" s="82" t="s">
        <v>483</v>
      </c>
      <c r="F103" s="66"/>
      <c r="G103" s="66"/>
      <c r="H103" s="66"/>
      <c r="I103" s="66"/>
      <c r="J103" s="66"/>
      <c r="K103" s="69"/>
      <c r="L103" s="66"/>
    </row>
    <row r="104" spans="1:12" x14ac:dyDescent="0.3">
      <c r="A104" s="80" t="s">
        <v>1067</v>
      </c>
      <c r="C104" s="169" t="s">
        <v>131</v>
      </c>
      <c r="D104" s="134" t="s">
        <v>1071</v>
      </c>
      <c r="E104" s="82" t="s">
        <v>1069</v>
      </c>
    </row>
    <row r="105" spans="1:12" x14ac:dyDescent="0.3">
      <c r="A105" s="66"/>
      <c r="B105" s="66"/>
      <c r="C105" s="66"/>
      <c r="D105" s="134"/>
      <c r="E105" s="99"/>
      <c r="F105" s="66"/>
      <c r="G105" s="66"/>
      <c r="H105" s="66"/>
      <c r="I105" s="66"/>
      <c r="J105" s="66"/>
      <c r="K105" s="69"/>
      <c r="L105" s="66"/>
    </row>
    <row r="106" spans="1:12" x14ac:dyDescent="0.3">
      <c r="D106" s="134"/>
      <c r="E106" s="99"/>
    </row>
    <row r="107" spans="1:12" x14ac:dyDescent="0.3">
      <c r="A107" s="66"/>
      <c r="B107" s="66"/>
      <c r="C107" s="66"/>
      <c r="D107" s="134"/>
      <c r="E107" s="99"/>
      <c r="F107" s="66"/>
      <c r="G107" s="66"/>
      <c r="H107" s="66"/>
      <c r="I107" s="66"/>
      <c r="J107" s="66"/>
      <c r="K107" s="69"/>
      <c r="L107" s="66"/>
    </row>
    <row r="108" spans="1:12" x14ac:dyDescent="0.3">
      <c r="A108" s="66"/>
      <c r="B108" s="66"/>
      <c r="C108" s="66"/>
      <c r="D108" s="66"/>
      <c r="E108" s="66"/>
      <c r="F108" s="66"/>
      <c r="G108" s="66"/>
      <c r="H108" s="66"/>
      <c r="I108" s="66"/>
      <c r="J108" s="66"/>
      <c r="K108" s="69"/>
      <c r="L108" s="66"/>
    </row>
    <row r="110" spans="1:12" x14ac:dyDescent="0.3">
      <c r="F110" s="72" t="s">
        <v>80</v>
      </c>
    </row>
    <row r="111" spans="1:12" ht="13.8" customHeight="1" x14ac:dyDescent="0.3">
      <c r="A111" s="80" t="s">
        <v>81</v>
      </c>
      <c r="B111" s="80" t="s">
        <v>82</v>
      </c>
      <c r="C111" s="80" t="s">
        <v>61</v>
      </c>
      <c r="D111" s="80"/>
      <c r="E111" s="80"/>
      <c r="F111" s="80" t="s">
        <v>83</v>
      </c>
      <c r="G111" s="80" t="s">
        <v>86</v>
      </c>
      <c r="H111" s="80" t="s">
        <v>85</v>
      </c>
      <c r="I111" s="80" t="s">
        <v>84</v>
      </c>
      <c r="J111" s="80" t="s">
        <v>87</v>
      </c>
      <c r="K111" s="75"/>
      <c r="L111" s="80"/>
    </row>
    <row r="113" spans="1:12" x14ac:dyDescent="0.3">
      <c r="A113" s="66"/>
      <c r="B113" s="66"/>
      <c r="C113" s="66"/>
      <c r="D113" s="66"/>
      <c r="E113" s="66"/>
      <c r="F113" s="66"/>
      <c r="G113" s="66"/>
      <c r="H113" s="66"/>
      <c r="I113" s="66"/>
      <c r="J113" s="66"/>
      <c r="K113" s="69"/>
      <c r="L113" s="66"/>
    </row>
    <row r="115" spans="1:12" x14ac:dyDescent="0.3">
      <c r="A115" s="66"/>
      <c r="B115" s="66"/>
      <c r="C115" s="66"/>
      <c r="D115" s="66"/>
      <c r="E115" s="66"/>
      <c r="F115" s="66"/>
      <c r="G115" s="66"/>
      <c r="H115" s="66"/>
      <c r="I115" s="66"/>
      <c r="J115" s="66"/>
      <c r="K115" s="69"/>
      <c r="L115" s="66"/>
    </row>
    <row r="117" spans="1:12" x14ac:dyDescent="0.3">
      <c r="A117" s="66"/>
      <c r="B117" s="66"/>
      <c r="C117" s="66"/>
      <c r="D117" s="66"/>
      <c r="E117" s="66"/>
      <c r="F117" s="66"/>
      <c r="G117" s="66"/>
      <c r="H117" s="66"/>
      <c r="I117" s="66"/>
      <c r="J117" s="66"/>
      <c r="K117" s="69"/>
      <c r="L117" s="66"/>
    </row>
    <row r="119" spans="1:12" x14ac:dyDescent="0.3">
      <c r="A119" s="66"/>
      <c r="B119" s="66"/>
      <c r="C119" s="66"/>
      <c r="D119" s="66"/>
      <c r="E119" s="66"/>
      <c r="F119" s="66"/>
      <c r="G119" s="66"/>
      <c r="H119" s="66"/>
      <c r="I119" s="66"/>
      <c r="J119" s="66"/>
      <c r="K119" s="69"/>
      <c r="L119" s="66"/>
    </row>
    <row r="121" spans="1:12" x14ac:dyDescent="0.3">
      <c r="A121" s="66"/>
      <c r="B121" s="66"/>
      <c r="C121" s="66"/>
      <c r="D121" s="66"/>
      <c r="E121" s="66"/>
      <c r="F121" s="66"/>
      <c r="G121" s="66"/>
      <c r="H121" s="66"/>
      <c r="I121" s="66"/>
      <c r="J121" s="66"/>
      <c r="K121" s="69"/>
      <c r="L121" s="66"/>
    </row>
    <row r="123" spans="1:12" x14ac:dyDescent="0.3">
      <c r="F123" s="72" t="s">
        <v>1131</v>
      </c>
    </row>
    <row r="124" spans="1:12" x14ac:dyDescent="0.3">
      <c r="A124" s="63" t="s">
        <v>1057</v>
      </c>
      <c r="B124" s="63"/>
      <c r="C124" s="155" t="s">
        <v>1056</v>
      </c>
      <c r="D124" s="63" t="s">
        <v>1058</v>
      </c>
    </row>
    <row r="125" spans="1:12" x14ac:dyDescent="0.3">
      <c r="A125" s="63" t="s">
        <v>1059</v>
      </c>
      <c r="B125" s="63"/>
      <c r="C125" s="155" t="s">
        <v>1056</v>
      </c>
      <c r="D125" s="63" t="s">
        <v>1060</v>
      </c>
    </row>
    <row r="126" spans="1:12" ht="13.8" customHeight="1" x14ac:dyDescent="0.3">
      <c r="A126" s="63" t="s">
        <v>1064</v>
      </c>
      <c r="B126" s="63"/>
      <c r="C126" s="155" t="s">
        <v>101</v>
      </c>
      <c r="D126" s="63" t="s">
        <v>1065</v>
      </c>
    </row>
    <row r="127" spans="1:12" ht="13.8" customHeight="1" x14ac:dyDescent="0.3">
      <c r="A127" s="63" t="s">
        <v>1061</v>
      </c>
      <c r="B127" s="63"/>
      <c r="C127" s="155" t="s">
        <v>1062</v>
      </c>
      <c r="D127" s="63" t="s">
        <v>1063</v>
      </c>
    </row>
    <row r="128" spans="1:12" x14ac:dyDescent="0.3">
      <c r="A128" s="61"/>
      <c r="B128" s="61"/>
      <c r="C128" s="61"/>
      <c r="D128" s="61"/>
      <c r="E128" s="61"/>
      <c r="F128" s="61"/>
      <c r="G128" s="61"/>
      <c r="H128" s="61"/>
      <c r="I128" s="61"/>
      <c r="J128" s="61"/>
      <c r="K128" s="78"/>
      <c r="L128" s="61"/>
    </row>
    <row r="129" spans="1:12" x14ac:dyDescent="0.3">
      <c r="A129" s="63"/>
      <c r="B129" s="63"/>
      <c r="C129" s="63"/>
      <c r="D129" s="63"/>
    </row>
    <row r="130" spans="1:12" x14ac:dyDescent="0.3">
      <c r="A130" s="99"/>
      <c r="B130" s="99"/>
      <c r="C130" s="99"/>
      <c r="D130" s="99"/>
      <c r="E130" s="66"/>
      <c r="F130" s="66"/>
      <c r="G130" s="66"/>
      <c r="H130" s="66"/>
      <c r="I130" s="66"/>
      <c r="J130" s="66"/>
      <c r="K130" s="69"/>
      <c r="L130" s="66"/>
    </row>
    <row r="132" spans="1:12" x14ac:dyDescent="0.3">
      <c r="A132" s="66"/>
      <c r="B132" s="66"/>
      <c r="C132" s="66"/>
      <c r="D132" s="66"/>
      <c r="E132" s="66"/>
      <c r="F132" s="66"/>
      <c r="G132" s="66"/>
      <c r="H132" s="66"/>
      <c r="I132" s="66"/>
      <c r="J132" s="66"/>
      <c r="K132" s="69"/>
      <c r="L132" s="66"/>
    </row>
    <row r="134" spans="1:12" x14ac:dyDescent="0.3">
      <c r="B134" s="72" t="s">
        <v>72</v>
      </c>
      <c r="F134" s="101" t="s">
        <v>373</v>
      </c>
      <c r="J134" s="54" t="s">
        <v>74</v>
      </c>
    </row>
    <row r="135" spans="1:12" x14ac:dyDescent="0.3">
      <c r="A135" s="57" t="s">
        <v>0</v>
      </c>
      <c r="B135" s="57" t="s">
        <v>73</v>
      </c>
      <c r="C135" s="57" t="s">
        <v>61</v>
      </c>
      <c r="E135" s="76" t="s">
        <v>61</v>
      </c>
      <c r="I135" s="76" t="s">
        <v>75</v>
      </c>
      <c r="K135" s="69"/>
      <c r="L135" s="66"/>
    </row>
    <row r="136" spans="1:12" x14ac:dyDescent="0.3">
      <c r="A136" s="76"/>
      <c r="E136" s="76"/>
      <c r="I136" s="76" t="s">
        <v>76</v>
      </c>
      <c r="K136" s="69"/>
      <c r="L136" s="66"/>
    </row>
    <row r="137" spans="1:12" x14ac:dyDescent="0.3">
      <c r="A137" s="94"/>
      <c r="B137" s="66"/>
      <c r="C137" s="66"/>
      <c r="D137" s="66"/>
      <c r="E137" s="94"/>
      <c r="F137" s="66"/>
      <c r="G137" s="66"/>
      <c r="H137" s="66"/>
      <c r="I137" s="94"/>
      <c r="J137" s="66"/>
      <c r="K137" s="69"/>
      <c r="L137" s="66"/>
    </row>
    <row r="138" spans="1:12" x14ac:dyDescent="0.3">
      <c r="A138" s="76"/>
      <c r="E138" s="76"/>
      <c r="I138" s="76"/>
    </row>
    <row r="139" spans="1:12" x14ac:dyDescent="0.3">
      <c r="A139" s="94"/>
      <c r="B139" s="66"/>
      <c r="C139" s="66"/>
      <c r="D139" s="66"/>
      <c r="E139" s="94"/>
      <c r="F139" s="66"/>
      <c r="G139" s="66"/>
      <c r="H139" s="66"/>
      <c r="I139" s="94"/>
      <c r="J139" s="66"/>
      <c r="K139" s="69"/>
      <c r="L139" s="66"/>
    </row>
    <row r="140" spans="1:12" x14ac:dyDescent="0.3">
      <c r="A140" s="76"/>
      <c r="E140" s="76"/>
      <c r="I140" s="76"/>
    </row>
    <row r="141" spans="1:12" x14ac:dyDescent="0.3">
      <c r="A141" s="94"/>
      <c r="B141" s="66"/>
      <c r="C141" s="66"/>
      <c r="D141" s="66"/>
      <c r="E141" s="94"/>
      <c r="F141" s="66"/>
      <c r="G141" s="66"/>
      <c r="H141" s="66"/>
      <c r="I141" s="94"/>
      <c r="J141" s="66"/>
      <c r="K141" s="69"/>
      <c r="L141" s="66"/>
    </row>
    <row r="143" spans="1:12" x14ac:dyDescent="0.3">
      <c r="A143" s="80" t="s">
        <v>88</v>
      </c>
      <c r="B143" s="80" t="s">
        <v>89</v>
      </c>
      <c r="C143" s="80" t="s">
        <v>486</v>
      </c>
      <c r="D143" s="80" t="s">
        <v>90</v>
      </c>
      <c r="E143" s="80" t="s">
        <v>91</v>
      </c>
      <c r="F143" s="80" t="s">
        <v>92</v>
      </c>
      <c r="G143" s="80" t="s">
        <v>93</v>
      </c>
      <c r="H143" s="80" t="s">
        <v>87</v>
      </c>
      <c r="J143" s="57" t="s">
        <v>94</v>
      </c>
    </row>
    <row r="145" spans="1:12" x14ac:dyDescent="0.3">
      <c r="A145" s="99" t="s">
        <v>484</v>
      </c>
      <c r="B145" s="134" t="s">
        <v>485</v>
      </c>
      <c r="C145" s="134">
        <v>6</v>
      </c>
      <c r="D145" s="134" t="s">
        <v>492</v>
      </c>
      <c r="E145" s="134">
        <v>0</v>
      </c>
      <c r="F145" s="134">
        <v>0</v>
      </c>
      <c r="G145" s="134"/>
      <c r="H145" s="82" t="s">
        <v>143</v>
      </c>
      <c r="J145" s="66"/>
      <c r="K145" s="69"/>
      <c r="L145" s="66"/>
    </row>
    <row r="146" spans="1:12" x14ac:dyDescent="0.3">
      <c r="A146" s="99" t="s">
        <v>487</v>
      </c>
      <c r="B146" s="134" t="s">
        <v>485</v>
      </c>
      <c r="C146" s="134">
        <v>6</v>
      </c>
      <c r="D146" s="134">
        <v>0</v>
      </c>
      <c r="E146" s="134">
        <v>0</v>
      </c>
      <c r="F146" s="134">
        <v>0</v>
      </c>
      <c r="G146" s="134"/>
      <c r="H146" s="82" t="s">
        <v>490</v>
      </c>
    </row>
    <row r="147" spans="1:12" x14ac:dyDescent="0.3">
      <c r="A147" s="99" t="s">
        <v>489</v>
      </c>
      <c r="B147" s="134" t="s">
        <v>488</v>
      </c>
      <c r="C147" s="134">
        <v>5</v>
      </c>
      <c r="D147" s="134">
        <v>0</v>
      </c>
      <c r="E147" s="134">
        <v>0</v>
      </c>
      <c r="F147" s="134">
        <v>0</v>
      </c>
      <c r="G147" s="134"/>
      <c r="H147" s="82" t="s">
        <v>142</v>
      </c>
      <c r="J147" s="66"/>
      <c r="K147" s="69"/>
      <c r="L147" s="66"/>
    </row>
    <row r="148" spans="1:12" x14ac:dyDescent="0.3">
      <c r="A148" s="99" t="s">
        <v>491</v>
      </c>
      <c r="B148" s="134">
        <v>4</v>
      </c>
      <c r="C148" s="134">
        <v>6</v>
      </c>
      <c r="D148" s="134">
        <v>12</v>
      </c>
      <c r="E148" s="134">
        <v>3</v>
      </c>
      <c r="F148" s="134">
        <v>6</v>
      </c>
      <c r="G148" s="134" t="s">
        <v>493</v>
      </c>
      <c r="H148" s="82" t="s">
        <v>143</v>
      </c>
    </row>
    <row r="149" spans="1:12" x14ac:dyDescent="0.3">
      <c r="A149" s="99"/>
      <c r="B149" s="99"/>
      <c r="C149" s="134"/>
      <c r="D149" s="134"/>
      <c r="E149" s="134"/>
      <c r="F149" s="134"/>
      <c r="G149" s="99"/>
      <c r="H149" s="82"/>
      <c r="J149" s="66"/>
      <c r="K149" s="69"/>
      <c r="L149" s="66"/>
    </row>
    <row r="150" spans="1:12" x14ac:dyDescent="0.3">
      <c r="A150" s="66"/>
      <c r="B150" s="66"/>
      <c r="C150" s="66"/>
      <c r="D150" s="66"/>
      <c r="E150" s="66"/>
      <c r="F150" s="66"/>
      <c r="G150" s="66"/>
      <c r="H150" s="66"/>
      <c r="J150" s="66"/>
      <c r="K150" s="69"/>
      <c r="L150" s="66"/>
    </row>
    <row r="175" ht="13.8" customHeight="1" x14ac:dyDescent="0.3"/>
    <row r="179" ht="13.2" customHeight="1" x14ac:dyDescent="0.3"/>
    <row r="180" ht="13.8" customHeight="1" x14ac:dyDescent="0.3"/>
    <row r="181" ht="13.8" customHeight="1" x14ac:dyDescent="0.3"/>
    <row r="199" spans="1:12" x14ac:dyDescent="0.3">
      <c r="F199" s="72"/>
    </row>
    <row r="201" spans="1:12" x14ac:dyDescent="0.3">
      <c r="A201" s="63"/>
    </row>
    <row r="202" spans="1:12" x14ac:dyDescent="0.3">
      <c r="A202" s="63"/>
    </row>
    <row r="204" spans="1:12" x14ac:dyDescent="0.3">
      <c r="A204" s="63"/>
      <c r="C204" s="63"/>
      <c r="D204" s="63"/>
      <c r="E204" s="63"/>
      <c r="F204" s="63"/>
      <c r="G204" s="63"/>
      <c r="H204" s="63"/>
      <c r="I204" s="63"/>
      <c r="J204" s="63"/>
      <c r="K204" s="63"/>
      <c r="L204" s="63"/>
    </row>
    <row r="205" spans="1:12" x14ac:dyDescent="0.3">
      <c r="D205" s="63"/>
      <c r="E205" s="63"/>
      <c r="F205" s="63"/>
      <c r="G205" s="63"/>
      <c r="H205" s="63"/>
      <c r="I205" s="63"/>
      <c r="J205" s="63"/>
      <c r="K205" s="63"/>
      <c r="L205" s="63"/>
    </row>
    <row r="206" spans="1:12" x14ac:dyDescent="0.3">
      <c r="A206" s="63"/>
      <c r="B206" s="63"/>
      <c r="C206" s="63"/>
      <c r="D206" s="63"/>
      <c r="E206" s="63"/>
      <c r="F206" s="63"/>
      <c r="G206" s="63"/>
      <c r="H206" s="63"/>
      <c r="I206" s="63"/>
      <c r="J206" s="63"/>
      <c r="K206" s="63"/>
      <c r="L206" s="63"/>
    </row>
    <row r="207" spans="1:12" x14ac:dyDescent="0.3">
      <c r="B207" s="63"/>
      <c r="C207" s="63"/>
      <c r="D207" s="63"/>
      <c r="E207" s="63"/>
      <c r="F207" s="63"/>
      <c r="G207" s="63"/>
      <c r="H207" s="63"/>
      <c r="I207" s="63"/>
      <c r="J207" s="63"/>
      <c r="K207" s="63"/>
      <c r="L207" s="63"/>
    </row>
    <row r="208" spans="1:12" x14ac:dyDescent="0.3">
      <c r="A208" s="63"/>
      <c r="B208" s="63"/>
      <c r="C208" s="63"/>
      <c r="D208" s="63"/>
      <c r="E208" s="63"/>
      <c r="F208" s="63"/>
      <c r="G208" s="63"/>
      <c r="H208" s="63"/>
      <c r="I208" s="63"/>
      <c r="J208" s="63"/>
      <c r="K208" s="63"/>
      <c r="L208" s="63"/>
    </row>
    <row r="209" spans="1:12" x14ac:dyDescent="0.3">
      <c r="A209" s="63"/>
      <c r="B209" s="63"/>
      <c r="C209" s="63"/>
      <c r="D209" s="63"/>
      <c r="E209" s="63"/>
      <c r="F209" s="63"/>
      <c r="G209" s="63"/>
      <c r="H209" s="63"/>
      <c r="I209" s="63"/>
      <c r="J209" s="63"/>
      <c r="K209" s="63"/>
      <c r="L209" s="63"/>
    </row>
    <row r="210" spans="1:12" x14ac:dyDescent="0.3">
      <c r="A210" s="63"/>
      <c r="B210" s="63"/>
      <c r="C210" s="63"/>
      <c r="D210" s="63"/>
      <c r="E210" s="63"/>
      <c r="F210" s="63"/>
      <c r="G210" s="63"/>
      <c r="H210" s="63"/>
      <c r="I210" s="63"/>
      <c r="J210" s="63"/>
      <c r="K210" s="63"/>
      <c r="L210" s="63"/>
    </row>
    <row r="211" spans="1:12" x14ac:dyDescent="0.3">
      <c r="A211" s="63"/>
      <c r="B211" s="63"/>
      <c r="C211" s="63"/>
      <c r="D211" s="63"/>
      <c r="E211" s="63"/>
      <c r="F211" s="63"/>
      <c r="G211" s="63"/>
      <c r="H211" s="63"/>
      <c r="I211" s="63"/>
      <c r="J211" s="63"/>
      <c r="K211" s="63"/>
      <c r="L211" s="63"/>
    </row>
    <row r="212" spans="1:12" x14ac:dyDescent="0.3">
      <c r="A212" s="63"/>
      <c r="B212" s="63"/>
      <c r="C212" s="63"/>
      <c r="D212" s="63"/>
      <c r="E212" s="63"/>
      <c r="F212" s="63"/>
      <c r="G212" s="63"/>
      <c r="H212" s="63"/>
      <c r="I212" s="63"/>
      <c r="J212" s="63"/>
      <c r="K212" s="63"/>
      <c r="L212" s="63"/>
    </row>
    <row r="213" spans="1:12" x14ac:dyDescent="0.3">
      <c r="A213" s="63"/>
      <c r="B213" s="63"/>
      <c r="C213" s="63"/>
      <c r="D213" s="63"/>
      <c r="E213" s="63"/>
      <c r="F213" s="63"/>
      <c r="G213" s="63"/>
      <c r="H213" s="63"/>
      <c r="I213" s="63"/>
      <c r="J213" s="63"/>
      <c r="K213" s="63"/>
      <c r="L213" s="63"/>
    </row>
    <row r="214" spans="1:12" x14ac:dyDescent="0.3">
      <c r="A214" s="72"/>
      <c r="B214" s="90"/>
      <c r="J214" s="72"/>
      <c r="K214" s="57"/>
    </row>
    <row r="215" spans="1:12" x14ac:dyDescent="0.3">
      <c r="A215" s="72"/>
      <c r="B215" s="80"/>
      <c r="I215" s="80"/>
      <c r="K215" s="57"/>
    </row>
    <row r="216" spans="1:12" x14ac:dyDescent="0.3">
      <c r="A216" s="72"/>
      <c r="B216" s="80"/>
      <c r="I216" s="80"/>
      <c r="K216" s="57"/>
    </row>
    <row r="217" spans="1:12" x14ac:dyDescent="0.3">
      <c r="A217" s="72"/>
      <c r="B217" s="80"/>
      <c r="I217" s="80"/>
      <c r="K217" s="57"/>
    </row>
    <row r="218" spans="1:12" x14ac:dyDescent="0.3">
      <c r="A218" s="72"/>
      <c r="B218" s="80"/>
      <c r="I218" s="80"/>
      <c r="K218" s="57"/>
    </row>
    <row r="219" spans="1:12" x14ac:dyDescent="0.3">
      <c r="A219" s="72"/>
      <c r="B219" s="80"/>
      <c r="I219" s="80"/>
      <c r="K219" s="57"/>
    </row>
    <row r="220" spans="1:12" x14ac:dyDescent="0.3">
      <c r="A220" s="72"/>
      <c r="B220" s="80"/>
      <c r="I220" s="80"/>
      <c r="K220" s="57"/>
    </row>
    <row r="221" spans="1:12" x14ac:dyDescent="0.3">
      <c r="A221" s="72"/>
      <c r="B221" s="80"/>
      <c r="I221" s="80"/>
      <c r="K221" s="57"/>
    </row>
    <row r="222" spans="1:12" x14ac:dyDescent="0.3">
      <c r="A222" s="72"/>
      <c r="B222" s="80"/>
      <c r="I222" s="80"/>
      <c r="K222" s="57"/>
    </row>
    <row r="223" spans="1:12" x14ac:dyDescent="0.3">
      <c r="A223" s="72"/>
      <c r="B223" s="80"/>
    </row>
    <row r="224" spans="1:12" x14ac:dyDescent="0.3">
      <c r="A224" s="72"/>
      <c r="B224" s="80"/>
    </row>
    <row r="225" spans="1:2" x14ac:dyDescent="0.3">
      <c r="A225" s="72"/>
      <c r="B225" s="80"/>
    </row>
  </sheetData>
  <mergeCells count="2">
    <mergeCell ref="A93:L96"/>
    <mergeCell ref="A98:L100"/>
  </mergeCells>
  <pageMargins left="0.25" right="0.25" top="0.75" bottom="0.75" header="0.3" footer="0.3"/>
  <pageSetup paperSize="9" orientation="portrait" horizontalDpi="360" verticalDpi="36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731C0-8D69-42F5-B683-631FA94DA355}">
  <dimension ref="A1:L225"/>
  <sheetViews>
    <sheetView topLeftCell="A46" zoomScale="170" zoomScaleNormal="170" workbookViewId="0">
      <selection activeCell="C65" sqref="C65"/>
    </sheetView>
  </sheetViews>
  <sheetFormatPr defaultRowHeight="13.8" x14ac:dyDescent="0.3"/>
  <cols>
    <col min="1" max="10" width="8" style="57" customWidth="1"/>
    <col min="11" max="11" width="8" style="54" customWidth="1"/>
    <col min="12" max="12" width="8" style="57" customWidth="1"/>
    <col min="13" max="13" width="8.88671875" style="57"/>
    <col min="14" max="15" width="8.88671875" style="57" customWidth="1"/>
    <col min="16" max="16384" width="8.88671875" style="57"/>
  </cols>
  <sheetData>
    <row r="1" spans="1:12" ht="13.8" customHeight="1" x14ac:dyDescent="0.3">
      <c r="A1" s="90" t="s">
        <v>1010</v>
      </c>
      <c r="C1" s="61"/>
      <c r="D1" s="61"/>
      <c r="F1" s="75" t="s">
        <v>5</v>
      </c>
      <c r="G1" s="54" t="s">
        <v>1036</v>
      </c>
      <c r="H1" s="151" t="s">
        <v>173</v>
      </c>
      <c r="I1" s="81" t="s">
        <v>348</v>
      </c>
      <c r="J1" s="100"/>
      <c r="K1" s="61"/>
      <c r="L1" s="209" t="s">
        <v>1114</v>
      </c>
    </row>
    <row r="3" spans="1:12" x14ac:dyDescent="0.3">
      <c r="A3" s="156" t="s">
        <v>0</v>
      </c>
      <c r="B3" s="57" t="s">
        <v>1074</v>
      </c>
      <c r="E3" s="156" t="s">
        <v>2</v>
      </c>
      <c r="F3" s="152" t="s">
        <v>1109</v>
      </c>
      <c r="H3" s="55" t="s">
        <v>1110</v>
      </c>
      <c r="K3" s="57"/>
    </row>
    <row r="4" spans="1:12" x14ac:dyDescent="0.3">
      <c r="A4" s="156" t="s">
        <v>343</v>
      </c>
      <c r="B4" s="57" t="s">
        <v>1040</v>
      </c>
      <c r="H4" s="230" t="s">
        <v>1111</v>
      </c>
    </row>
    <row r="5" spans="1:12" x14ac:dyDescent="0.3">
      <c r="A5" s="156" t="s">
        <v>4</v>
      </c>
      <c r="B5" s="152" t="s">
        <v>1073</v>
      </c>
      <c r="E5" s="210" t="s">
        <v>3</v>
      </c>
      <c r="F5" s="139" t="s">
        <v>1112</v>
      </c>
      <c r="G5" s="85"/>
      <c r="H5" s="140" t="s">
        <v>1113</v>
      </c>
      <c r="I5" s="85"/>
      <c r="J5" s="85"/>
      <c r="K5" s="131"/>
      <c r="L5" s="85"/>
    </row>
    <row r="6" spans="1:12" x14ac:dyDescent="0.3">
      <c r="A6" s="156" t="s">
        <v>69</v>
      </c>
      <c r="B6" s="57" t="s">
        <v>126</v>
      </c>
      <c r="H6" s="55" t="s">
        <v>1115</v>
      </c>
    </row>
    <row r="8" spans="1:12" ht="13.8" customHeight="1" x14ac:dyDescent="0.3">
      <c r="F8" s="72" t="s">
        <v>7</v>
      </c>
    </row>
    <row r="9" spans="1:12" x14ac:dyDescent="0.3">
      <c r="B9" s="72" t="s">
        <v>8</v>
      </c>
      <c r="C9" s="73"/>
      <c r="D9" s="73"/>
      <c r="E9" s="73"/>
      <c r="F9" s="72" t="s">
        <v>9</v>
      </c>
      <c r="G9" s="73"/>
      <c r="H9" s="73"/>
      <c r="I9" s="73"/>
      <c r="J9" s="72" t="s">
        <v>10</v>
      </c>
    </row>
    <row r="10" spans="1:12" x14ac:dyDescent="0.3">
      <c r="A10" s="165" t="s">
        <v>11</v>
      </c>
      <c r="B10" s="80"/>
      <c r="D10" s="163">
        <v>3</v>
      </c>
      <c r="E10" s="165" t="s">
        <v>12</v>
      </c>
      <c r="F10" s="80"/>
      <c r="H10" s="163">
        <v>2</v>
      </c>
      <c r="I10" s="165" t="s">
        <v>13</v>
      </c>
      <c r="J10" s="80"/>
      <c r="L10" s="163">
        <v>2</v>
      </c>
    </row>
    <row r="11" spans="1:12" x14ac:dyDescent="0.3">
      <c r="A11" s="165" t="s">
        <v>14</v>
      </c>
      <c r="B11" s="80" t="s">
        <v>1116</v>
      </c>
      <c r="D11" s="163">
        <v>4</v>
      </c>
      <c r="E11" s="165" t="s">
        <v>16</v>
      </c>
      <c r="F11" s="80"/>
      <c r="H11" s="163">
        <v>2</v>
      </c>
      <c r="I11" s="165" t="s">
        <v>18</v>
      </c>
      <c r="J11" s="80"/>
      <c r="L11" s="163">
        <v>2</v>
      </c>
    </row>
    <row r="12" spans="1:12" x14ac:dyDescent="0.3">
      <c r="A12" s="165" t="s">
        <v>15</v>
      </c>
      <c r="B12" s="80"/>
      <c r="D12" s="163">
        <v>3</v>
      </c>
      <c r="E12" s="165" t="s">
        <v>17</v>
      </c>
      <c r="F12" s="80"/>
      <c r="H12" s="163">
        <v>2</v>
      </c>
      <c r="I12" s="165" t="s">
        <v>19</v>
      </c>
      <c r="J12" s="80" t="s">
        <v>1117</v>
      </c>
      <c r="L12" s="163">
        <v>4</v>
      </c>
    </row>
    <row r="13" spans="1:12" x14ac:dyDescent="0.3">
      <c r="C13" s="75"/>
      <c r="G13" s="75"/>
      <c r="K13" s="75"/>
    </row>
    <row r="14" spans="1:12" x14ac:dyDescent="0.3">
      <c r="F14" s="72" t="s">
        <v>21</v>
      </c>
    </row>
    <row r="15" spans="1:12" ht="13.2" customHeight="1" x14ac:dyDescent="0.3">
      <c r="B15" s="72" t="s">
        <v>22</v>
      </c>
      <c r="C15" s="72"/>
      <c r="D15" s="72"/>
      <c r="E15" s="72"/>
      <c r="F15" s="72" t="s">
        <v>53</v>
      </c>
      <c r="G15" s="72"/>
      <c r="H15" s="72"/>
      <c r="I15" s="72"/>
      <c r="J15" s="72" t="s">
        <v>54</v>
      </c>
    </row>
    <row r="16" spans="1:12" x14ac:dyDescent="0.3">
      <c r="A16" s="154" t="s">
        <v>23</v>
      </c>
      <c r="B16" s="80" t="s">
        <v>1118</v>
      </c>
      <c r="D16" s="163">
        <v>4</v>
      </c>
      <c r="E16" s="154" t="s">
        <v>438</v>
      </c>
      <c r="F16" s="80"/>
      <c r="G16" s="54"/>
      <c r="H16" s="163">
        <v>1</v>
      </c>
      <c r="I16" s="154" t="s">
        <v>31</v>
      </c>
      <c r="J16" s="111"/>
      <c r="L16" s="163">
        <v>0</v>
      </c>
    </row>
    <row r="17" spans="1:12" x14ac:dyDescent="0.3">
      <c r="A17" s="154" t="s">
        <v>32</v>
      </c>
      <c r="B17" s="80"/>
      <c r="D17" s="163">
        <v>0</v>
      </c>
      <c r="E17" s="154" t="s">
        <v>33</v>
      </c>
      <c r="F17" s="80"/>
      <c r="G17" s="54"/>
      <c r="H17" s="163">
        <v>0</v>
      </c>
      <c r="I17" s="154" t="s">
        <v>34</v>
      </c>
      <c r="J17" s="80"/>
      <c r="L17" s="163">
        <v>0</v>
      </c>
    </row>
    <row r="18" spans="1:12" x14ac:dyDescent="0.3">
      <c r="A18" s="154" t="s">
        <v>436</v>
      </c>
      <c r="B18" s="80"/>
      <c r="D18" s="163">
        <v>1</v>
      </c>
      <c r="E18" s="154" t="s">
        <v>437</v>
      </c>
      <c r="F18" s="111" t="s">
        <v>1121</v>
      </c>
      <c r="G18" s="54"/>
      <c r="H18" s="163">
        <v>2</v>
      </c>
      <c r="I18" s="154" t="s">
        <v>36</v>
      </c>
      <c r="J18" s="80"/>
      <c r="L18" s="163">
        <v>0</v>
      </c>
    </row>
    <row r="19" spans="1:12" x14ac:dyDescent="0.3">
      <c r="A19" s="154" t="s">
        <v>26</v>
      </c>
      <c r="B19" s="80"/>
      <c r="D19" s="163">
        <v>1</v>
      </c>
      <c r="E19" s="154" t="s">
        <v>38</v>
      </c>
      <c r="F19" s="80"/>
      <c r="G19" s="54"/>
      <c r="H19" s="163">
        <v>1</v>
      </c>
      <c r="I19" s="154" t="s">
        <v>45</v>
      </c>
      <c r="J19" s="80"/>
      <c r="L19" s="163">
        <v>0</v>
      </c>
    </row>
    <row r="20" spans="1:12" x14ac:dyDescent="0.3">
      <c r="A20" s="154" t="s">
        <v>27</v>
      </c>
      <c r="B20" s="80"/>
      <c r="D20" s="163">
        <v>0</v>
      </c>
      <c r="E20" s="154" t="s">
        <v>39</v>
      </c>
      <c r="F20" s="80"/>
      <c r="G20" s="54"/>
      <c r="H20" s="163">
        <v>1</v>
      </c>
      <c r="I20" s="154" t="s">
        <v>46</v>
      </c>
      <c r="J20" s="80"/>
      <c r="L20" s="163">
        <v>0</v>
      </c>
    </row>
    <row r="21" spans="1:12" x14ac:dyDescent="0.3">
      <c r="A21" s="154" t="s">
        <v>28</v>
      </c>
      <c r="B21" s="80" t="s">
        <v>1120</v>
      </c>
      <c r="D21" s="163">
        <v>4</v>
      </c>
      <c r="E21" s="154" t="s">
        <v>40</v>
      </c>
      <c r="F21" s="80"/>
      <c r="G21" s="54"/>
      <c r="H21" s="163">
        <v>2</v>
      </c>
      <c r="I21" s="154" t="s">
        <v>47</v>
      </c>
      <c r="J21" s="80"/>
      <c r="L21" s="163">
        <v>0</v>
      </c>
    </row>
    <row r="22" spans="1:12" x14ac:dyDescent="0.3">
      <c r="A22" s="154" t="s">
        <v>24</v>
      </c>
      <c r="B22" s="80" t="s">
        <v>1119</v>
      </c>
      <c r="D22" s="163">
        <v>4</v>
      </c>
      <c r="E22" s="154" t="s">
        <v>41</v>
      </c>
      <c r="F22" s="80"/>
      <c r="G22" s="54"/>
      <c r="H22" s="163">
        <v>0</v>
      </c>
      <c r="I22" s="154" t="s">
        <v>48</v>
      </c>
      <c r="J22" s="80"/>
      <c r="L22" s="163">
        <v>1</v>
      </c>
    </row>
    <row r="23" spans="1:12" x14ac:dyDescent="0.3">
      <c r="A23" s="154" t="s">
        <v>1011</v>
      </c>
      <c r="B23" s="80"/>
      <c r="D23" s="163">
        <v>0</v>
      </c>
      <c r="E23" s="154" t="s">
        <v>42</v>
      </c>
      <c r="F23" s="80"/>
      <c r="G23" s="54"/>
      <c r="H23" s="163">
        <v>0</v>
      </c>
      <c r="I23" s="154" t="s">
        <v>49</v>
      </c>
      <c r="J23" s="80"/>
      <c r="L23" s="163">
        <v>1</v>
      </c>
    </row>
    <row r="24" spans="1:12" x14ac:dyDescent="0.3">
      <c r="A24" s="154" t="s">
        <v>358</v>
      </c>
      <c r="B24" s="80"/>
      <c r="D24" s="163">
        <v>2</v>
      </c>
      <c r="E24" s="154" t="s">
        <v>43</v>
      </c>
      <c r="F24" s="80"/>
      <c r="G24" s="54"/>
      <c r="H24" s="163">
        <v>1</v>
      </c>
      <c r="I24" s="154" t="s">
        <v>50</v>
      </c>
      <c r="J24" s="80"/>
      <c r="L24" s="163">
        <v>0</v>
      </c>
    </row>
    <row r="25" spans="1:12" x14ac:dyDescent="0.3">
      <c r="A25" s="154" t="s">
        <v>29</v>
      </c>
      <c r="B25" s="80"/>
      <c r="D25" s="163">
        <v>0</v>
      </c>
      <c r="E25" s="154" t="s">
        <v>44</v>
      </c>
      <c r="F25" s="80"/>
      <c r="G25" s="54"/>
      <c r="H25" s="163">
        <v>2</v>
      </c>
      <c r="I25" s="154" t="s">
        <v>51</v>
      </c>
      <c r="J25" s="80"/>
      <c r="L25" s="163">
        <v>2</v>
      </c>
    </row>
    <row r="27" spans="1:12" x14ac:dyDescent="0.3">
      <c r="C27" s="75"/>
      <c r="G27" s="75"/>
      <c r="K27" s="75"/>
    </row>
    <row r="28" spans="1:12" x14ac:dyDescent="0.3">
      <c r="A28" s="73"/>
      <c r="B28" s="72" t="s">
        <v>56</v>
      </c>
      <c r="C28" s="73"/>
      <c r="D28" s="73"/>
      <c r="E28" s="73"/>
      <c r="F28" s="73"/>
      <c r="H28" s="73"/>
      <c r="I28" s="72" t="s">
        <v>57</v>
      </c>
      <c r="J28" s="73"/>
      <c r="K28" s="55"/>
      <c r="L28" s="170" t="s">
        <v>480</v>
      </c>
    </row>
    <row r="29" spans="1:12" ht="13.8" customHeight="1" x14ac:dyDescent="0.3">
      <c r="A29" s="80" t="s">
        <v>0</v>
      </c>
      <c r="B29" s="75" t="s">
        <v>73</v>
      </c>
      <c r="C29" s="80" t="s">
        <v>61</v>
      </c>
      <c r="G29" s="73"/>
      <c r="H29" s="166" t="s">
        <v>58</v>
      </c>
      <c r="J29" s="167">
        <v>3</v>
      </c>
      <c r="K29" s="162" t="s">
        <v>465</v>
      </c>
      <c r="L29" s="54"/>
    </row>
    <row r="30" spans="1:12" s="73" customFormat="1" x14ac:dyDescent="0.3">
      <c r="A30" s="57" t="s">
        <v>129</v>
      </c>
      <c r="B30" s="54">
        <v>2</v>
      </c>
      <c r="C30" s="175" t="s">
        <v>1122</v>
      </c>
      <c r="D30" s="57"/>
      <c r="E30" s="57"/>
      <c r="F30" s="57"/>
      <c r="G30" s="57"/>
      <c r="H30" s="166" t="s">
        <v>342</v>
      </c>
      <c r="I30" s="57"/>
      <c r="J30" s="167">
        <v>2</v>
      </c>
      <c r="K30" s="55" t="s">
        <v>477</v>
      </c>
      <c r="L30" s="54"/>
    </row>
    <row r="31" spans="1:12" x14ac:dyDescent="0.3">
      <c r="A31" s="57" t="s">
        <v>130</v>
      </c>
      <c r="B31" s="54">
        <v>1</v>
      </c>
      <c r="C31" s="80" t="s">
        <v>1123</v>
      </c>
      <c r="H31" s="166" t="s">
        <v>59</v>
      </c>
      <c r="J31" s="167">
        <v>5</v>
      </c>
      <c r="K31" s="55" t="s">
        <v>479</v>
      </c>
      <c r="L31" s="54"/>
    </row>
    <row r="32" spans="1:12" x14ac:dyDescent="0.3">
      <c r="A32" s="57" t="s">
        <v>130</v>
      </c>
      <c r="B32" s="54">
        <v>2</v>
      </c>
      <c r="C32" s="80" t="s">
        <v>1124</v>
      </c>
      <c r="H32" s="63" t="s">
        <v>70</v>
      </c>
      <c r="J32" s="167" t="s">
        <v>131</v>
      </c>
      <c r="L32" s="54"/>
    </row>
    <row r="33" spans="1:12" x14ac:dyDescent="0.3">
      <c r="B33" s="54"/>
      <c r="C33" s="80"/>
      <c r="H33" s="63" t="s">
        <v>66</v>
      </c>
      <c r="J33" s="167">
        <v>6</v>
      </c>
      <c r="K33" s="162" t="s">
        <v>464</v>
      </c>
      <c r="L33" s="54"/>
    </row>
    <row r="34" spans="1:12" x14ac:dyDescent="0.3">
      <c r="A34" s="66"/>
      <c r="B34" s="66"/>
      <c r="C34" s="66"/>
      <c r="D34" s="66"/>
      <c r="E34" s="66"/>
      <c r="F34" s="66"/>
      <c r="L34" s="215" t="s">
        <v>471</v>
      </c>
    </row>
    <row r="35" spans="1:12" x14ac:dyDescent="0.3">
      <c r="H35" s="63" t="s">
        <v>20</v>
      </c>
      <c r="J35" s="167">
        <v>5</v>
      </c>
      <c r="K35" s="162" t="s">
        <v>478</v>
      </c>
      <c r="L35" s="54"/>
    </row>
    <row r="36" spans="1:12" x14ac:dyDescent="0.3">
      <c r="A36" s="66"/>
      <c r="B36" s="66"/>
      <c r="C36" s="66"/>
      <c r="D36" s="66"/>
      <c r="E36" s="66"/>
      <c r="F36" s="66"/>
      <c r="H36" s="63" t="s">
        <v>1019</v>
      </c>
      <c r="J36" s="167">
        <v>10</v>
      </c>
      <c r="K36" s="162" t="s">
        <v>494</v>
      </c>
    </row>
    <row r="37" spans="1:12" x14ac:dyDescent="0.3">
      <c r="G37" s="73"/>
      <c r="H37" s="63" t="s">
        <v>341</v>
      </c>
      <c r="I37" s="73"/>
      <c r="J37" s="167">
        <f>7-J30</f>
        <v>5</v>
      </c>
      <c r="K37" s="162" t="s">
        <v>481</v>
      </c>
      <c r="L37" s="73"/>
    </row>
    <row r="38" spans="1:12" s="73" customFormat="1" x14ac:dyDescent="0.3">
      <c r="A38" s="157"/>
      <c r="B38" s="157"/>
      <c r="C38" s="157"/>
      <c r="D38" s="157"/>
      <c r="E38" s="157"/>
      <c r="F38" s="157"/>
      <c r="H38" s="57"/>
      <c r="I38" s="57"/>
      <c r="J38" s="57"/>
      <c r="K38" s="54"/>
      <c r="L38" s="57"/>
    </row>
    <row r="39" spans="1:12" x14ac:dyDescent="0.3">
      <c r="A39" s="66"/>
      <c r="B39" s="66"/>
      <c r="C39" s="66"/>
      <c r="D39" s="66"/>
      <c r="E39" s="66"/>
      <c r="F39" s="66"/>
      <c r="H39" s="63" t="s">
        <v>495</v>
      </c>
      <c r="I39" s="171"/>
      <c r="J39" s="171"/>
      <c r="K39" s="73"/>
      <c r="L39" s="73"/>
    </row>
    <row r="40" spans="1:12" ht="13.8" customHeight="1" x14ac:dyDescent="0.3">
      <c r="H40" s="63" t="s">
        <v>496</v>
      </c>
      <c r="I40" s="66"/>
      <c r="J40" s="66"/>
    </row>
    <row r="41" spans="1:12" x14ac:dyDescent="0.3">
      <c r="A41" s="157"/>
      <c r="B41" s="158"/>
      <c r="C41" s="157"/>
      <c r="D41" s="66"/>
      <c r="E41" s="69"/>
      <c r="F41" s="66"/>
      <c r="G41" s="73"/>
    </row>
    <row r="42" spans="1:12" x14ac:dyDescent="0.3">
      <c r="B42" s="54"/>
      <c r="D42" s="54"/>
      <c r="E42" s="153"/>
      <c r="H42" s="90" t="s">
        <v>366</v>
      </c>
      <c r="I42" s="75" t="s">
        <v>182</v>
      </c>
      <c r="J42" s="75" t="s">
        <v>142</v>
      </c>
      <c r="K42" s="75" t="s">
        <v>143</v>
      </c>
      <c r="L42" s="75" t="s">
        <v>144</v>
      </c>
    </row>
    <row r="43" spans="1:12" x14ac:dyDescent="0.3">
      <c r="A43" s="68"/>
      <c r="B43" s="68"/>
      <c r="C43" s="69"/>
      <c r="D43" s="108"/>
      <c r="E43" s="109"/>
      <c r="F43" s="66"/>
      <c r="H43" s="172"/>
      <c r="I43" s="172" t="s">
        <v>500</v>
      </c>
      <c r="J43" s="172" t="s">
        <v>498</v>
      </c>
      <c r="K43" s="172" t="s">
        <v>499</v>
      </c>
      <c r="L43" s="172" t="s">
        <v>497</v>
      </c>
    </row>
    <row r="44" spans="1:12" x14ac:dyDescent="0.3">
      <c r="A44" s="152"/>
      <c r="B44" s="152"/>
      <c r="C44" s="54"/>
      <c r="D44" s="55"/>
      <c r="E44" s="153"/>
      <c r="H44" s="63" t="s">
        <v>156</v>
      </c>
      <c r="I44" s="167">
        <v>0</v>
      </c>
      <c r="J44" s="159" t="b">
        <v>0</v>
      </c>
      <c r="K44" s="160" t="b">
        <v>0</v>
      </c>
      <c r="L44" s="159" t="b">
        <v>0</v>
      </c>
    </row>
    <row r="45" spans="1:12" ht="13.8" customHeight="1" x14ac:dyDescent="0.3">
      <c r="A45" s="68"/>
      <c r="B45" s="68"/>
      <c r="C45" s="69"/>
      <c r="D45" s="168"/>
      <c r="E45" s="109"/>
      <c r="F45" s="66"/>
      <c r="H45" s="63" t="s">
        <v>157</v>
      </c>
      <c r="I45" s="167">
        <v>-1</v>
      </c>
      <c r="J45" s="161" t="b">
        <v>0</v>
      </c>
      <c r="K45" s="160" t="b">
        <v>0</v>
      </c>
      <c r="L45" s="159" t="b">
        <v>0</v>
      </c>
    </row>
    <row r="46" spans="1:12" x14ac:dyDescent="0.3">
      <c r="C46" s="54"/>
      <c r="D46" s="80"/>
      <c r="E46" s="54"/>
      <c r="H46" s="63" t="s">
        <v>158</v>
      </c>
      <c r="I46" s="167">
        <v>-1</v>
      </c>
      <c r="J46" s="159" t="b">
        <v>0</v>
      </c>
      <c r="K46" s="160" t="b">
        <v>0</v>
      </c>
      <c r="L46" s="159" t="b">
        <v>0</v>
      </c>
    </row>
    <row r="47" spans="1:12" x14ac:dyDescent="0.3">
      <c r="A47" s="68"/>
      <c r="B47" s="68"/>
      <c r="C47" s="69"/>
      <c r="D47" s="108"/>
      <c r="E47" s="109"/>
      <c r="F47" s="66"/>
      <c r="H47" s="63" t="s">
        <v>159</v>
      </c>
      <c r="I47" s="167">
        <v>-2</v>
      </c>
      <c r="J47" s="159" t="b">
        <v>0</v>
      </c>
      <c r="K47" s="160" t="b">
        <v>0</v>
      </c>
      <c r="L47" s="159" t="b">
        <v>0</v>
      </c>
    </row>
    <row r="48" spans="1:12" x14ac:dyDescent="0.3">
      <c r="A48" s="152"/>
      <c r="B48" s="152"/>
      <c r="C48" s="54"/>
      <c r="D48" s="55"/>
      <c r="E48" s="153"/>
      <c r="H48" s="63" t="s">
        <v>441</v>
      </c>
      <c r="I48" s="167">
        <v>-2</v>
      </c>
      <c r="J48" s="159" t="b">
        <v>0</v>
      </c>
      <c r="K48" s="160" t="b">
        <v>0</v>
      </c>
      <c r="L48" s="159" t="b">
        <v>0</v>
      </c>
    </row>
    <row r="49" spans="1:12" x14ac:dyDescent="0.3">
      <c r="A49" s="66"/>
      <c r="B49" s="69"/>
      <c r="C49" s="66"/>
      <c r="D49" s="82"/>
      <c r="E49" s="66"/>
      <c r="F49" s="66"/>
      <c r="H49" s="63" t="s">
        <v>161</v>
      </c>
      <c r="I49" s="167">
        <v>-5</v>
      </c>
      <c r="J49" s="159" t="b">
        <v>0</v>
      </c>
      <c r="K49" s="160" t="b">
        <v>0</v>
      </c>
      <c r="L49" s="159" t="b">
        <v>0</v>
      </c>
    </row>
    <row r="50" spans="1:12" x14ac:dyDescent="0.3">
      <c r="A50" s="66"/>
      <c r="B50" s="69"/>
      <c r="C50" s="66"/>
      <c r="D50" s="82"/>
      <c r="E50" s="66"/>
      <c r="F50" s="66"/>
      <c r="H50" s="63" t="s">
        <v>162</v>
      </c>
      <c r="I50" s="167" t="s">
        <v>131</v>
      </c>
    </row>
    <row r="51" spans="1:12" x14ac:dyDescent="0.3">
      <c r="A51" s="80" t="s">
        <v>55</v>
      </c>
      <c r="C51" s="75" t="s">
        <v>73</v>
      </c>
      <c r="D51" s="80" t="s">
        <v>61</v>
      </c>
    </row>
    <row r="52" spans="1:12" x14ac:dyDescent="0.3">
      <c r="A52" s="165" t="s">
        <v>453</v>
      </c>
      <c r="C52" s="54">
        <v>2</v>
      </c>
      <c r="D52" s="80" t="s">
        <v>1125</v>
      </c>
    </row>
    <row r="53" spans="1:12" x14ac:dyDescent="0.3">
      <c r="A53" s="165" t="s">
        <v>97</v>
      </c>
      <c r="C53" s="54">
        <v>1</v>
      </c>
      <c r="D53" s="80" t="s">
        <v>1033</v>
      </c>
    </row>
    <row r="54" spans="1:12" x14ac:dyDescent="0.3">
      <c r="A54" s="165" t="s">
        <v>99</v>
      </c>
      <c r="C54" s="54">
        <v>2</v>
      </c>
      <c r="D54" s="80" t="s">
        <v>1126</v>
      </c>
      <c r="E54" s="155"/>
    </row>
    <row r="55" spans="1:12" x14ac:dyDescent="0.3">
      <c r="A55" s="165" t="s">
        <v>5</v>
      </c>
      <c r="C55" s="54">
        <v>1</v>
      </c>
      <c r="D55" s="80" t="s">
        <v>1035</v>
      </c>
      <c r="E55" s="155"/>
    </row>
    <row r="56" spans="1:12" x14ac:dyDescent="0.3">
      <c r="A56" s="165" t="s">
        <v>96</v>
      </c>
      <c r="C56" s="54">
        <v>1</v>
      </c>
      <c r="D56" s="80" t="s">
        <v>1132</v>
      </c>
      <c r="E56" s="155"/>
    </row>
    <row r="57" spans="1:12" x14ac:dyDescent="0.3">
      <c r="A57" s="165" t="s">
        <v>98</v>
      </c>
      <c r="C57" s="54">
        <v>2</v>
      </c>
      <c r="D57" s="80" t="s">
        <v>1037</v>
      </c>
      <c r="E57" s="155"/>
    </row>
    <row r="58" spans="1:12" x14ac:dyDescent="0.3">
      <c r="E58" s="155"/>
    </row>
    <row r="59" spans="1:12" x14ac:dyDescent="0.3">
      <c r="A59" s="214"/>
      <c r="B59" s="66"/>
      <c r="C59" s="69"/>
      <c r="D59" s="82"/>
      <c r="E59" s="214"/>
      <c r="F59" s="66"/>
      <c r="G59" s="66"/>
      <c r="H59" s="66"/>
      <c r="I59" s="66"/>
      <c r="J59" s="66"/>
      <c r="K59" s="69"/>
      <c r="L59" s="66"/>
    </row>
    <row r="60" spans="1:12" x14ac:dyDescent="0.3">
      <c r="A60" s="214"/>
      <c r="B60" s="66"/>
      <c r="C60" s="69"/>
      <c r="D60" s="82"/>
      <c r="E60" s="214"/>
      <c r="F60" s="66"/>
      <c r="G60" s="66"/>
      <c r="H60" s="66"/>
      <c r="I60" s="66"/>
      <c r="J60" s="66"/>
      <c r="K60" s="69"/>
      <c r="L60" s="66"/>
    </row>
    <row r="61" spans="1:12" x14ac:dyDescent="0.3">
      <c r="A61" s="155"/>
      <c r="C61" s="54"/>
      <c r="D61" s="80"/>
      <c r="E61" s="155"/>
    </row>
    <row r="62" spans="1:12" x14ac:dyDescent="0.3">
      <c r="A62" s="55" t="s">
        <v>1028</v>
      </c>
      <c r="C62" s="75" t="s">
        <v>203</v>
      </c>
      <c r="D62" s="80" t="s">
        <v>61</v>
      </c>
    </row>
    <row r="63" spans="1:12" x14ac:dyDescent="0.3">
      <c r="A63" s="165" t="s">
        <v>1136</v>
      </c>
      <c r="C63" s="54">
        <v>-5</v>
      </c>
      <c r="D63" s="80" t="s">
        <v>1134</v>
      </c>
    </row>
    <row r="64" spans="1:12" x14ac:dyDescent="0.3">
      <c r="A64" s="63"/>
      <c r="D64" s="80" t="s">
        <v>1135</v>
      </c>
    </row>
    <row r="65" spans="1:12" x14ac:dyDescent="0.3">
      <c r="A65" s="165" t="s">
        <v>1020</v>
      </c>
      <c r="C65" s="54">
        <v>1</v>
      </c>
      <c r="D65" s="80" t="s">
        <v>1133</v>
      </c>
    </row>
    <row r="66" spans="1:12" x14ac:dyDescent="0.3">
      <c r="A66" s="165"/>
      <c r="C66" s="54"/>
      <c r="D66" s="80"/>
    </row>
    <row r="67" spans="1:12" x14ac:dyDescent="0.3">
      <c r="A67" s="165"/>
      <c r="C67" s="54"/>
      <c r="D67" s="80"/>
    </row>
    <row r="68" spans="1:12" x14ac:dyDescent="0.3">
      <c r="A68" s="165"/>
      <c r="C68" s="54"/>
      <c r="D68" s="80"/>
    </row>
    <row r="70" spans="1:12" x14ac:dyDescent="0.3">
      <c r="A70" s="66"/>
      <c r="B70" s="66"/>
      <c r="C70" s="66"/>
      <c r="D70" s="66"/>
      <c r="E70" s="66"/>
      <c r="F70" s="66"/>
      <c r="G70" s="66"/>
      <c r="H70" s="66"/>
      <c r="I70" s="66"/>
      <c r="J70" s="66"/>
      <c r="K70" s="69"/>
      <c r="L70" s="66"/>
    </row>
    <row r="71" spans="1:12" x14ac:dyDescent="0.3">
      <c r="A71" s="66"/>
      <c r="B71" s="66"/>
      <c r="C71" s="66"/>
      <c r="D71" s="66"/>
      <c r="E71" s="66"/>
      <c r="F71" s="66"/>
      <c r="G71" s="66"/>
      <c r="H71" s="66"/>
      <c r="I71" s="66"/>
      <c r="J71" s="66"/>
      <c r="K71" s="69"/>
      <c r="L71" s="66"/>
    </row>
    <row r="73" spans="1:12" x14ac:dyDescent="0.3">
      <c r="A73" s="57" t="s">
        <v>105</v>
      </c>
      <c r="C73" s="63" t="s">
        <v>1137</v>
      </c>
    </row>
    <row r="74" spans="1:12" x14ac:dyDescent="0.3">
      <c r="A74" s="57" t="s">
        <v>106</v>
      </c>
      <c r="C74" s="63" t="s">
        <v>1138</v>
      </c>
    </row>
    <row r="75" spans="1:12" x14ac:dyDescent="0.3">
      <c r="A75" s="57" t="s">
        <v>98</v>
      </c>
      <c r="C75" s="63" t="s">
        <v>1139</v>
      </c>
    </row>
    <row r="76" spans="1:12" x14ac:dyDescent="0.3">
      <c r="A76" s="57" t="s">
        <v>108</v>
      </c>
      <c r="C76" s="100"/>
      <c r="D76" s="61"/>
      <c r="E76" s="61"/>
      <c r="F76" s="61"/>
      <c r="G76" s="61"/>
      <c r="H76" s="61"/>
      <c r="I76" s="61"/>
      <c r="J76" s="61"/>
      <c r="K76" s="78"/>
      <c r="L76" s="61"/>
    </row>
    <row r="78" spans="1:12" x14ac:dyDescent="0.3">
      <c r="A78" s="57" t="s">
        <v>110</v>
      </c>
      <c r="C78" s="57" t="s">
        <v>109</v>
      </c>
      <c r="E78" s="57" t="s">
        <v>61</v>
      </c>
    </row>
    <row r="79" spans="1:12" x14ac:dyDescent="0.3">
      <c r="A79" s="80" t="s">
        <v>1140</v>
      </c>
      <c r="B79" s="80"/>
      <c r="C79" s="80" t="s">
        <v>1142</v>
      </c>
      <c r="E79" s="57" t="s">
        <v>1141</v>
      </c>
    </row>
    <row r="80" spans="1:12" x14ac:dyDescent="0.3">
      <c r="A80" s="81"/>
      <c r="B80" s="81"/>
      <c r="C80" s="81"/>
      <c r="D80" s="61"/>
      <c r="E80" s="61"/>
      <c r="F80" s="61"/>
      <c r="G80" s="61"/>
      <c r="H80" s="61"/>
      <c r="I80" s="61"/>
      <c r="J80" s="61"/>
      <c r="K80" s="78"/>
      <c r="L80" s="61"/>
    </row>
    <row r="81" spans="1:12" x14ac:dyDescent="0.3">
      <c r="A81" s="82"/>
      <c r="B81" s="82"/>
      <c r="C81" s="82"/>
      <c r="D81" s="66"/>
      <c r="E81" s="66"/>
      <c r="F81" s="66"/>
      <c r="G81" s="66"/>
      <c r="H81" s="66"/>
      <c r="I81" s="66"/>
      <c r="J81" s="66"/>
      <c r="K81" s="69"/>
      <c r="L81" s="66"/>
    </row>
    <row r="83" spans="1:12" x14ac:dyDescent="0.3">
      <c r="B83" s="54" t="s">
        <v>17</v>
      </c>
      <c r="J83" s="54" t="s">
        <v>123</v>
      </c>
      <c r="K83" s="57"/>
      <c r="L83" s="54"/>
    </row>
    <row r="84" spans="1:12" x14ac:dyDescent="0.3">
      <c r="A84" s="80" t="s">
        <v>113</v>
      </c>
      <c r="C84" s="212">
        <v>32</v>
      </c>
      <c r="E84" s="80" t="s">
        <v>118</v>
      </c>
      <c r="G84" s="212" t="s">
        <v>1145</v>
      </c>
      <c r="I84" s="57" t="s">
        <v>0</v>
      </c>
      <c r="K84" s="57" t="s">
        <v>87</v>
      </c>
    </row>
    <row r="85" spans="1:12" x14ac:dyDescent="0.3">
      <c r="A85" s="80" t="s">
        <v>112</v>
      </c>
      <c r="B85" s="66"/>
      <c r="C85" s="211">
        <v>0</v>
      </c>
      <c r="E85" s="80" t="s">
        <v>119</v>
      </c>
      <c r="F85" s="66"/>
      <c r="G85" s="236" t="s">
        <v>1146</v>
      </c>
      <c r="I85" s="66"/>
      <c r="J85" s="66"/>
      <c r="K85" s="66"/>
      <c r="L85" s="69"/>
    </row>
    <row r="86" spans="1:12" x14ac:dyDescent="0.3">
      <c r="A86" s="80" t="s">
        <v>114</v>
      </c>
      <c r="C86" s="213">
        <v>33345</v>
      </c>
      <c r="E86" s="80" t="s">
        <v>120</v>
      </c>
      <c r="G86" s="212" t="s">
        <v>1147</v>
      </c>
      <c r="I86" s="85"/>
      <c r="J86" s="85"/>
      <c r="K86" s="85"/>
      <c r="L86" s="131"/>
    </row>
    <row r="87" spans="1:12" x14ac:dyDescent="0.3">
      <c r="A87" s="80" t="s">
        <v>115</v>
      </c>
      <c r="B87" s="66"/>
      <c r="C87" s="213">
        <v>45943</v>
      </c>
      <c r="E87" s="80" t="s">
        <v>121</v>
      </c>
      <c r="F87" s="66"/>
      <c r="G87" s="211" t="s">
        <v>1148</v>
      </c>
      <c r="I87" s="66"/>
      <c r="J87" s="66"/>
      <c r="K87" s="66"/>
      <c r="L87" s="69"/>
    </row>
    <row r="88" spans="1:12" x14ac:dyDescent="0.3">
      <c r="A88" s="80" t="s">
        <v>116</v>
      </c>
      <c r="C88" s="212" t="s">
        <v>1143</v>
      </c>
      <c r="E88" s="80" t="s">
        <v>122</v>
      </c>
      <c r="G88" s="212" t="s">
        <v>394</v>
      </c>
      <c r="K88" s="57"/>
      <c r="L88" s="54"/>
    </row>
    <row r="89" spans="1:12" x14ac:dyDescent="0.3">
      <c r="A89" s="80" t="s">
        <v>117</v>
      </c>
      <c r="B89" s="66"/>
      <c r="C89" s="211" t="s">
        <v>1144</v>
      </c>
      <c r="E89" s="80"/>
      <c r="F89" s="66"/>
      <c r="G89" s="211"/>
      <c r="I89" s="66"/>
      <c r="J89" s="66"/>
      <c r="K89" s="66"/>
      <c r="L89" s="69"/>
    </row>
    <row r="90" spans="1:12" x14ac:dyDescent="0.3">
      <c r="I90" s="61"/>
      <c r="J90" s="61"/>
      <c r="K90" s="61"/>
      <c r="L90" s="78"/>
    </row>
    <row r="92" spans="1:12" x14ac:dyDescent="0.3">
      <c r="A92" s="90" t="s">
        <v>1070</v>
      </c>
    </row>
    <row r="93" spans="1:12" x14ac:dyDescent="0.3">
      <c r="A93" s="237" t="s">
        <v>1149</v>
      </c>
      <c r="B93" s="237"/>
      <c r="C93" s="237"/>
      <c r="D93" s="237"/>
      <c r="E93" s="237"/>
      <c r="F93" s="237"/>
      <c r="G93" s="237"/>
      <c r="H93" s="237"/>
      <c r="I93" s="237"/>
      <c r="J93" s="237"/>
      <c r="K93" s="237"/>
      <c r="L93" s="237"/>
    </row>
    <row r="94" spans="1:12" x14ac:dyDescent="0.3">
      <c r="A94" s="237"/>
      <c r="B94" s="237"/>
      <c r="C94" s="237"/>
      <c r="D94" s="237"/>
      <c r="E94" s="237"/>
      <c r="F94" s="237"/>
      <c r="G94" s="237"/>
      <c r="H94" s="237"/>
      <c r="I94" s="237"/>
      <c r="J94" s="237"/>
      <c r="K94" s="237"/>
      <c r="L94" s="237"/>
    </row>
    <row r="95" spans="1:12" x14ac:dyDescent="0.3">
      <c r="A95" s="237"/>
      <c r="B95" s="237"/>
      <c r="C95" s="237"/>
      <c r="D95" s="237"/>
      <c r="E95" s="237"/>
      <c r="F95" s="237"/>
      <c r="G95" s="237"/>
      <c r="H95" s="237"/>
      <c r="I95" s="237"/>
      <c r="J95" s="237"/>
      <c r="K95" s="237"/>
      <c r="L95" s="237"/>
    </row>
    <row r="96" spans="1:12" x14ac:dyDescent="0.3">
      <c r="A96" s="237"/>
      <c r="B96" s="237"/>
      <c r="C96" s="237"/>
      <c r="D96" s="237"/>
      <c r="E96" s="237"/>
      <c r="F96" s="237"/>
      <c r="G96" s="237"/>
      <c r="H96" s="237"/>
      <c r="I96" s="237"/>
      <c r="J96" s="237"/>
      <c r="K96" s="237"/>
      <c r="L96" s="237"/>
    </row>
    <row r="97" spans="1:12" x14ac:dyDescent="0.3">
      <c r="A97" s="90" t="s">
        <v>6</v>
      </c>
    </row>
    <row r="98" spans="1:12" x14ac:dyDescent="0.3">
      <c r="A98" s="216" t="s">
        <v>1150</v>
      </c>
      <c r="B98" s="216"/>
      <c r="C98" s="216"/>
      <c r="D98" s="216"/>
      <c r="E98" s="216"/>
      <c r="F98" s="216"/>
      <c r="G98" s="216"/>
      <c r="H98" s="216"/>
      <c r="I98" s="216"/>
      <c r="J98" s="216"/>
      <c r="K98" s="216"/>
      <c r="L98" s="216"/>
    </row>
    <row r="99" spans="1:12" x14ac:dyDescent="0.3">
      <c r="A99" s="216"/>
      <c r="B99" s="216"/>
      <c r="C99" s="216"/>
      <c r="D99" s="216"/>
      <c r="E99" s="216"/>
      <c r="F99" s="216"/>
      <c r="G99" s="216"/>
      <c r="H99" s="216"/>
      <c r="I99" s="216"/>
      <c r="J99" s="216"/>
      <c r="K99" s="216"/>
      <c r="L99" s="216"/>
    </row>
    <row r="100" spans="1:12" x14ac:dyDescent="0.3">
      <c r="A100" s="216"/>
      <c r="B100" s="216"/>
      <c r="C100" s="216"/>
      <c r="D100" s="216"/>
      <c r="E100" s="216"/>
      <c r="F100" s="216"/>
      <c r="G100" s="216"/>
      <c r="H100" s="216"/>
      <c r="I100" s="216"/>
      <c r="J100" s="216"/>
      <c r="K100" s="216"/>
      <c r="L100" s="216"/>
    </row>
    <row r="101" spans="1:12" x14ac:dyDescent="0.3">
      <c r="F101" s="72" t="s">
        <v>1066</v>
      </c>
    </row>
    <row r="102" spans="1:12" ht="13.8" customHeight="1" x14ac:dyDescent="0.3">
      <c r="A102" s="57" t="s">
        <v>78</v>
      </c>
      <c r="C102" s="57" t="s">
        <v>73</v>
      </c>
      <c r="D102" s="57" t="s">
        <v>81</v>
      </c>
      <c r="E102" s="57" t="s">
        <v>79</v>
      </c>
    </row>
    <row r="103" spans="1:12" x14ac:dyDescent="0.3">
      <c r="A103" s="82" t="s">
        <v>407</v>
      </c>
      <c r="B103" s="66"/>
      <c r="C103" s="169">
        <v>1</v>
      </c>
      <c r="D103" s="134" t="s">
        <v>1068</v>
      </c>
      <c r="E103" s="82" t="s">
        <v>483</v>
      </c>
      <c r="F103" s="66"/>
      <c r="G103" s="66"/>
      <c r="H103" s="66"/>
      <c r="I103" s="66"/>
      <c r="J103" s="66"/>
      <c r="K103" s="69"/>
      <c r="L103" s="66"/>
    </row>
    <row r="104" spans="1:12" x14ac:dyDescent="0.3">
      <c r="A104" s="80" t="s">
        <v>1151</v>
      </c>
      <c r="C104" s="169" t="s">
        <v>131</v>
      </c>
      <c r="D104" s="134" t="s">
        <v>1128</v>
      </c>
      <c r="E104" s="238" t="s">
        <v>1152</v>
      </c>
    </row>
    <row r="105" spans="1:12" x14ac:dyDescent="0.3">
      <c r="A105" s="66"/>
      <c r="B105" s="66"/>
      <c r="C105" s="66"/>
      <c r="D105" s="134"/>
      <c r="E105" s="99"/>
      <c r="F105" s="66"/>
      <c r="G105" s="66"/>
      <c r="H105" s="66"/>
      <c r="I105" s="66"/>
      <c r="J105" s="66"/>
      <c r="K105" s="69"/>
      <c r="L105" s="66"/>
    </row>
    <row r="106" spans="1:12" x14ac:dyDescent="0.3">
      <c r="D106" s="134"/>
      <c r="E106" s="99"/>
    </row>
    <row r="107" spans="1:12" x14ac:dyDescent="0.3">
      <c r="A107" s="66"/>
      <c r="B107" s="66"/>
      <c r="C107" s="66"/>
      <c r="D107" s="134"/>
      <c r="E107" s="99"/>
      <c r="F107" s="66"/>
      <c r="G107" s="66"/>
      <c r="H107" s="66"/>
      <c r="I107" s="66"/>
      <c r="J107" s="66"/>
      <c r="K107" s="69"/>
      <c r="L107" s="66"/>
    </row>
    <row r="108" spans="1:12" x14ac:dyDescent="0.3">
      <c r="A108" s="66"/>
      <c r="B108" s="66"/>
      <c r="C108" s="66"/>
      <c r="D108" s="66"/>
      <c r="E108" s="66"/>
      <c r="F108" s="66"/>
      <c r="G108" s="66"/>
      <c r="H108" s="66"/>
      <c r="I108" s="66"/>
      <c r="J108" s="66"/>
      <c r="K108" s="69"/>
      <c r="L108" s="66"/>
    </row>
    <row r="110" spans="1:12" x14ac:dyDescent="0.3">
      <c r="F110" s="72" t="s">
        <v>80</v>
      </c>
    </row>
    <row r="111" spans="1:12" ht="13.8" customHeight="1" x14ac:dyDescent="0.3">
      <c r="A111" s="80" t="s">
        <v>81</v>
      </c>
      <c r="B111" s="80" t="s">
        <v>82</v>
      </c>
      <c r="C111" s="80" t="s">
        <v>61</v>
      </c>
      <c r="D111" s="80"/>
      <c r="E111" s="80"/>
      <c r="F111" s="80" t="s">
        <v>83</v>
      </c>
      <c r="G111" s="80" t="s">
        <v>86</v>
      </c>
      <c r="H111" s="80" t="s">
        <v>85</v>
      </c>
      <c r="I111" s="80" t="s">
        <v>84</v>
      </c>
      <c r="J111" s="80" t="s">
        <v>87</v>
      </c>
      <c r="K111" s="75"/>
      <c r="L111" s="80"/>
    </row>
    <row r="113" spans="1:12" x14ac:dyDescent="0.3">
      <c r="A113" s="66"/>
      <c r="B113" s="66"/>
      <c r="C113" s="66"/>
      <c r="D113" s="66"/>
      <c r="E113" s="66"/>
      <c r="F113" s="66"/>
      <c r="G113" s="66"/>
      <c r="H113" s="66"/>
      <c r="I113" s="66"/>
      <c r="J113" s="66"/>
      <c r="K113" s="69"/>
      <c r="L113" s="66"/>
    </row>
    <row r="115" spans="1:12" x14ac:dyDescent="0.3">
      <c r="A115" s="66"/>
      <c r="B115" s="66"/>
      <c r="C115" s="66"/>
      <c r="D115" s="66"/>
      <c r="E115" s="66"/>
      <c r="F115" s="66"/>
      <c r="G115" s="66"/>
      <c r="H115" s="66"/>
      <c r="I115" s="66"/>
      <c r="J115" s="66"/>
      <c r="K115" s="69"/>
      <c r="L115" s="66"/>
    </row>
    <row r="117" spans="1:12" x14ac:dyDescent="0.3">
      <c r="A117" s="66"/>
      <c r="B117" s="66"/>
      <c r="C117" s="66"/>
      <c r="D117" s="66"/>
      <c r="E117" s="66"/>
      <c r="F117" s="66"/>
      <c r="G117" s="66"/>
      <c r="H117" s="66"/>
      <c r="I117" s="66"/>
      <c r="J117" s="66"/>
      <c r="K117" s="69"/>
      <c r="L117" s="66"/>
    </row>
    <row r="119" spans="1:12" x14ac:dyDescent="0.3">
      <c r="A119" s="66"/>
      <c r="B119" s="66"/>
      <c r="C119" s="66"/>
      <c r="D119" s="66"/>
      <c r="E119" s="66"/>
      <c r="F119" s="66"/>
      <c r="G119" s="66"/>
      <c r="H119" s="66"/>
      <c r="I119" s="66"/>
      <c r="J119" s="66"/>
      <c r="K119" s="69"/>
      <c r="L119" s="66"/>
    </row>
    <row r="121" spans="1:12" x14ac:dyDescent="0.3">
      <c r="A121" s="66"/>
      <c r="B121" s="66"/>
      <c r="C121" s="66"/>
      <c r="D121" s="66"/>
      <c r="E121" s="66"/>
      <c r="F121" s="66"/>
      <c r="G121" s="66"/>
      <c r="H121" s="66"/>
      <c r="I121" s="66"/>
      <c r="J121" s="66"/>
      <c r="K121" s="69"/>
      <c r="L121" s="66"/>
    </row>
    <row r="123" spans="1:12" x14ac:dyDescent="0.3">
      <c r="F123" s="72" t="s">
        <v>1131</v>
      </c>
    </row>
    <row r="124" spans="1:12" x14ac:dyDescent="0.3">
      <c r="A124" s="63" t="s">
        <v>1127</v>
      </c>
      <c r="B124" s="63"/>
      <c r="C124" s="155" t="s">
        <v>1056</v>
      </c>
      <c r="D124" s="63" t="s">
        <v>1058</v>
      </c>
    </row>
    <row r="125" spans="1:12" x14ac:dyDescent="0.3">
      <c r="A125" s="232" t="s">
        <v>1129</v>
      </c>
      <c r="B125" s="232"/>
      <c r="C125" s="155" t="s">
        <v>96</v>
      </c>
      <c r="D125" s="232" t="s">
        <v>1130</v>
      </c>
      <c r="E125" s="233"/>
      <c r="F125" s="233"/>
      <c r="G125" s="233"/>
      <c r="H125" s="233"/>
      <c r="I125" s="233"/>
      <c r="J125" s="233"/>
      <c r="K125" s="234"/>
      <c r="L125" s="233"/>
    </row>
    <row r="126" spans="1:12" ht="13.8" customHeight="1" x14ac:dyDescent="0.3">
      <c r="A126" s="100"/>
      <c r="B126" s="100"/>
      <c r="C126" s="231"/>
      <c r="D126" s="100"/>
      <c r="E126" s="61"/>
      <c r="F126" s="61"/>
      <c r="G126" s="61"/>
      <c r="H126" s="61"/>
      <c r="I126" s="61"/>
      <c r="J126" s="61"/>
      <c r="K126" s="78"/>
      <c r="L126" s="61"/>
    </row>
    <row r="127" spans="1:12" ht="13.8" customHeight="1" x14ac:dyDescent="0.3">
      <c r="A127" s="99"/>
      <c r="B127" s="99"/>
      <c r="C127" s="99"/>
      <c r="D127" s="99"/>
      <c r="E127" s="66"/>
      <c r="F127" s="66"/>
      <c r="G127" s="66"/>
      <c r="H127" s="66"/>
      <c r="I127" s="66"/>
      <c r="J127" s="66"/>
      <c r="K127" s="69"/>
      <c r="L127" s="66"/>
    </row>
    <row r="128" spans="1:12" x14ac:dyDescent="0.3">
      <c r="A128" s="61"/>
      <c r="B128" s="61"/>
      <c r="C128" s="61"/>
      <c r="D128" s="61"/>
      <c r="E128" s="61"/>
      <c r="F128" s="61"/>
      <c r="G128" s="61"/>
      <c r="H128" s="61"/>
      <c r="I128" s="61"/>
      <c r="J128" s="61"/>
      <c r="K128" s="78"/>
      <c r="L128" s="61"/>
    </row>
    <row r="129" spans="1:12" x14ac:dyDescent="0.3">
      <c r="A129" s="63"/>
      <c r="B129" s="63"/>
      <c r="C129" s="63"/>
      <c r="D129" s="63"/>
    </row>
    <row r="130" spans="1:12" x14ac:dyDescent="0.3">
      <c r="A130" s="99"/>
      <c r="B130" s="99"/>
      <c r="C130" s="99"/>
      <c r="D130" s="99"/>
      <c r="E130" s="66"/>
      <c r="F130" s="66"/>
      <c r="G130" s="66"/>
      <c r="H130" s="66"/>
      <c r="I130" s="66"/>
      <c r="J130" s="66"/>
      <c r="K130" s="69"/>
      <c r="L130" s="66"/>
    </row>
    <row r="132" spans="1:12" x14ac:dyDescent="0.3">
      <c r="A132" s="66"/>
      <c r="B132" s="66"/>
      <c r="C132" s="66"/>
      <c r="D132" s="66"/>
      <c r="E132" s="66"/>
      <c r="F132" s="66"/>
      <c r="G132" s="66"/>
      <c r="H132" s="66"/>
      <c r="I132" s="66"/>
      <c r="J132" s="66"/>
      <c r="K132" s="69"/>
      <c r="L132" s="66"/>
    </row>
    <row r="134" spans="1:12" x14ac:dyDescent="0.3">
      <c r="B134" s="72" t="s">
        <v>72</v>
      </c>
      <c r="F134" s="101" t="s">
        <v>373</v>
      </c>
      <c r="J134" s="54" t="s">
        <v>74</v>
      </c>
    </row>
    <row r="135" spans="1:12" x14ac:dyDescent="0.3">
      <c r="A135" s="57" t="s">
        <v>0</v>
      </c>
      <c r="B135" s="57" t="s">
        <v>73</v>
      </c>
      <c r="C135" s="57" t="s">
        <v>61</v>
      </c>
      <c r="E135" s="76" t="s">
        <v>61</v>
      </c>
      <c r="I135" s="76" t="s">
        <v>75</v>
      </c>
      <c r="K135" s="69"/>
      <c r="L135" s="66"/>
    </row>
    <row r="136" spans="1:12" x14ac:dyDescent="0.3">
      <c r="A136" s="76"/>
      <c r="E136" s="76"/>
      <c r="I136" s="76" t="s">
        <v>76</v>
      </c>
      <c r="K136" s="69"/>
      <c r="L136" s="66"/>
    </row>
    <row r="137" spans="1:12" x14ac:dyDescent="0.3">
      <c r="A137" s="94"/>
      <c r="B137" s="66"/>
      <c r="C137" s="66"/>
      <c r="D137" s="66"/>
      <c r="E137" s="94"/>
      <c r="F137" s="66"/>
      <c r="G137" s="66"/>
      <c r="H137" s="66"/>
      <c r="I137" s="94"/>
      <c r="J137" s="66"/>
      <c r="K137" s="69"/>
      <c r="L137" s="66"/>
    </row>
    <row r="138" spans="1:12" x14ac:dyDescent="0.3">
      <c r="A138" s="76"/>
      <c r="E138" s="76"/>
      <c r="I138" s="76"/>
    </row>
    <row r="139" spans="1:12" x14ac:dyDescent="0.3">
      <c r="A139" s="94"/>
      <c r="B139" s="66"/>
      <c r="C139" s="66"/>
      <c r="D139" s="66"/>
      <c r="E139" s="94"/>
      <c r="F139" s="66"/>
      <c r="G139" s="66"/>
      <c r="H139" s="66"/>
      <c r="I139" s="94"/>
      <c r="J139" s="66"/>
      <c r="K139" s="69"/>
      <c r="L139" s="66"/>
    </row>
    <row r="140" spans="1:12" x14ac:dyDescent="0.3">
      <c r="A140" s="76"/>
      <c r="E140" s="76"/>
      <c r="I140" s="76"/>
    </row>
    <row r="141" spans="1:12" x14ac:dyDescent="0.3">
      <c r="A141" s="94"/>
      <c r="B141" s="66"/>
      <c r="C141" s="66"/>
      <c r="D141" s="66"/>
      <c r="E141" s="94"/>
      <c r="F141" s="66"/>
      <c r="G141" s="66"/>
      <c r="H141" s="66"/>
      <c r="I141" s="94"/>
      <c r="J141" s="66"/>
      <c r="K141" s="69"/>
      <c r="L141" s="66"/>
    </row>
    <row r="143" spans="1:12" x14ac:dyDescent="0.3">
      <c r="A143" s="80" t="s">
        <v>88</v>
      </c>
      <c r="B143" s="80" t="s">
        <v>89</v>
      </c>
      <c r="C143" s="80" t="s">
        <v>486</v>
      </c>
      <c r="D143" s="80" t="s">
        <v>90</v>
      </c>
      <c r="E143" s="80" t="s">
        <v>91</v>
      </c>
      <c r="F143" s="80" t="s">
        <v>92</v>
      </c>
      <c r="G143" s="80" t="s">
        <v>93</v>
      </c>
      <c r="H143" s="80" t="s">
        <v>87</v>
      </c>
      <c r="J143" s="57" t="s">
        <v>94</v>
      </c>
    </row>
    <row r="145" spans="1:12" x14ac:dyDescent="0.3">
      <c r="A145" s="99" t="s">
        <v>484</v>
      </c>
      <c r="B145" s="134" t="s">
        <v>485</v>
      </c>
      <c r="C145" s="134">
        <v>6</v>
      </c>
      <c r="D145" s="134" t="s">
        <v>492</v>
      </c>
      <c r="E145" s="134">
        <v>0</v>
      </c>
      <c r="F145" s="134">
        <v>0</v>
      </c>
      <c r="G145" s="134"/>
      <c r="H145" s="82" t="s">
        <v>143</v>
      </c>
      <c r="J145" s="66"/>
      <c r="K145" s="69"/>
      <c r="L145" s="66"/>
    </row>
    <row r="146" spans="1:12" x14ac:dyDescent="0.3">
      <c r="A146" s="99" t="s">
        <v>487</v>
      </c>
      <c r="B146" s="134" t="s">
        <v>485</v>
      </c>
      <c r="C146" s="134">
        <v>6</v>
      </c>
      <c r="D146" s="134">
        <v>0</v>
      </c>
      <c r="E146" s="134">
        <v>0</v>
      </c>
      <c r="F146" s="134">
        <v>0</v>
      </c>
      <c r="G146" s="134"/>
      <c r="H146" s="82" t="s">
        <v>490</v>
      </c>
    </row>
    <row r="147" spans="1:12" x14ac:dyDescent="0.3">
      <c r="A147" s="99" t="s">
        <v>489</v>
      </c>
      <c r="B147" s="134" t="s">
        <v>488</v>
      </c>
      <c r="C147" s="134">
        <v>5</v>
      </c>
      <c r="D147" s="134">
        <v>0</v>
      </c>
      <c r="E147" s="134">
        <v>0</v>
      </c>
      <c r="F147" s="134">
        <v>0</v>
      </c>
      <c r="G147" s="134"/>
      <c r="H147" s="82" t="s">
        <v>142</v>
      </c>
      <c r="J147" s="66"/>
      <c r="K147" s="69"/>
      <c r="L147" s="66"/>
    </row>
    <row r="148" spans="1:12" x14ac:dyDescent="0.3">
      <c r="A148" s="99" t="s">
        <v>491</v>
      </c>
      <c r="B148" s="134">
        <v>4</v>
      </c>
      <c r="C148" s="134">
        <v>6</v>
      </c>
      <c r="D148" s="134">
        <v>12</v>
      </c>
      <c r="E148" s="134">
        <v>3</v>
      </c>
      <c r="F148" s="134">
        <v>6</v>
      </c>
      <c r="G148" s="134" t="s">
        <v>493</v>
      </c>
      <c r="H148" s="82" t="s">
        <v>143</v>
      </c>
    </row>
    <row r="149" spans="1:12" x14ac:dyDescent="0.3">
      <c r="A149" s="99"/>
      <c r="B149" s="99"/>
      <c r="C149" s="134"/>
      <c r="D149" s="134"/>
      <c r="E149" s="134"/>
      <c r="F149" s="134"/>
      <c r="G149" s="99"/>
      <c r="H149" s="82"/>
      <c r="J149" s="66"/>
      <c r="K149" s="69"/>
      <c r="L149" s="66"/>
    </row>
    <row r="150" spans="1:12" x14ac:dyDescent="0.3">
      <c r="A150" s="66"/>
      <c r="B150" s="66"/>
      <c r="C150" s="66"/>
      <c r="D150" s="66"/>
      <c r="E150" s="66"/>
      <c r="F150" s="66"/>
      <c r="G150" s="66"/>
      <c r="H150" s="66"/>
      <c r="J150" s="66"/>
      <c r="K150" s="69"/>
      <c r="L150" s="66"/>
    </row>
    <row r="175" ht="13.8" customHeight="1" x14ac:dyDescent="0.3"/>
    <row r="179" ht="13.2" customHeight="1" x14ac:dyDescent="0.3"/>
    <row r="180" ht="13.8" customHeight="1" x14ac:dyDescent="0.3"/>
    <row r="181" ht="13.8" customHeight="1" x14ac:dyDescent="0.3"/>
    <row r="199" spans="1:12" x14ac:dyDescent="0.3">
      <c r="F199" s="72"/>
    </row>
    <row r="201" spans="1:12" x14ac:dyDescent="0.3">
      <c r="A201" s="63"/>
    </row>
    <row r="202" spans="1:12" x14ac:dyDescent="0.3">
      <c r="A202" s="63"/>
    </row>
    <row r="204" spans="1:12" x14ac:dyDescent="0.3">
      <c r="A204" s="63"/>
      <c r="C204" s="63"/>
      <c r="D204" s="63"/>
      <c r="E204" s="63"/>
      <c r="F204" s="63"/>
      <c r="G204" s="63"/>
      <c r="H204" s="63"/>
      <c r="I204" s="63"/>
      <c r="J204" s="63"/>
      <c r="K204" s="63"/>
      <c r="L204" s="63"/>
    </row>
    <row r="205" spans="1:12" x14ac:dyDescent="0.3">
      <c r="D205" s="63"/>
      <c r="E205" s="63"/>
      <c r="F205" s="63"/>
      <c r="G205" s="63"/>
      <c r="H205" s="63"/>
      <c r="I205" s="63"/>
      <c r="J205" s="63"/>
      <c r="K205" s="63"/>
      <c r="L205" s="63"/>
    </row>
    <row r="206" spans="1:12" x14ac:dyDescent="0.3">
      <c r="A206" s="63"/>
      <c r="B206" s="63"/>
      <c r="C206" s="63"/>
      <c r="D206" s="63"/>
      <c r="E206" s="63"/>
      <c r="F206" s="63"/>
      <c r="G206" s="63"/>
      <c r="H206" s="63"/>
      <c r="I206" s="63"/>
      <c r="J206" s="63"/>
      <c r="K206" s="63"/>
      <c r="L206" s="63"/>
    </row>
    <row r="207" spans="1:12" x14ac:dyDescent="0.3">
      <c r="B207" s="63"/>
      <c r="C207" s="63"/>
      <c r="D207" s="63"/>
      <c r="E207" s="63"/>
      <c r="F207" s="63"/>
      <c r="G207" s="63"/>
      <c r="H207" s="63"/>
      <c r="I207" s="63"/>
      <c r="J207" s="63"/>
      <c r="K207" s="63"/>
      <c r="L207" s="63"/>
    </row>
    <row r="208" spans="1:12" x14ac:dyDescent="0.3">
      <c r="A208" s="63"/>
      <c r="B208" s="63"/>
      <c r="C208" s="63"/>
      <c r="D208" s="63"/>
      <c r="E208" s="63"/>
      <c r="F208" s="63"/>
      <c r="G208" s="63"/>
      <c r="H208" s="63"/>
      <c r="I208" s="63"/>
      <c r="J208" s="63"/>
      <c r="K208" s="63"/>
      <c r="L208" s="63"/>
    </row>
    <row r="209" spans="1:12" x14ac:dyDescent="0.3">
      <c r="A209" s="63"/>
      <c r="B209" s="63"/>
      <c r="C209" s="63"/>
      <c r="D209" s="63"/>
      <c r="E209" s="63"/>
      <c r="F209" s="63"/>
      <c r="G209" s="63"/>
      <c r="H209" s="63"/>
      <c r="I209" s="63"/>
      <c r="J209" s="63"/>
      <c r="K209" s="63"/>
      <c r="L209" s="63"/>
    </row>
    <row r="210" spans="1:12" x14ac:dyDescent="0.3">
      <c r="A210" s="63"/>
      <c r="B210" s="63"/>
      <c r="C210" s="63"/>
      <c r="D210" s="63"/>
      <c r="E210" s="63"/>
      <c r="F210" s="63"/>
      <c r="G210" s="63"/>
      <c r="H210" s="63"/>
      <c r="I210" s="63"/>
      <c r="J210" s="63"/>
      <c r="K210" s="63"/>
      <c r="L210" s="63"/>
    </row>
    <row r="211" spans="1:12" x14ac:dyDescent="0.3">
      <c r="A211" s="63"/>
      <c r="B211" s="63"/>
      <c r="C211" s="63"/>
      <c r="D211" s="63"/>
      <c r="E211" s="63"/>
      <c r="F211" s="63"/>
      <c r="G211" s="63"/>
      <c r="H211" s="63"/>
      <c r="I211" s="63"/>
      <c r="J211" s="63"/>
      <c r="K211" s="63"/>
      <c r="L211" s="63"/>
    </row>
    <row r="212" spans="1:12" x14ac:dyDescent="0.3">
      <c r="A212" s="63"/>
      <c r="B212" s="63"/>
      <c r="C212" s="63"/>
      <c r="D212" s="63"/>
      <c r="E212" s="63"/>
      <c r="F212" s="63"/>
      <c r="G212" s="63"/>
      <c r="H212" s="63"/>
      <c r="I212" s="63"/>
      <c r="J212" s="63"/>
      <c r="K212" s="63"/>
      <c r="L212" s="63"/>
    </row>
    <row r="213" spans="1:12" x14ac:dyDescent="0.3">
      <c r="A213" s="63"/>
      <c r="B213" s="63"/>
      <c r="C213" s="63"/>
      <c r="D213" s="63"/>
      <c r="E213" s="63"/>
      <c r="F213" s="63"/>
      <c r="G213" s="63"/>
      <c r="H213" s="63"/>
      <c r="I213" s="63"/>
      <c r="J213" s="63"/>
      <c r="K213" s="63"/>
      <c r="L213" s="63"/>
    </row>
    <row r="214" spans="1:12" x14ac:dyDescent="0.3">
      <c r="A214" s="72"/>
      <c r="B214" s="90"/>
      <c r="J214" s="72"/>
      <c r="K214" s="57"/>
    </row>
    <row r="215" spans="1:12" x14ac:dyDescent="0.3">
      <c r="A215" s="72"/>
      <c r="B215" s="80"/>
      <c r="I215" s="80"/>
      <c r="K215" s="57"/>
    </row>
    <row r="216" spans="1:12" x14ac:dyDescent="0.3">
      <c r="A216" s="72"/>
      <c r="B216" s="80"/>
      <c r="I216" s="80"/>
      <c r="K216" s="57"/>
    </row>
    <row r="217" spans="1:12" x14ac:dyDescent="0.3">
      <c r="A217" s="72"/>
      <c r="B217" s="80"/>
      <c r="I217" s="80"/>
      <c r="K217" s="57"/>
    </row>
    <row r="218" spans="1:12" x14ac:dyDescent="0.3">
      <c r="A218" s="72"/>
      <c r="B218" s="80"/>
      <c r="I218" s="80"/>
      <c r="K218" s="57"/>
    </row>
    <row r="219" spans="1:12" x14ac:dyDescent="0.3">
      <c r="A219" s="72"/>
      <c r="B219" s="80"/>
      <c r="I219" s="80"/>
      <c r="K219" s="57"/>
    </row>
    <row r="220" spans="1:12" x14ac:dyDescent="0.3">
      <c r="A220" s="72"/>
      <c r="B220" s="80"/>
      <c r="I220" s="80"/>
      <c r="K220" s="57"/>
    </row>
    <row r="221" spans="1:12" x14ac:dyDescent="0.3">
      <c r="A221" s="72"/>
      <c r="B221" s="80"/>
      <c r="I221" s="80"/>
      <c r="K221" s="57"/>
    </row>
    <row r="222" spans="1:12" x14ac:dyDescent="0.3">
      <c r="A222" s="72"/>
      <c r="B222" s="80"/>
      <c r="I222" s="80"/>
      <c r="K222" s="57"/>
    </row>
    <row r="223" spans="1:12" x14ac:dyDescent="0.3">
      <c r="A223" s="72"/>
      <c r="B223" s="80"/>
    </row>
    <row r="224" spans="1:12" x14ac:dyDescent="0.3">
      <c r="A224" s="72"/>
      <c r="B224" s="80"/>
    </row>
    <row r="225" spans="1:2" x14ac:dyDescent="0.3">
      <c r="A225" s="72"/>
      <c r="B225" s="80"/>
    </row>
  </sheetData>
  <mergeCells count="2">
    <mergeCell ref="A93:L96"/>
    <mergeCell ref="A98:L100"/>
  </mergeCells>
  <pageMargins left="0.25" right="0.25" top="0.75" bottom="0.75" header="0.3" footer="0.3"/>
  <pageSetup paperSize="9" orientation="portrait"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6B7E5-20DC-4256-8C7B-E01845B2F220}">
  <sheetPr codeName="Foglio2"/>
  <dimension ref="A1:L175"/>
  <sheetViews>
    <sheetView topLeftCell="A92" zoomScale="170" zoomScaleNormal="170" workbookViewId="0">
      <selection activeCell="A102" sqref="A102"/>
    </sheetView>
  </sheetViews>
  <sheetFormatPr defaultRowHeight="13.8" x14ac:dyDescent="0.3"/>
  <cols>
    <col min="1" max="10" width="8" style="57" customWidth="1"/>
    <col min="11" max="11" width="8" style="54" customWidth="1"/>
    <col min="12" max="12" width="8" style="57" customWidth="1"/>
    <col min="13" max="13" width="8.88671875" style="57"/>
    <col min="14" max="15" width="8.88671875" style="57" customWidth="1"/>
    <col min="16" max="16384" width="8.88671875" style="57"/>
  </cols>
  <sheetData>
    <row r="1" spans="1:12" ht="13.8" customHeight="1" x14ac:dyDescent="0.3">
      <c r="A1" s="90" t="s">
        <v>1010</v>
      </c>
      <c r="C1" s="61"/>
      <c r="D1" s="61"/>
      <c r="F1" s="75" t="s">
        <v>5</v>
      </c>
      <c r="G1" s="54" t="s">
        <v>62</v>
      </c>
      <c r="H1" s="151" t="s">
        <v>173</v>
      </c>
      <c r="I1" s="81" t="s">
        <v>348</v>
      </c>
      <c r="J1" s="100"/>
      <c r="K1" s="61"/>
      <c r="L1" s="173" t="s">
        <v>128</v>
      </c>
    </row>
    <row r="3" spans="1:12" x14ac:dyDescent="0.3">
      <c r="A3" s="156" t="s">
        <v>0</v>
      </c>
      <c r="B3" s="57" t="s">
        <v>428</v>
      </c>
      <c r="E3" s="156" t="s">
        <v>2</v>
      </c>
      <c r="F3" s="152" t="s">
        <v>431</v>
      </c>
      <c r="H3" s="55" t="s">
        <v>432</v>
      </c>
      <c r="K3" s="57"/>
    </row>
    <row r="4" spans="1:12" x14ac:dyDescent="0.3">
      <c r="A4" s="156" t="s">
        <v>343</v>
      </c>
      <c r="B4" s="57" t="s">
        <v>125</v>
      </c>
      <c r="E4" s="156" t="s">
        <v>3</v>
      </c>
      <c r="F4" s="152" t="s">
        <v>430</v>
      </c>
      <c r="H4" s="55" t="s">
        <v>433</v>
      </c>
    </row>
    <row r="5" spans="1:12" x14ac:dyDescent="0.3">
      <c r="A5" s="156" t="s">
        <v>4</v>
      </c>
      <c r="B5" s="152" t="s">
        <v>429</v>
      </c>
      <c r="E5" s="156" t="s">
        <v>69</v>
      </c>
      <c r="F5" s="57" t="s">
        <v>126</v>
      </c>
      <c r="H5" s="55"/>
    </row>
    <row r="7" spans="1:12" x14ac:dyDescent="0.3">
      <c r="F7" s="72" t="s">
        <v>7</v>
      </c>
    </row>
    <row r="8" spans="1:12" ht="13.8" customHeight="1" x14ac:dyDescent="0.3">
      <c r="B8" s="72" t="s">
        <v>8</v>
      </c>
      <c r="C8" s="73"/>
      <c r="D8" s="73"/>
      <c r="E8" s="73"/>
      <c r="F8" s="72" t="s">
        <v>9</v>
      </c>
      <c r="G8" s="73"/>
      <c r="H8" s="73"/>
      <c r="I8" s="73"/>
      <c r="J8" s="72" t="s">
        <v>10</v>
      </c>
    </row>
    <row r="9" spans="1:12" x14ac:dyDescent="0.3">
      <c r="A9" s="165" t="s">
        <v>11</v>
      </c>
      <c r="B9" s="63" t="s">
        <v>434</v>
      </c>
      <c r="D9" s="164">
        <v>4</v>
      </c>
      <c r="E9" s="165" t="s">
        <v>12</v>
      </c>
      <c r="H9" s="163">
        <v>2</v>
      </c>
      <c r="I9" s="165" t="s">
        <v>13</v>
      </c>
      <c r="L9" s="163">
        <v>3</v>
      </c>
    </row>
    <row r="10" spans="1:12" x14ac:dyDescent="0.3">
      <c r="A10" s="165" t="s">
        <v>14</v>
      </c>
      <c r="D10" s="163">
        <v>2</v>
      </c>
      <c r="E10" s="165" t="s">
        <v>16</v>
      </c>
      <c r="H10" s="163">
        <v>3</v>
      </c>
      <c r="I10" s="165" t="s">
        <v>18</v>
      </c>
      <c r="L10" s="163">
        <v>3</v>
      </c>
    </row>
    <row r="11" spans="1:12" x14ac:dyDescent="0.3">
      <c r="A11" s="165" t="s">
        <v>15</v>
      </c>
      <c r="D11" s="163">
        <v>2</v>
      </c>
      <c r="E11" s="165" t="s">
        <v>17</v>
      </c>
      <c r="H11" s="163">
        <v>1</v>
      </c>
      <c r="I11" s="165" t="s">
        <v>19</v>
      </c>
      <c r="J11" s="63" t="s">
        <v>435</v>
      </c>
      <c r="L11" s="164">
        <v>4</v>
      </c>
    </row>
    <row r="13" spans="1:12" x14ac:dyDescent="0.3">
      <c r="C13" s="75"/>
      <c r="G13" s="75"/>
      <c r="K13" s="75"/>
    </row>
    <row r="14" spans="1:12" x14ac:dyDescent="0.3">
      <c r="F14" s="72" t="s">
        <v>21</v>
      </c>
    </row>
    <row r="15" spans="1:12" ht="13.2" customHeight="1" x14ac:dyDescent="0.3">
      <c r="B15" s="72" t="s">
        <v>22</v>
      </c>
      <c r="C15" s="72"/>
      <c r="D15" s="72"/>
      <c r="E15" s="72"/>
      <c r="F15" s="72" t="s">
        <v>53</v>
      </c>
      <c r="G15" s="72"/>
      <c r="H15" s="72"/>
      <c r="I15" s="72"/>
      <c r="J15" s="72" t="s">
        <v>54</v>
      </c>
    </row>
    <row r="16" spans="1:12" x14ac:dyDescent="0.3">
      <c r="A16" s="154" t="s">
        <v>23</v>
      </c>
      <c r="D16" s="163">
        <v>2</v>
      </c>
      <c r="E16" s="154" t="s">
        <v>438</v>
      </c>
      <c r="G16" s="54"/>
      <c r="H16" s="163">
        <v>0</v>
      </c>
      <c r="I16" s="154" t="s">
        <v>31</v>
      </c>
      <c r="L16" s="163">
        <v>0</v>
      </c>
    </row>
    <row r="17" spans="1:12" x14ac:dyDescent="0.3">
      <c r="A17" s="154" t="s">
        <v>32</v>
      </c>
      <c r="D17" s="163">
        <v>2</v>
      </c>
      <c r="E17" s="154" t="s">
        <v>33</v>
      </c>
      <c r="G17" s="54"/>
      <c r="H17" s="163">
        <v>0</v>
      </c>
      <c r="I17" s="154" t="s">
        <v>34</v>
      </c>
      <c r="L17" s="163">
        <v>2</v>
      </c>
    </row>
    <row r="18" spans="1:12" x14ac:dyDescent="0.3">
      <c r="A18" s="154" t="s">
        <v>436</v>
      </c>
      <c r="D18" s="163">
        <v>0</v>
      </c>
      <c r="E18" s="154" t="s">
        <v>437</v>
      </c>
      <c r="G18" s="54"/>
      <c r="H18" s="163">
        <v>0</v>
      </c>
      <c r="I18" s="154" t="s">
        <v>36</v>
      </c>
      <c r="L18" s="163">
        <v>0</v>
      </c>
    </row>
    <row r="19" spans="1:12" x14ac:dyDescent="0.3">
      <c r="A19" s="154" t="s">
        <v>26</v>
      </c>
      <c r="D19" s="163">
        <v>1</v>
      </c>
      <c r="E19" s="154" t="s">
        <v>38</v>
      </c>
      <c r="G19" s="54"/>
      <c r="H19" s="163">
        <v>1</v>
      </c>
      <c r="I19" s="154" t="s">
        <v>45</v>
      </c>
      <c r="L19" s="163">
        <v>1</v>
      </c>
    </row>
    <row r="20" spans="1:12" x14ac:dyDescent="0.3">
      <c r="A20" s="154" t="s">
        <v>27</v>
      </c>
      <c r="D20" s="163">
        <v>0</v>
      </c>
      <c r="E20" s="154" t="s">
        <v>39</v>
      </c>
      <c r="G20" s="54"/>
      <c r="H20" s="163">
        <v>0</v>
      </c>
      <c r="I20" s="154" t="s">
        <v>46</v>
      </c>
      <c r="L20" s="163">
        <v>0</v>
      </c>
    </row>
    <row r="21" spans="1:12" x14ac:dyDescent="0.3">
      <c r="A21" s="154" t="s">
        <v>28</v>
      </c>
      <c r="D21" s="163">
        <v>2</v>
      </c>
      <c r="E21" s="154" t="s">
        <v>40</v>
      </c>
      <c r="G21" s="54"/>
      <c r="H21" s="163">
        <v>1</v>
      </c>
      <c r="I21" s="154" t="s">
        <v>47</v>
      </c>
      <c r="L21" s="163">
        <v>0</v>
      </c>
    </row>
    <row r="22" spans="1:12" x14ac:dyDescent="0.3">
      <c r="A22" s="154" t="s">
        <v>24</v>
      </c>
      <c r="B22" s="80" t="s">
        <v>439</v>
      </c>
      <c r="D22" s="164">
        <v>4</v>
      </c>
      <c r="E22" s="154" t="s">
        <v>41</v>
      </c>
      <c r="G22" s="54"/>
      <c r="H22" s="163">
        <v>0</v>
      </c>
      <c r="I22" s="154" t="s">
        <v>48</v>
      </c>
      <c r="L22" s="163">
        <v>3</v>
      </c>
    </row>
    <row r="23" spans="1:12" x14ac:dyDescent="0.3">
      <c r="A23" s="154" t="s">
        <v>1011</v>
      </c>
      <c r="D23" s="163">
        <v>2</v>
      </c>
      <c r="E23" s="154" t="s">
        <v>42</v>
      </c>
      <c r="G23" s="54"/>
      <c r="H23" s="163">
        <v>2</v>
      </c>
      <c r="I23" s="154" t="s">
        <v>49</v>
      </c>
      <c r="L23" s="163">
        <v>2</v>
      </c>
    </row>
    <row r="24" spans="1:12" x14ac:dyDescent="0.3">
      <c r="A24" s="154" t="s">
        <v>358</v>
      </c>
      <c r="D24" s="163">
        <v>1</v>
      </c>
      <c r="E24" s="154" t="s">
        <v>43</v>
      </c>
      <c r="G24" s="54"/>
      <c r="H24" s="163">
        <v>0</v>
      </c>
      <c r="I24" s="154" t="s">
        <v>50</v>
      </c>
      <c r="L24" s="163">
        <v>0</v>
      </c>
    </row>
    <row r="25" spans="1:12" x14ac:dyDescent="0.3">
      <c r="A25" s="154" t="s">
        <v>29</v>
      </c>
      <c r="D25" s="163">
        <v>0</v>
      </c>
      <c r="E25" s="154" t="s">
        <v>44</v>
      </c>
      <c r="G25" s="54"/>
      <c r="H25" s="163">
        <v>1</v>
      </c>
      <c r="I25" s="154" t="s">
        <v>51</v>
      </c>
      <c r="L25" s="163">
        <v>1</v>
      </c>
    </row>
    <row r="27" spans="1:12" x14ac:dyDescent="0.3">
      <c r="C27" s="75"/>
      <c r="G27" s="75"/>
      <c r="K27" s="75"/>
    </row>
    <row r="28" spans="1:12" x14ac:dyDescent="0.3">
      <c r="A28" s="73"/>
      <c r="B28" s="72" t="s">
        <v>56</v>
      </c>
      <c r="C28" s="73"/>
      <c r="D28" s="73"/>
      <c r="E28" s="73"/>
      <c r="F28" s="73"/>
      <c r="H28" s="73"/>
      <c r="I28" s="72" t="s">
        <v>57</v>
      </c>
      <c r="J28" s="73"/>
      <c r="K28" s="55"/>
      <c r="L28" s="170" t="s">
        <v>480</v>
      </c>
    </row>
    <row r="29" spans="1:12" ht="13.8" customHeight="1" x14ac:dyDescent="0.3">
      <c r="A29" s="80" t="s">
        <v>0</v>
      </c>
      <c r="B29" s="75" t="s">
        <v>73</v>
      </c>
      <c r="C29" s="80" t="s">
        <v>61</v>
      </c>
      <c r="G29" s="73"/>
      <c r="H29" s="166" t="s">
        <v>58</v>
      </c>
      <c r="J29" s="167">
        <v>2</v>
      </c>
      <c r="K29" s="162" t="s">
        <v>465</v>
      </c>
      <c r="L29" s="54"/>
    </row>
    <row r="30" spans="1:12" s="73" customFormat="1" x14ac:dyDescent="0.3">
      <c r="A30" s="80" t="s">
        <v>319</v>
      </c>
      <c r="B30" s="54">
        <v>1</v>
      </c>
      <c r="C30" s="80" t="s">
        <v>444</v>
      </c>
      <c r="D30" s="57"/>
      <c r="E30" s="57"/>
      <c r="F30" s="57"/>
      <c r="G30" s="57"/>
      <c r="H30" s="166" t="s">
        <v>342</v>
      </c>
      <c r="I30" s="57"/>
      <c r="J30" s="167">
        <v>3</v>
      </c>
      <c r="K30" s="55" t="s">
        <v>477</v>
      </c>
      <c r="L30" s="54"/>
    </row>
    <row r="31" spans="1:12" x14ac:dyDescent="0.3">
      <c r="A31" s="80" t="s">
        <v>328</v>
      </c>
      <c r="B31" s="54">
        <v>1</v>
      </c>
      <c r="C31" s="80" t="s">
        <v>440</v>
      </c>
      <c r="H31" s="166" t="s">
        <v>59</v>
      </c>
      <c r="J31" s="167">
        <v>5</v>
      </c>
      <c r="K31" s="55" t="s">
        <v>479</v>
      </c>
      <c r="L31" s="54"/>
    </row>
    <row r="32" spans="1:12" x14ac:dyDescent="0.3">
      <c r="A32" s="80" t="s">
        <v>322</v>
      </c>
      <c r="B32" s="54">
        <v>1</v>
      </c>
      <c r="C32" s="80" t="s">
        <v>442</v>
      </c>
      <c r="H32" s="63" t="s">
        <v>70</v>
      </c>
      <c r="J32" s="167" t="s">
        <v>131</v>
      </c>
      <c r="L32" s="54"/>
    </row>
    <row r="33" spans="1:12" x14ac:dyDescent="0.3">
      <c r="A33" s="80" t="s">
        <v>322</v>
      </c>
      <c r="B33" s="54">
        <v>2</v>
      </c>
      <c r="C33" s="80" t="s">
        <v>443</v>
      </c>
      <c r="H33" s="63" t="s">
        <v>66</v>
      </c>
      <c r="J33" s="167">
        <f>J29+J30</f>
        <v>5</v>
      </c>
      <c r="K33" s="162" t="s">
        <v>464</v>
      </c>
      <c r="L33" s="54"/>
    </row>
    <row r="34" spans="1:12" x14ac:dyDescent="0.3">
      <c r="A34" s="61"/>
      <c r="B34" s="61"/>
      <c r="C34" s="61"/>
      <c r="D34" s="61"/>
      <c r="E34" s="61"/>
      <c r="F34" s="61"/>
      <c r="H34" s="63" t="s">
        <v>20</v>
      </c>
      <c r="J34" s="167">
        <v>5</v>
      </c>
      <c r="K34" s="162" t="s">
        <v>478</v>
      </c>
      <c r="L34" s="54"/>
    </row>
    <row r="35" spans="1:12" x14ac:dyDescent="0.3">
      <c r="H35" s="63" t="s">
        <v>67</v>
      </c>
      <c r="J35" s="167">
        <v>10</v>
      </c>
      <c r="K35" s="162" t="s">
        <v>494</v>
      </c>
    </row>
    <row r="36" spans="1:12" x14ac:dyDescent="0.3">
      <c r="A36" s="66"/>
      <c r="B36" s="66"/>
      <c r="C36" s="66"/>
      <c r="D36" s="66"/>
      <c r="E36" s="66"/>
      <c r="F36" s="66"/>
      <c r="H36" s="63" t="s">
        <v>341</v>
      </c>
      <c r="I36" s="73"/>
      <c r="J36" s="167">
        <f>7-J30</f>
        <v>4</v>
      </c>
      <c r="K36" s="162" t="s">
        <v>481</v>
      </c>
      <c r="L36" s="73"/>
    </row>
    <row r="37" spans="1:12" x14ac:dyDescent="0.3">
      <c r="G37" s="73"/>
    </row>
    <row r="38" spans="1:12" s="73" customFormat="1" x14ac:dyDescent="0.3">
      <c r="A38" s="157"/>
      <c r="B38" s="157"/>
      <c r="C38" s="157"/>
      <c r="D38" s="157"/>
      <c r="E38" s="157"/>
      <c r="F38" s="157"/>
      <c r="H38" s="63" t="s">
        <v>495</v>
      </c>
      <c r="I38" s="171"/>
      <c r="J38" s="171"/>
    </row>
    <row r="39" spans="1:12" x14ac:dyDescent="0.3">
      <c r="A39" s="66"/>
      <c r="B39" s="66"/>
      <c r="C39" s="66"/>
      <c r="D39" s="66"/>
      <c r="E39" s="66"/>
      <c r="F39" s="66"/>
      <c r="H39" s="63" t="s">
        <v>496</v>
      </c>
      <c r="I39" s="66"/>
      <c r="J39" s="66"/>
    </row>
    <row r="40" spans="1:12" ht="13.8" customHeight="1" x14ac:dyDescent="0.3"/>
    <row r="41" spans="1:12" x14ac:dyDescent="0.3">
      <c r="A41" s="157"/>
      <c r="B41" s="158"/>
      <c r="C41" s="157"/>
      <c r="D41" s="66"/>
      <c r="E41" s="69"/>
      <c r="F41" s="66"/>
      <c r="G41" s="73"/>
    </row>
    <row r="42" spans="1:12" x14ac:dyDescent="0.3">
      <c r="B42" s="54"/>
      <c r="D42" s="54"/>
      <c r="E42" s="153"/>
      <c r="H42" s="72" t="s">
        <v>366</v>
      </c>
      <c r="I42" s="75" t="s">
        <v>182</v>
      </c>
      <c r="J42" s="75" t="s">
        <v>142</v>
      </c>
      <c r="K42" s="75" t="s">
        <v>143</v>
      </c>
      <c r="L42" s="75" t="s">
        <v>144</v>
      </c>
    </row>
    <row r="43" spans="1:12" x14ac:dyDescent="0.3">
      <c r="A43" s="68"/>
      <c r="B43" s="68"/>
      <c r="C43" s="69"/>
      <c r="D43" s="108"/>
      <c r="E43" s="109"/>
      <c r="F43" s="66"/>
      <c r="H43" s="172"/>
      <c r="I43" s="172" t="s">
        <v>500</v>
      </c>
      <c r="J43" s="172" t="s">
        <v>498</v>
      </c>
      <c r="K43" s="172" t="s">
        <v>499</v>
      </c>
      <c r="L43" s="172" t="s">
        <v>497</v>
      </c>
    </row>
    <row r="44" spans="1:12" x14ac:dyDescent="0.3">
      <c r="A44" s="152"/>
      <c r="B44" s="152"/>
      <c r="C44" s="54"/>
      <c r="D44" s="55"/>
      <c r="E44" s="153"/>
      <c r="H44" s="63" t="s">
        <v>156</v>
      </c>
      <c r="I44" s="167">
        <v>0</v>
      </c>
      <c r="J44" s="159" t="b">
        <v>0</v>
      </c>
      <c r="K44" s="160" t="b">
        <v>0</v>
      </c>
      <c r="L44" s="159" t="b">
        <v>0</v>
      </c>
    </row>
    <row r="45" spans="1:12" ht="13.8" customHeight="1" x14ac:dyDescent="0.3">
      <c r="A45" s="68"/>
      <c r="B45" s="68"/>
      <c r="C45" s="69"/>
      <c r="D45" s="168"/>
      <c r="E45" s="109"/>
      <c r="F45" s="66"/>
      <c r="H45" s="63" t="s">
        <v>157</v>
      </c>
      <c r="I45" s="167">
        <v>-1</v>
      </c>
      <c r="J45" s="161" t="b">
        <v>0</v>
      </c>
      <c r="K45" s="160" t="b">
        <v>0</v>
      </c>
      <c r="L45" s="159" t="b">
        <v>0</v>
      </c>
    </row>
    <row r="46" spans="1:12" x14ac:dyDescent="0.3">
      <c r="C46" s="54"/>
      <c r="D46" s="80"/>
      <c r="E46" s="54"/>
      <c r="H46" s="63" t="s">
        <v>158</v>
      </c>
      <c r="I46" s="167">
        <v>-1</v>
      </c>
      <c r="J46" s="159" t="b">
        <v>0</v>
      </c>
      <c r="K46" s="160" t="b">
        <v>0</v>
      </c>
      <c r="L46" s="159" t="b">
        <v>0</v>
      </c>
    </row>
    <row r="47" spans="1:12" x14ac:dyDescent="0.3">
      <c r="A47" s="68"/>
      <c r="B47" s="68"/>
      <c r="C47" s="69"/>
      <c r="D47" s="108"/>
      <c r="E47" s="109"/>
      <c r="F47" s="66"/>
      <c r="H47" s="63" t="s">
        <v>159</v>
      </c>
      <c r="I47" s="167">
        <v>-2</v>
      </c>
      <c r="J47" s="159" t="b">
        <v>0</v>
      </c>
      <c r="K47" s="160" t="b">
        <v>0</v>
      </c>
      <c r="L47" s="159" t="b">
        <v>0</v>
      </c>
    </row>
    <row r="48" spans="1:12" x14ac:dyDescent="0.3">
      <c r="A48" s="152"/>
      <c r="B48" s="152"/>
      <c r="C48" s="54"/>
      <c r="D48" s="55"/>
      <c r="E48" s="153"/>
      <c r="H48" s="63" t="s">
        <v>441</v>
      </c>
      <c r="I48" s="167">
        <v>-2</v>
      </c>
      <c r="J48" s="159" t="b">
        <v>0</v>
      </c>
      <c r="K48" s="160" t="b">
        <v>0</v>
      </c>
      <c r="L48" s="159" t="b">
        <v>0</v>
      </c>
    </row>
    <row r="49" spans="1:12" x14ac:dyDescent="0.3">
      <c r="A49" s="66"/>
      <c r="B49" s="69"/>
      <c r="C49" s="66"/>
      <c r="D49" s="82"/>
      <c r="E49" s="66"/>
      <c r="F49" s="66"/>
      <c r="H49" s="63" t="s">
        <v>161</v>
      </c>
      <c r="I49" s="167">
        <v>-5</v>
      </c>
      <c r="J49" s="159" t="b">
        <v>0</v>
      </c>
      <c r="K49" s="160" t="b">
        <v>0</v>
      </c>
      <c r="L49" s="159" t="b">
        <v>0</v>
      </c>
    </row>
    <row r="50" spans="1:12" x14ac:dyDescent="0.3">
      <c r="A50" s="66"/>
      <c r="B50" s="69"/>
      <c r="C50" s="66"/>
      <c r="D50" s="82"/>
      <c r="E50" s="66"/>
      <c r="F50" s="66"/>
      <c r="H50" s="63" t="s">
        <v>162</v>
      </c>
      <c r="I50" s="167" t="s">
        <v>131</v>
      </c>
    </row>
    <row r="51" spans="1:12" x14ac:dyDescent="0.3">
      <c r="F51" s="72" t="s">
        <v>77</v>
      </c>
    </row>
    <row r="52" spans="1:12" ht="13.8" customHeight="1" x14ac:dyDescent="0.3"/>
    <row r="53" spans="1:12" x14ac:dyDescent="0.3">
      <c r="A53" s="57" t="s">
        <v>78</v>
      </c>
      <c r="D53" s="57" t="s">
        <v>73</v>
      </c>
      <c r="E53" s="57" t="s">
        <v>79</v>
      </c>
    </row>
    <row r="55" spans="1:12" x14ac:dyDescent="0.3">
      <c r="A55" s="99" t="s">
        <v>407</v>
      </c>
      <c r="B55" s="66"/>
      <c r="C55" s="66"/>
      <c r="D55" s="169">
        <v>1</v>
      </c>
      <c r="E55" s="99" t="s">
        <v>483</v>
      </c>
      <c r="F55" s="66"/>
      <c r="G55" s="66"/>
      <c r="H55" s="66"/>
      <c r="I55" s="66"/>
      <c r="J55" s="66"/>
      <c r="K55" s="69"/>
      <c r="L55" s="66"/>
    </row>
    <row r="56" spans="1:12" x14ac:dyDescent="0.3">
      <c r="D56" s="167"/>
    </row>
    <row r="57" spans="1:12" x14ac:dyDescent="0.3">
      <c r="A57" s="66"/>
      <c r="B57" s="66"/>
      <c r="C57" s="66"/>
      <c r="D57" s="169"/>
      <c r="E57" s="66"/>
      <c r="F57" s="66"/>
      <c r="G57" s="66"/>
      <c r="H57" s="66"/>
      <c r="I57" s="66"/>
      <c r="J57" s="66"/>
      <c r="K57" s="69"/>
      <c r="L57" s="66"/>
    </row>
    <row r="58" spans="1:12" x14ac:dyDescent="0.3">
      <c r="D58" s="167"/>
    </row>
    <row r="59" spans="1:12" x14ac:dyDescent="0.3">
      <c r="A59" s="66"/>
      <c r="B59" s="66"/>
      <c r="C59" s="66"/>
      <c r="D59" s="169"/>
      <c r="E59" s="66"/>
      <c r="F59" s="66"/>
      <c r="G59" s="66"/>
      <c r="H59" s="66"/>
      <c r="I59" s="66"/>
      <c r="J59" s="66"/>
      <c r="K59" s="69"/>
      <c r="L59" s="66"/>
    </row>
    <row r="61" spans="1:12" ht="13.8" customHeight="1" x14ac:dyDescent="0.3">
      <c r="F61" s="72" t="s">
        <v>80</v>
      </c>
    </row>
    <row r="62" spans="1:12" x14ac:dyDescent="0.3">
      <c r="A62" s="80" t="s">
        <v>81</v>
      </c>
      <c r="B62" s="80" t="s">
        <v>82</v>
      </c>
      <c r="C62" s="80" t="s">
        <v>61</v>
      </c>
      <c r="D62" s="80"/>
      <c r="E62" s="80"/>
      <c r="F62" s="80" t="s">
        <v>83</v>
      </c>
      <c r="G62" s="80" t="s">
        <v>86</v>
      </c>
      <c r="H62" s="80" t="s">
        <v>85</v>
      </c>
      <c r="I62" s="80" t="s">
        <v>84</v>
      </c>
      <c r="J62" s="80" t="s">
        <v>87</v>
      </c>
      <c r="K62" s="75"/>
      <c r="L62" s="80"/>
    </row>
    <row r="64" spans="1:12" x14ac:dyDescent="0.3">
      <c r="A64" s="66"/>
      <c r="B64" s="66"/>
      <c r="C64" s="66"/>
      <c r="D64" s="66"/>
      <c r="E64" s="66"/>
      <c r="F64" s="66"/>
      <c r="G64" s="66"/>
      <c r="H64" s="66"/>
      <c r="I64" s="66"/>
      <c r="J64" s="66"/>
      <c r="K64" s="69"/>
      <c r="L64" s="66"/>
    </row>
    <row r="66" spans="1:12" x14ac:dyDescent="0.3">
      <c r="A66" s="66"/>
      <c r="B66" s="66"/>
      <c r="C66" s="66"/>
      <c r="D66" s="66"/>
      <c r="E66" s="66"/>
      <c r="F66" s="66"/>
      <c r="G66" s="66"/>
      <c r="H66" s="66"/>
      <c r="I66" s="66"/>
      <c r="J66" s="66"/>
      <c r="K66" s="69"/>
      <c r="L66" s="66"/>
    </row>
    <row r="68" spans="1:12" x14ac:dyDescent="0.3">
      <c r="A68" s="66"/>
      <c r="B68" s="66"/>
      <c r="C68" s="66"/>
      <c r="D68" s="66"/>
      <c r="E68" s="66"/>
      <c r="F68" s="66"/>
      <c r="G68" s="66"/>
      <c r="H68" s="66"/>
      <c r="I68" s="66"/>
      <c r="J68" s="66"/>
      <c r="K68" s="69"/>
      <c r="L68" s="66"/>
    </row>
    <row r="70" spans="1:12" x14ac:dyDescent="0.3">
      <c r="A70" s="66"/>
      <c r="B70" s="66"/>
      <c r="C70" s="66"/>
      <c r="D70" s="66"/>
      <c r="E70" s="66"/>
      <c r="F70" s="66"/>
      <c r="G70" s="66"/>
      <c r="H70" s="66"/>
      <c r="I70" s="66"/>
      <c r="J70" s="66"/>
      <c r="K70" s="69"/>
      <c r="L70" s="66"/>
    </row>
    <row r="72" spans="1:12" x14ac:dyDescent="0.3">
      <c r="A72" s="66"/>
      <c r="B72" s="66"/>
      <c r="C72" s="66"/>
      <c r="D72" s="66"/>
      <c r="E72" s="66"/>
      <c r="F72" s="66"/>
      <c r="G72" s="66"/>
      <c r="H72" s="66"/>
      <c r="I72" s="66"/>
      <c r="J72" s="66"/>
      <c r="K72" s="69"/>
      <c r="L72" s="66"/>
    </row>
    <row r="74" spans="1:12" x14ac:dyDescent="0.3">
      <c r="F74" s="72" t="s">
        <v>71</v>
      </c>
    </row>
    <row r="75" spans="1:12" x14ac:dyDescent="0.3">
      <c r="B75" s="72"/>
    </row>
    <row r="76" spans="1:12" ht="13.8" customHeight="1" x14ac:dyDescent="0.3">
      <c r="A76" s="66"/>
      <c r="B76" s="66"/>
      <c r="C76" s="66"/>
      <c r="D76" s="66"/>
      <c r="E76" s="66"/>
      <c r="F76" s="66"/>
      <c r="G76" s="66"/>
      <c r="H76" s="66"/>
      <c r="I76" s="66"/>
      <c r="J76" s="66"/>
      <c r="K76" s="69"/>
      <c r="L76" s="66"/>
    </row>
    <row r="77" spans="1:12" ht="13.8" customHeight="1" x14ac:dyDescent="0.3">
      <c r="A77" s="66"/>
      <c r="B77" s="66"/>
      <c r="C77" s="66"/>
      <c r="D77" s="66"/>
      <c r="E77" s="66"/>
      <c r="F77" s="66"/>
      <c r="G77" s="66"/>
      <c r="H77" s="66"/>
      <c r="I77" s="66"/>
      <c r="J77" s="66"/>
      <c r="K77" s="69"/>
      <c r="L77" s="66"/>
    </row>
    <row r="79" spans="1:12" x14ac:dyDescent="0.3">
      <c r="A79" s="66"/>
      <c r="B79" s="66"/>
      <c r="C79" s="66"/>
      <c r="D79" s="66"/>
      <c r="E79" s="66"/>
      <c r="F79" s="66"/>
      <c r="G79" s="66"/>
      <c r="H79" s="66"/>
      <c r="I79" s="66"/>
      <c r="J79" s="66"/>
      <c r="K79" s="69"/>
      <c r="L79" s="66"/>
    </row>
    <row r="81" spans="1:12" x14ac:dyDescent="0.3">
      <c r="A81" s="66"/>
      <c r="B81" s="66"/>
      <c r="C81" s="66"/>
      <c r="D81" s="66"/>
      <c r="E81" s="66"/>
      <c r="F81" s="66"/>
      <c r="G81" s="66"/>
      <c r="H81" s="66"/>
      <c r="I81" s="66"/>
      <c r="J81" s="66"/>
      <c r="K81" s="69"/>
      <c r="L81" s="66"/>
    </row>
    <row r="84" spans="1:12" x14ac:dyDescent="0.3">
      <c r="B84" s="72" t="s">
        <v>72</v>
      </c>
      <c r="F84" s="101" t="s">
        <v>373</v>
      </c>
      <c r="J84" s="54" t="s">
        <v>74</v>
      </c>
    </row>
    <row r="85" spans="1:12" x14ac:dyDescent="0.3">
      <c r="A85" s="57" t="s">
        <v>0</v>
      </c>
      <c r="B85" s="57" t="s">
        <v>73</v>
      </c>
      <c r="C85" s="57" t="s">
        <v>61</v>
      </c>
      <c r="E85" s="76" t="s">
        <v>61</v>
      </c>
      <c r="I85" s="76" t="s">
        <v>75</v>
      </c>
      <c r="K85" s="69"/>
      <c r="L85" s="66"/>
    </row>
    <row r="86" spans="1:12" x14ac:dyDescent="0.3">
      <c r="A86" s="76"/>
      <c r="E86" s="76"/>
      <c r="I86" s="76" t="s">
        <v>76</v>
      </c>
      <c r="K86" s="69"/>
      <c r="L86" s="66"/>
    </row>
    <row r="87" spans="1:12" x14ac:dyDescent="0.3">
      <c r="A87" s="94"/>
      <c r="B87" s="66"/>
      <c r="C87" s="66"/>
      <c r="D87" s="66"/>
      <c r="E87" s="94"/>
      <c r="F87" s="66"/>
      <c r="G87" s="66"/>
      <c r="H87" s="66"/>
      <c r="I87" s="94"/>
      <c r="J87" s="66"/>
      <c r="K87" s="69"/>
      <c r="L87" s="66"/>
    </row>
    <row r="88" spans="1:12" x14ac:dyDescent="0.3">
      <c r="A88" s="76"/>
      <c r="E88" s="76"/>
      <c r="I88" s="76"/>
    </row>
    <row r="89" spans="1:12" x14ac:dyDescent="0.3">
      <c r="A89" s="94"/>
      <c r="B89" s="66"/>
      <c r="C89" s="66"/>
      <c r="D89" s="66"/>
      <c r="E89" s="94"/>
      <c r="F89" s="66"/>
      <c r="G89" s="66"/>
      <c r="H89" s="66"/>
      <c r="I89" s="94"/>
      <c r="J89" s="66"/>
      <c r="K89" s="69"/>
      <c r="L89" s="66"/>
    </row>
    <row r="90" spans="1:12" x14ac:dyDescent="0.3">
      <c r="A90" s="76"/>
      <c r="E90" s="76"/>
      <c r="I90" s="76"/>
    </row>
    <row r="91" spans="1:12" x14ac:dyDescent="0.3">
      <c r="A91" s="94"/>
      <c r="B91" s="66"/>
      <c r="C91" s="66"/>
      <c r="D91" s="66"/>
      <c r="E91" s="94"/>
      <c r="F91" s="66"/>
      <c r="G91" s="66"/>
      <c r="H91" s="66"/>
      <c r="I91" s="94"/>
      <c r="J91" s="66"/>
      <c r="K91" s="69"/>
      <c r="L91" s="66"/>
    </row>
    <row r="93" spans="1:12" x14ac:dyDescent="0.3">
      <c r="A93" s="80" t="s">
        <v>88</v>
      </c>
      <c r="B93" s="80" t="s">
        <v>89</v>
      </c>
      <c r="C93" s="80" t="s">
        <v>486</v>
      </c>
      <c r="D93" s="80" t="s">
        <v>90</v>
      </c>
      <c r="E93" s="80" t="s">
        <v>91</v>
      </c>
      <c r="F93" s="80" t="s">
        <v>92</v>
      </c>
      <c r="G93" s="80" t="s">
        <v>93</v>
      </c>
      <c r="H93" s="80" t="s">
        <v>87</v>
      </c>
      <c r="J93" s="57" t="s">
        <v>94</v>
      </c>
    </row>
    <row r="95" spans="1:12" x14ac:dyDescent="0.3">
      <c r="A95" s="99" t="s">
        <v>484</v>
      </c>
      <c r="B95" s="134" t="s">
        <v>485</v>
      </c>
      <c r="C95" s="134">
        <v>6</v>
      </c>
      <c r="D95" s="134" t="s">
        <v>492</v>
      </c>
      <c r="E95" s="134">
        <v>0</v>
      </c>
      <c r="F95" s="134">
        <v>0</v>
      </c>
      <c r="G95" s="134"/>
      <c r="H95" s="82" t="s">
        <v>143</v>
      </c>
      <c r="J95" s="66"/>
      <c r="K95" s="69"/>
      <c r="L95" s="66"/>
    </row>
    <row r="96" spans="1:12" x14ac:dyDescent="0.3">
      <c r="A96" s="99" t="s">
        <v>487</v>
      </c>
      <c r="B96" s="134" t="s">
        <v>485</v>
      </c>
      <c r="C96" s="134">
        <v>6</v>
      </c>
      <c r="D96" s="134">
        <v>0</v>
      </c>
      <c r="E96" s="134">
        <v>0</v>
      </c>
      <c r="F96" s="134">
        <v>0</v>
      </c>
      <c r="G96" s="134"/>
      <c r="H96" s="82" t="s">
        <v>490</v>
      </c>
    </row>
    <row r="97" spans="1:12" x14ac:dyDescent="0.3">
      <c r="A97" s="99" t="s">
        <v>489</v>
      </c>
      <c r="B97" s="134" t="s">
        <v>488</v>
      </c>
      <c r="C97" s="134">
        <v>5</v>
      </c>
      <c r="D97" s="134">
        <v>0</v>
      </c>
      <c r="E97" s="134">
        <v>0</v>
      </c>
      <c r="F97" s="134">
        <v>0</v>
      </c>
      <c r="G97" s="134"/>
      <c r="H97" s="82" t="s">
        <v>142</v>
      </c>
      <c r="J97" s="66"/>
      <c r="K97" s="69"/>
      <c r="L97" s="66"/>
    </row>
    <row r="98" spans="1:12" x14ac:dyDescent="0.3">
      <c r="A98" s="99" t="s">
        <v>491</v>
      </c>
      <c r="B98" s="134">
        <v>4</v>
      </c>
      <c r="C98" s="134">
        <v>6</v>
      </c>
      <c r="D98" s="134">
        <v>12</v>
      </c>
      <c r="E98" s="134">
        <v>3</v>
      </c>
      <c r="F98" s="134">
        <v>6</v>
      </c>
      <c r="G98" s="134" t="s">
        <v>493</v>
      </c>
      <c r="H98" s="82" t="s">
        <v>143</v>
      </c>
    </row>
    <row r="99" spans="1:12" x14ac:dyDescent="0.3">
      <c r="A99" s="99"/>
      <c r="B99" s="99"/>
      <c r="C99" s="134"/>
      <c r="D99" s="134"/>
      <c r="E99" s="134"/>
      <c r="F99" s="134"/>
      <c r="G99" s="99"/>
      <c r="H99" s="82"/>
      <c r="J99" s="66"/>
      <c r="K99" s="69"/>
      <c r="L99" s="66"/>
    </row>
    <row r="100" spans="1:12" ht="17.399999999999999" x14ac:dyDescent="0.3">
      <c r="F100" s="83" t="s">
        <v>55</v>
      </c>
    </row>
    <row r="101" spans="1:12" x14ac:dyDescent="0.3">
      <c r="B101" s="75" t="s">
        <v>73</v>
      </c>
      <c r="C101" s="80" t="s">
        <v>61</v>
      </c>
    </row>
    <row r="102" spans="1:12" x14ac:dyDescent="0.3">
      <c r="A102" s="155" t="s">
        <v>453</v>
      </c>
      <c r="B102" s="54">
        <v>1</v>
      </c>
      <c r="C102" s="80" t="s">
        <v>454</v>
      </c>
    </row>
    <row r="103" spans="1:12" x14ac:dyDescent="0.3">
      <c r="A103" s="155" t="s">
        <v>101</v>
      </c>
      <c r="B103" s="54">
        <v>2</v>
      </c>
      <c r="C103" s="80" t="s">
        <v>455</v>
      </c>
    </row>
    <row r="104" spans="1:12" x14ac:dyDescent="0.3">
      <c r="A104" s="155" t="s">
        <v>103</v>
      </c>
      <c r="B104" s="54">
        <v>1</v>
      </c>
      <c r="C104" s="80" t="s">
        <v>456</v>
      </c>
    </row>
    <row r="105" spans="1:12" x14ac:dyDescent="0.3">
      <c r="A105" s="155" t="s">
        <v>98</v>
      </c>
      <c r="B105" s="54">
        <v>2</v>
      </c>
      <c r="C105" s="80" t="s">
        <v>459</v>
      </c>
    </row>
    <row r="106" spans="1:12" x14ac:dyDescent="0.3">
      <c r="A106" s="155" t="s">
        <v>100</v>
      </c>
      <c r="B106" s="54">
        <v>1</v>
      </c>
      <c r="C106" s="80" t="s">
        <v>457</v>
      </c>
    </row>
    <row r="107" spans="1:12" x14ac:dyDescent="0.3">
      <c r="A107" s="155" t="s">
        <v>97</v>
      </c>
      <c r="B107" s="54">
        <v>2</v>
      </c>
      <c r="C107" s="80" t="s">
        <v>458</v>
      </c>
    </row>
    <row r="109" spans="1:12" x14ac:dyDescent="0.3">
      <c r="A109" s="66"/>
      <c r="B109" s="66"/>
      <c r="C109" s="66"/>
      <c r="D109" s="66"/>
      <c r="E109" s="66"/>
      <c r="F109" s="66"/>
      <c r="G109" s="66"/>
      <c r="H109" s="66"/>
      <c r="I109" s="66"/>
      <c r="J109" s="66"/>
      <c r="K109" s="69"/>
      <c r="L109" s="66"/>
    </row>
    <row r="110" spans="1:12" x14ac:dyDescent="0.3">
      <c r="A110" s="66"/>
      <c r="B110" s="66"/>
      <c r="C110" s="66"/>
      <c r="D110" s="66"/>
      <c r="E110" s="66"/>
      <c r="F110" s="66"/>
      <c r="G110" s="66"/>
      <c r="H110" s="66"/>
      <c r="I110" s="66"/>
      <c r="J110" s="66"/>
      <c r="K110" s="69"/>
      <c r="L110" s="66"/>
    </row>
    <row r="111" spans="1:12" x14ac:dyDescent="0.3">
      <c r="A111" s="66"/>
      <c r="B111" s="66"/>
      <c r="C111" s="66"/>
      <c r="D111" s="66"/>
      <c r="E111" s="66"/>
      <c r="F111" s="66"/>
      <c r="G111" s="66"/>
      <c r="H111" s="66"/>
      <c r="I111" s="66"/>
      <c r="J111" s="66"/>
      <c r="K111" s="69"/>
      <c r="L111" s="66"/>
    </row>
    <row r="113" spans="1:12" x14ac:dyDescent="0.3">
      <c r="B113" s="75" t="s">
        <v>73</v>
      </c>
      <c r="C113" s="80" t="s">
        <v>61</v>
      </c>
    </row>
    <row r="114" spans="1:12" x14ac:dyDescent="0.3">
      <c r="A114" s="155" t="s">
        <v>460</v>
      </c>
      <c r="B114" s="54">
        <v>2</v>
      </c>
      <c r="C114" s="80" t="s">
        <v>463</v>
      </c>
    </row>
    <row r="115" spans="1:12" x14ac:dyDescent="0.3">
      <c r="A115" s="155" t="s">
        <v>461</v>
      </c>
      <c r="B115" s="54">
        <v>2</v>
      </c>
      <c r="C115" s="80" t="s">
        <v>462</v>
      </c>
    </row>
    <row r="116" spans="1:12" x14ac:dyDescent="0.3">
      <c r="A116" s="66"/>
      <c r="B116" s="69"/>
      <c r="C116" s="82"/>
      <c r="D116" s="66"/>
      <c r="E116" s="66"/>
      <c r="F116" s="66"/>
      <c r="G116" s="66"/>
      <c r="H116" s="66"/>
      <c r="I116" s="66"/>
      <c r="J116" s="66"/>
      <c r="K116" s="69"/>
      <c r="L116" s="66"/>
    </row>
    <row r="117" spans="1:12" x14ac:dyDescent="0.3">
      <c r="A117" s="66"/>
      <c r="B117" s="69"/>
      <c r="C117" s="82"/>
      <c r="D117" s="66"/>
      <c r="E117" s="66"/>
      <c r="F117" s="66"/>
      <c r="G117" s="66"/>
      <c r="H117" s="66"/>
      <c r="I117" s="66"/>
      <c r="J117" s="66"/>
      <c r="K117" s="69"/>
      <c r="L117" s="66"/>
    </row>
    <row r="118" spans="1:12" x14ac:dyDescent="0.3">
      <c r="A118" s="66"/>
      <c r="B118" s="69"/>
      <c r="C118" s="82"/>
      <c r="D118" s="66"/>
      <c r="E118" s="66"/>
      <c r="F118" s="66"/>
      <c r="G118" s="66"/>
      <c r="H118" s="66"/>
      <c r="I118" s="66"/>
      <c r="J118" s="66"/>
      <c r="K118" s="69"/>
      <c r="L118" s="66"/>
    </row>
    <row r="120" spans="1:12" x14ac:dyDescent="0.3">
      <c r="A120" s="57" t="s">
        <v>105</v>
      </c>
      <c r="C120" s="61"/>
      <c r="D120" s="61"/>
      <c r="E120" s="61"/>
      <c r="F120" s="61"/>
      <c r="G120" s="61"/>
      <c r="H120" s="61"/>
      <c r="I120" s="61"/>
      <c r="J120" s="61"/>
      <c r="K120" s="78"/>
      <c r="L120" s="61"/>
    </row>
    <row r="121" spans="1:12" x14ac:dyDescent="0.3">
      <c r="A121" s="57" t="s">
        <v>106</v>
      </c>
    </row>
    <row r="122" spans="1:12" x14ac:dyDescent="0.3">
      <c r="A122" s="57" t="s">
        <v>98</v>
      </c>
      <c r="C122" s="66"/>
      <c r="D122" s="66"/>
      <c r="E122" s="66"/>
      <c r="F122" s="66"/>
      <c r="G122" s="66"/>
      <c r="H122" s="66"/>
      <c r="I122" s="66"/>
      <c r="J122" s="66"/>
      <c r="K122" s="69"/>
      <c r="L122" s="66"/>
    </row>
    <row r="123" spans="1:12" x14ac:dyDescent="0.3">
      <c r="A123" s="57" t="s">
        <v>108</v>
      </c>
      <c r="C123" s="66"/>
      <c r="D123" s="66"/>
      <c r="E123" s="66"/>
      <c r="F123" s="66"/>
      <c r="G123" s="66"/>
      <c r="H123" s="66"/>
      <c r="I123" s="66"/>
      <c r="J123" s="66"/>
      <c r="K123" s="69"/>
      <c r="L123" s="66"/>
    </row>
    <row r="125" spans="1:12" ht="13.8" customHeight="1" x14ac:dyDescent="0.3">
      <c r="A125" s="57" t="s">
        <v>110</v>
      </c>
      <c r="C125" s="57" t="s">
        <v>109</v>
      </c>
      <c r="E125" s="57" t="s">
        <v>61</v>
      </c>
    </row>
    <row r="126" spans="1:12" x14ac:dyDescent="0.3">
      <c r="A126" s="66"/>
      <c r="B126" s="66"/>
      <c r="C126" s="66"/>
      <c r="D126" s="66"/>
      <c r="E126" s="66"/>
      <c r="F126" s="66"/>
      <c r="G126" s="66"/>
      <c r="H126" s="66"/>
      <c r="I126" s="66"/>
      <c r="J126" s="66"/>
      <c r="K126" s="69"/>
      <c r="L126" s="66"/>
    </row>
    <row r="127" spans="1:12" x14ac:dyDescent="0.3">
      <c r="A127" s="66"/>
      <c r="B127" s="66"/>
      <c r="C127" s="66"/>
      <c r="D127" s="66"/>
      <c r="E127" s="66"/>
      <c r="F127" s="66"/>
      <c r="G127" s="66"/>
      <c r="H127" s="66"/>
      <c r="I127" s="66"/>
      <c r="J127" s="66"/>
      <c r="K127" s="69"/>
      <c r="L127" s="66"/>
    </row>
    <row r="128" spans="1:12" x14ac:dyDescent="0.3">
      <c r="A128" s="66"/>
      <c r="B128" s="66"/>
      <c r="C128" s="66"/>
      <c r="D128" s="66"/>
      <c r="E128" s="66"/>
      <c r="F128" s="66"/>
      <c r="G128" s="66"/>
      <c r="H128" s="66"/>
      <c r="I128" s="66"/>
      <c r="J128" s="66"/>
      <c r="K128" s="69"/>
      <c r="L128" s="66"/>
    </row>
    <row r="129" spans="1:12" ht="13.2" customHeight="1" x14ac:dyDescent="0.3"/>
    <row r="130" spans="1:12" ht="13.8" customHeight="1" x14ac:dyDescent="0.3">
      <c r="B130" s="54" t="s">
        <v>17</v>
      </c>
      <c r="J130" s="54" t="s">
        <v>123</v>
      </c>
      <c r="K130" s="57"/>
      <c r="L130" s="54"/>
    </row>
    <row r="131" spans="1:12" ht="13.8" customHeight="1" x14ac:dyDescent="0.3">
      <c r="I131" s="57" t="s">
        <v>0</v>
      </c>
      <c r="K131" s="57" t="s">
        <v>87</v>
      </c>
    </row>
    <row r="132" spans="1:12" x14ac:dyDescent="0.3">
      <c r="A132" s="80" t="s">
        <v>113</v>
      </c>
      <c r="C132" s="57">
        <v>41</v>
      </c>
      <c r="E132" s="80" t="s">
        <v>118</v>
      </c>
      <c r="I132" s="66"/>
      <c r="J132" s="66"/>
      <c r="K132" s="66"/>
      <c r="L132" s="69"/>
    </row>
    <row r="133" spans="1:12" x14ac:dyDescent="0.3">
      <c r="A133" s="82" t="s">
        <v>112</v>
      </c>
      <c r="B133" s="66"/>
      <c r="C133" s="66">
        <v>41</v>
      </c>
      <c r="E133" s="82" t="s">
        <v>119</v>
      </c>
      <c r="F133" s="66"/>
      <c r="G133" s="66"/>
      <c r="I133" s="85"/>
      <c r="J133" s="85"/>
      <c r="K133" s="85"/>
      <c r="L133" s="131"/>
    </row>
    <row r="134" spans="1:12" x14ac:dyDescent="0.3">
      <c r="A134" s="80" t="s">
        <v>114</v>
      </c>
      <c r="E134" s="80" t="s">
        <v>120</v>
      </c>
      <c r="I134" s="66"/>
      <c r="J134" s="66"/>
      <c r="K134" s="66"/>
      <c r="L134" s="69"/>
    </row>
    <row r="135" spans="1:12" x14ac:dyDescent="0.3">
      <c r="A135" s="82" t="s">
        <v>115</v>
      </c>
      <c r="B135" s="66"/>
      <c r="C135" s="66"/>
      <c r="E135" s="82" t="s">
        <v>121</v>
      </c>
      <c r="F135" s="66"/>
      <c r="G135" s="66"/>
      <c r="K135" s="57"/>
      <c r="L135" s="54"/>
    </row>
    <row r="136" spans="1:12" x14ac:dyDescent="0.3">
      <c r="A136" s="80" t="s">
        <v>116</v>
      </c>
      <c r="E136" s="80" t="s">
        <v>122</v>
      </c>
      <c r="I136" s="66"/>
      <c r="J136" s="66"/>
      <c r="K136" s="66"/>
      <c r="L136" s="69"/>
    </row>
    <row r="137" spans="1:12" x14ac:dyDescent="0.3">
      <c r="A137" s="82" t="s">
        <v>117</v>
      </c>
      <c r="B137" s="66"/>
      <c r="C137" s="66"/>
      <c r="E137" s="82"/>
      <c r="F137" s="66"/>
      <c r="G137" s="66"/>
      <c r="I137" s="61"/>
      <c r="J137" s="61"/>
      <c r="K137" s="61"/>
      <c r="L137" s="78"/>
    </row>
    <row r="140" spans="1:12" x14ac:dyDescent="0.3">
      <c r="A140" s="90" t="s">
        <v>68</v>
      </c>
    </row>
    <row r="141" spans="1:12" x14ac:dyDescent="0.3">
      <c r="A141" s="217" t="s">
        <v>127</v>
      </c>
      <c r="B141" s="217"/>
      <c r="C141" s="217"/>
      <c r="D141" s="217"/>
      <c r="E141" s="217"/>
      <c r="F141" s="217"/>
      <c r="G141" s="217"/>
      <c r="H141" s="217"/>
      <c r="I141" s="217"/>
      <c r="J141" s="217"/>
      <c r="K141" s="217"/>
    </row>
    <row r="142" spans="1:12" x14ac:dyDescent="0.3">
      <c r="A142" s="217"/>
      <c r="B142" s="217"/>
      <c r="C142" s="217"/>
      <c r="D142" s="217"/>
      <c r="E142" s="217"/>
      <c r="F142" s="217"/>
      <c r="G142" s="217"/>
      <c r="H142" s="217"/>
      <c r="I142" s="217"/>
      <c r="J142" s="217"/>
      <c r="K142" s="217"/>
    </row>
    <row r="143" spans="1:12" x14ac:dyDescent="0.3">
      <c r="A143" s="217"/>
      <c r="B143" s="217"/>
      <c r="C143" s="217"/>
      <c r="D143" s="217"/>
      <c r="E143" s="217"/>
      <c r="F143" s="217"/>
      <c r="G143" s="217"/>
      <c r="H143" s="217"/>
      <c r="I143" s="217"/>
      <c r="J143" s="217"/>
      <c r="K143" s="217"/>
    </row>
    <row r="145" spans="1:12" x14ac:dyDescent="0.3">
      <c r="A145" s="90" t="s">
        <v>6</v>
      </c>
    </row>
    <row r="146" spans="1:12" x14ac:dyDescent="0.3">
      <c r="A146" s="217" t="s">
        <v>124</v>
      </c>
      <c r="B146" s="217"/>
      <c r="C146" s="217"/>
      <c r="D146" s="217"/>
      <c r="E146" s="217"/>
      <c r="F146" s="217"/>
      <c r="G146" s="217"/>
      <c r="H146" s="217"/>
      <c r="I146" s="217"/>
      <c r="J146" s="217"/>
      <c r="K146" s="217"/>
    </row>
    <row r="147" spans="1:12" x14ac:dyDescent="0.3">
      <c r="A147" s="217"/>
      <c r="B147" s="217"/>
      <c r="C147" s="217"/>
      <c r="D147" s="217"/>
      <c r="E147" s="217"/>
      <c r="F147" s="217"/>
      <c r="G147" s="217"/>
      <c r="H147" s="217"/>
      <c r="I147" s="217"/>
      <c r="J147" s="217"/>
      <c r="K147" s="217"/>
    </row>
    <row r="148" spans="1:12" x14ac:dyDescent="0.3">
      <c r="A148" s="217"/>
      <c r="B148" s="217"/>
      <c r="C148" s="217"/>
      <c r="D148" s="217"/>
      <c r="E148" s="217"/>
      <c r="F148" s="217"/>
      <c r="G148" s="217"/>
      <c r="H148" s="217"/>
      <c r="I148" s="217"/>
      <c r="J148" s="217"/>
      <c r="K148" s="217"/>
    </row>
    <row r="149" spans="1:12" x14ac:dyDescent="0.3">
      <c r="F149" s="72" t="s">
        <v>445</v>
      </c>
    </row>
    <row r="151" spans="1:12" x14ac:dyDescent="0.3">
      <c r="A151" s="63" t="s">
        <v>447</v>
      </c>
    </row>
    <row r="152" spans="1:12" x14ac:dyDescent="0.3">
      <c r="A152" s="63" t="s">
        <v>446</v>
      </c>
    </row>
    <row r="154" spans="1:12" x14ac:dyDescent="0.3">
      <c r="A154" s="63" t="s">
        <v>448</v>
      </c>
      <c r="C154" s="63"/>
      <c r="D154" s="63"/>
      <c r="E154" s="63"/>
      <c r="F154" s="63"/>
      <c r="G154" s="63"/>
      <c r="H154" s="63"/>
      <c r="I154" s="63"/>
      <c r="J154" s="63"/>
      <c r="K154" s="63"/>
      <c r="L154" s="63"/>
    </row>
    <row r="155" spans="1:12" x14ac:dyDescent="0.3">
      <c r="D155" s="63"/>
      <c r="E155" s="63"/>
      <c r="F155" s="63"/>
      <c r="G155" s="63"/>
      <c r="H155" s="63"/>
      <c r="I155" s="63"/>
      <c r="J155" s="63"/>
      <c r="K155" s="63"/>
      <c r="L155" s="63"/>
    </row>
    <row r="156" spans="1:12" x14ac:dyDescent="0.3">
      <c r="A156" s="63" t="s">
        <v>449</v>
      </c>
      <c r="B156" s="63"/>
      <c r="C156" s="63"/>
      <c r="D156" s="63"/>
      <c r="E156" s="63"/>
      <c r="F156" s="63"/>
      <c r="G156" s="63"/>
      <c r="H156" s="63"/>
      <c r="I156" s="63"/>
      <c r="J156" s="63"/>
      <c r="K156" s="63"/>
      <c r="L156" s="63"/>
    </row>
    <row r="157" spans="1:12" x14ac:dyDescent="0.3">
      <c r="B157" s="63" t="s">
        <v>450</v>
      </c>
      <c r="C157" s="63"/>
      <c r="D157" s="63"/>
      <c r="E157" s="63"/>
      <c r="F157" s="63"/>
      <c r="G157" s="63"/>
      <c r="H157" s="63"/>
      <c r="I157" s="63"/>
      <c r="J157" s="63"/>
      <c r="K157" s="63"/>
      <c r="L157" s="63"/>
    </row>
    <row r="158" spans="1:12" x14ac:dyDescent="0.3">
      <c r="A158" s="63" t="s">
        <v>451</v>
      </c>
      <c r="B158" s="63"/>
      <c r="C158" s="63"/>
      <c r="D158" s="63"/>
      <c r="E158" s="63"/>
      <c r="F158" s="63"/>
      <c r="G158" s="63"/>
      <c r="H158" s="63"/>
      <c r="I158" s="63"/>
      <c r="J158" s="63"/>
      <c r="K158" s="63"/>
      <c r="L158" s="63"/>
    </row>
    <row r="159" spans="1:12" x14ac:dyDescent="0.3">
      <c r="A159" s="63"/>
      <c r="B159" s="63" t="s">
        <v>452</v>
      </c>
      <c r="C159" s="63"/>
      <c r="D159" s="63"/>
      <c r="E159" s="63"/>
      <c r="F159" s="63"/>
      <c r="G159" s="63"/>
      <c r="H159" s="63"/>
      <c r="I159" s="63"/>
      <c r="J159" s="63"/>
      <c r="K159" s="63"/>
      <c r="L159" s="63"/>
    </row>
    <row r="160" spans="1:12" x14ac:dyDescent="0.3">
      <c r="A160" s="63"/>
      <c r="B160" s="63"/>
      <c r="C160" s="63"/>
      <c r="D160" s="63"/>
      <c r="E160" s="63"/>
      <c r="F160" s="63"/>
      <c r="G160" s="63"/>
      <c r="H160" s="63"/>
      <c r="I160" s="63"/>
      <c r="J160" s="63"/>
      <c r="K160" s="63"/>
      <c r="L160" s="63"/>
    </row>
    <row r="161" spans="1:12" x14ac:dyDescent="0.3">
      <c r="A161" s="63"/>
      <c r="B161" s="63"/>
      <c r="C161" s="63"/>
      <c r="D161" s="63"/>
      <c r="E161" s="63"/>
      <c r="F161" s="63"/>
      <c r="G161" s="63"/>
      <c r="H161" s="63"/>
      <c r="I161" s="63"/>
      <c r="J161" s="63"/>
      <c r="K161" s="63"/>
      <c r="L161" s="63"/>
    </row>
    <row r="162" spans="1:12" x14ac:dyDescent="0.3">
      <c r="A162" s="63"/>
      <c r="B162" s="63"/>
      <c r="C162" s="63"/>
      <c r="D162" s="63"/>
      <c r="E162" s="63"/>
      <c r="F162" s="63"/>
      <c r="G162" s="63"/>
      <c r="H162" s="63"/>
      <c r="I162" s="63"/>
      <c r="J162" s="63"/>
      <c r="K162" s="63"/>
      <c r="L162" s="63"/>
    </row>
    <row r="163" spans="1:12" x14ac:dyDescent="0.3">
      <c r="A163" s="63"/>
      <c r="B163" s="63"/>
      <c r="C163" s="63"/>
      <c r="D163" s="63"/>
      <c r="E163" s="63"/>
      <c r="F163" s="63"/>
      <c r="G163" s="63"/>
      <c r="H163" s="63"/>
      <c r="I163" s="63"/>
      <c r="J163" s="63"/>
      <c r="K163" s="63"/>
      <c r="L163" s="63"/>
    </row>
    <row r="164" spans="1:12" x14ac:dyDescent="0.3">
      <c r="A164" s="72" t="s">
        <v>208</v>
      </c>
      <c r="B164" s="90" t="s">
        <v>466</v>
      </c>
      <c r="J164" s="72" t="s">
        <v>201</v>
      </c>
      <c r="K164" s="57"/>
    </row>
    <row r="165" spans="1:12" x14ac:dyDescent="0.3">
      <c r="A165" s="72">
        <v>10</v>
      </c>
      <c r="B165" s="80" t="s">
        <v>467</v>
      </c>
      <c r="I165" s="80" t="s">
        <v>202</v>
      </c>
      <c r="K165" s="57" t="s">
        <v>203</v>
      </c>
    </row>
    <row r="166" spans="1:12" x14ac:dyDescent="0.3">
      <c r="A166" s="72">
        <v>9</v>
      </c>
      <c r="B166" s="80" t="s">
        <v>468</v>
      </c>
      <c r="I166" s="80" t="s">
        <v>7</v>
      </c>
      <c r="K166" s="57" t="s">
        <v>204</v>
      </c>
    </row>
    <row r="167" spans="1:12" x14ac:dyDescent="0.3">
      <c r="A167" s="72">
        <v>8</v>
      </c>
      <c r="B167" s="80" t="s">
        <v>469</v>
      </c>
      <c r="I167" s="80" t="s">
        <v>21</v>
      </c>
      <c r="K167" s="57" t="s">
        <v>205</v>
      </c>
    </row>
    <row r="168" spans="1:12" x14ac:dyDescent="0.3">
      <c r="A168" s="72">
        <v>7</v>
      </c>
      <c r="B168" s="80" t="s">
        <v>470</v>
      </c>
      <c r="I168" s="80" t="s">
        <v>56</v>
      </c>
      <c r="K168" s="57" t="s">
        <v>206</v>
      </c>
    </row>
    <row r="169" spans="1:12" x14ac:dyDescent="0.3">
      <c r="A169" s="72">
        <v>6</v>
      </c>
      <c r="B169" s="80" t="s">
        <v>471</v>
      </c>
      <c r="I169" s="80" t="s">
        <v>55</v>
      </c>
      <c r="K169" s="57" t="s">
        <v>207</v>
      </c>
    </row>
    <row r="170" spans="1:12" x14ac:dyDescent="0.3">
      <c r="A170" s="72">
        <v>5</v>
      </c>
      <c r="B170" s="80" t="s">
        <v>482</v>
      </c>
      <c r="I170" s="80" t="s">
        <v>57</v>
      </c>
      <c r="K170" s="57" t="s">
        <v>205</v>
      </c>
    </row>
    <row r="171" spans="1:12" x14ac:dyDescent="0.3">
      <c r="A171" s="72">
        <v>4</v>
      </c>
      <c r="B171" s="80" t="s">
        <v>472</v>
      </c>
      <c r="I171" s="80" t="s">
        <v>208</v>
      </c>
      <c r="K171" s="57" t="s">
        <v>207</v>
      </c>
    </row>
    <row r="172" spans="1:12" x14ac:dyDescent="0.3">
      <c r="A172" s="72">
        <v>3</v>
      </c>
      <c r="B172" s="80" t="s">
        <v>473</v>
      </c>
      <c r="I172" s="80" t="s">
        <v>20</v>
      </c>
      <c r="K172" s="57" t="s">
        <v>207</v>
      </c>
    </row>
    <row r="173" spans="1:12" x14ac:dyDescent="0.3">
      <c r="A173" s="72">
        <v>2</v>
      </c>
      <c r="B173" s="80" t="s">
        <v>474</v>
      </c>
    </row>
    <row r="174" spans="1:12" x14ac:dyDescent="0.3">
      <c r="A174" s="72">
        <v>1</v>
      </c>
      <c r="B174" s="80" t="s">
        <v>475</v>
      </c>
    </row>
    <row r="175" spans="1:12" x14ac:dyDescent="0.3">
      <c r="A175" s="72">
        <v>0</v>
      </c>
      <c r="B175" s="80" t="s">
        <v>476</v>
      </c>
    </row>
  </sheetData>
  <mergeCells count="2">
    <mergeCell ref="A141:K143"/>
    <mergeCell ref="A146:K148"/>
  </mergeCells>
  <pageMargins left="0.25" right="0.25" top="0.75" bottom="0.75" header="0.3" footer="0.3"/>
  <pageSetup paperSize="9" orientation="portrait" horizontalDpi="360" verticalDpi="36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5CACB-6F53-4618-ABAE-A31D18E277D3}">
  <dimension ref="A1:R182"/>
  <sheetViews>
    <sheetView topLeftCell="A92" zoomScale="170" zoomScaleNormal="170" workbookViewId="0">
      <selection activeCell="N32" sqref="N32"/>
    </sheetView>
  </sheetViews>
  <sheetFormatPr defaultRowHeight="13.8" x14ac:dyDescent="0.3"/>
  <cols>
    <col min="1" max="10" width="8" style="57" customWidth="1"/>
    <col min="11" max="11" width="8" style="54" customWidth="1"/>
    <col min="12" max="12" width="8" style="57" customWidth="1"/>
    <col min="13" max="13" width="8.88671875" style="57"/>
    <col min="14" max="15" width="8.88671875" style="57" customWidth="1"/>
    <col min="16" max="16384" width="8.88671875" style="57"/>
  </cols>
  <sheetData>
    <row r="1" spans="1:12" ht="13.8" customHeight="1" x14ac:dyDescent="0.3">
      <c r="A1" s="150" t="s">
        <v>65</v>
      </c>
      <c r="C1" s="61"/>
      <c r="D1" s="61"/>
      <c r="F1" s="75" t="s">
        <v>5</v>
      </c>
      <c r="G1" s="54" t="s">
        <v>62</v>
      </c>
      <c r="H1" s="151" t="s">
        <v>173</v>
      </c>
      <c r="I1" s="81" t="s">
        <v>348</v>
      </c>
      <c r="J1" s="61"/>
      <c r="K1" s="61"/>
      <c r="L1" s="173" t="s">
        <v>507</v>
      </c>
    </row>
    <row r="3" spans="1:12" x14ac:dyDescent="0.3">
      <c r="A3" s="156" t="s">
        <v>0</v>
      </c>
      <c r="B3" s="57" t="s">
        <v>501</v>
      </c>
      <c r="E3" s="156" t="s">
        <v>2</v>
      </c>
      <c r="F3" s="152" t="s">
        <v>503</v>
      </c>
      <c r="H3" s="55" t="s">
        <v>505</v>
      </c>
      <c r="K3" s="57"/>
    </row>
    <row r="4" spans="1:12" x14ac:dyDescent="0.3">
      <c r="A4" s="156" t="s">
        <v>343</v>
      </c>
      <c r="B4" s="57" t="s">
        <v>125</v>
      </c>
      <c r="E4" s="156" t="s">
        <v>3</v>
      </c>
      <c r="F4" s="152" t="s">
        <v>504</v>
      </c>
      <c r="H4" s="55" t="s">
        <v>506</v>
      </c>
    </row>
    <row r="5" spans="1:12" x14ac:dyDescent="0.3">
      <c r="A5" s="156" t="s">
        <v>4</v>
      </c>
      <c r="B5" s="152" t="s">
        <v>502</v>
      </c>
      <c r="E5" s="156" t="s">
        <v>69</v>
      </c>
      <c r="F5" s="57" t="s">
        <v>126</v>
      </c>
      <c r="H5" s="55"/>
    </row>
    <row r="7" spans="1:12" x14ac:dyDescent="0.3">
      <c r="F7" s="72" t="s">
        <v>7</v>
      </c>
    </row>
    <row r="8" spans="1:12" ht="13.8" customHeight="1" x14ac:dyDescent="0.3">
      <c r="B8" s="72" t="s">
        <v>8</v>
      </c>
      <c r="C8" s="73"/>
      <c r="D8" s="73"/>
      <c r="E8" s="73"/>
      <c r="F8" s="72" t="s">
        <v>9</v>
      </c>
      <c r="G8" s="73"/>
      <c r="H8" s="73"/>
      <c r="I8" s="73"/>
      <c r="J8" s="72" t="s">
        <v>10</v>
      </c>
    </row>
    <row r="9" spans="1:12" x14ac:dyDescent="0.3">
      <c r="A9" s="165" t="s">
        <v>11</v>
      </c>
      <c r="B9" s="63"/>
      <c r="D9" s="163">
        <v>3</v>
      </c>
      <c r="E9" s="165" t="s">
        <v>12</v>
      </c>
      <c r="F9" s="63"/>
      <c r="H9" s="163">
        <v>3</v>
      </c>
      <c r="I9" s="165" t="s">
        <v>13</v>
      </c>
      <c r="L9" s="163">
        <v>2</v>
      </c>
    </row>
    <row r="10" spans="1:12" x14ac:dyDescent="0.3">
      <c r="A10" s="165" t="s">
        <v>14</v>
      </c>
      <c r="D10" s="163">
        <v>2</v>
      </c>
      <c r="E10" s="165" t="s">
        <v>16</v>
      </c>
      <c r="F10" s="63"/>
      <c r="H10" s="163">
        <v>2</v>
      </c>
      <c r="I10" s="165" t="s">
        <v>18</v>
      </c>
      <c r="L10" s="163">
        <v>3</v>
      </c>
    </row>
    <row r="11" spans="1:12" x14ac:dyDescent="0.3">
      <c r="A11" s="165" t="s">
        <v>15</v>
      </c>
      <c r="D11" s="163">
        <v>3</v>
      </c>
      <c r="E11" s="165" t="s">
        <v>17</v>
      </c>
      <c r="F11" s="63" t="s">
        <v>508</v>
      </c>
      <c r="H11" s="164">
        <v>4</v>
      </c>
      <c r="I11" s="165" t="s">
        <v>19</v>
      </c>
      <c r="J11" s="63"/>
      <c r="L11" s="163">
        <v>2</v>
      </c>
    </row>
    <row r="13" spans="1:12" x14ac:dyDescent="0.3">
      <c r="C13" s="75"/>
      <c r="G13" s="75"/>
      <c r="K13" s="75"/>
    </row>
    <row r="14" spans="1:12" x14ac:dyDescent="0.3">
      <c r="F14" s="72" t="s">
        <v>21</v>
      </c>
    </row>
    <row r="15" spans="1:12" ht="13.2" customHeight="1" x14ac:dyDescent="0.3">
      <c r="B15" s="72" t="s">
        <v>22</v>
      </c>
      <c r="C15" s="72"/>
      <c r="D15" s="72"/>
      <c r="E15" s="72"/>
      <c r="F15" s="72" t="s">
        <v>53</v>
      </c>
      <c r="G15" s="72"/>
      <c r="H15" s="72"/>
      <c r="I15" s="72"/>
      <c r="J15" s="72" t="s">
        <v>54</v>
      </c>
    </row>
    <row r="16" spans="1:12" x14ac:dyDescent="0.3">
      <c r="A16" s="154" t="s">
        <v>23</v>
      </c>
      <c r="D16" s="163">
        <v>1</v>
      </c>
      <c r="E16" s="154" t="s">
        <v>438</v>
      </c>
      <c r="F16" s="80"/>
      <c r="G16" s="54"/>
      <c r="H16" s="163">
        <v>0</v>
      </c>
      <c r="I16" s="154" t="s">
        <v>31</v>
      </c>
      <c r="L16" s="163">
        <v>2</v>
      </c>
    </row>
    <row r="17" spans="1:12" x14ac:dyDescent="0.3">
      <c r="A17" s="154" t="s">
        <v>32</v>
      </c>
      <c r="D17" s="163">
        <v>1</v>
      </c>
      <c r="E17" s="154" t="s">
        <v>33</v>
      </c>
      <c r="F17" s="80"/>
      <c r="G17" s="54"/>
      <c r="H17" s="163">
        <v>2</v>
      </c>
      <c r="I17" s="154" t="s">
        <v>34</v>
      </c>
      <c r="L17" s="163">
        <v>0</v>
      </c>
    </row>
    <row r="18" spans="1:12" x14ac:dyDescent="0.3">
      <c r="A18" s="154" t="s">
        <v>436</v>
      </c>
      <c r="D18" s="163">
        <v>1</v>
      </c>
      <c r="E18" s="174" t="s">
        <v>437</v>
      </c>
      <c r="F18" s="80" t="s">
        <v>511</v>
      </c>
      <c r="G18" s="54"/>
      <c r="H18" s="163">
        <v>4</v>
      </c>
      <c r="I18" s="154" t="s">
        <v>36</v>
      </c>
      <c r="L18" s="163">
        <v>0</v>
      </c>
    </row>
    <row r="19" spans="1:12" x14ac:dyDescent="0.3">
      <c r="A19" s="154" t="s">
        <v>26</v>
      </c>
      <c r="D19" s="163">
        <v>3</v>
      </c>
      <c r="E19" s="154" t="s">
        <v>38</v>
      </c>
      <c r="F19" s="80"/>
      <c r="G19" s="54"/>
      <c r="H19" s="163">
        <v>0</v>
      </c>
      <c r="I19" s="154" t="s">
        <v>45</v>
      </c>
      <c r="L19" s="163">
        <v>0</v>
      </c>
    </row>
    <row r="20" spans="1:12" x14ac:dyDescent="0.3">
      <c r="A20" s="154" t="s">
        <v>27</v>
      </c>
      <c r="D20" s="163">
        <v>3</v>
      </c>
      <c r="E20" s="154" t="s">
        <v>39</v>
      </c>
      <c r="F20" s="80"/>
      <c r="G20" s="54"/>
      <c r="H20" s="163">
        <v>2</v>
      </c>
      <c r="I20" s="154" t="s">
        <v>46</v>
      </c>
      <c r="L20" s="163">
        <v>1</v>
      </c>
    </row>
    <row r="21" spans="1:12" x14ac:dyDescent="0.3">
      <c r="A21" s="154" t="s">
        <v>28</v>
      </c>
      <c r="D21" s="163">
        <v>2</v>
      </c>
      <c r="E21" s="154" t="s">
        <v>40</v>
      </c>
      <c r="F21" s="80"/>
      <c r="G21" s="54"/>
      <c r="H21" s="163">
        <v>0</v>
      </c>
      <c r="I21" s="154" t="s">
        <v>47</v>
      </c>
      <c r="L21" s="163">
        <v>0</v>
      </c>
    </row>
    <row r="22" spans="1:12" x14ac:dyDescent="0.3">
      <c r="A22" s="154" t="s">
        <v>24</v>
      </c>
      <c r="B22" s="80"/>
      <c r="D22" s="163">
        <v>1</v>
      </c>
      <c r="E22" s="154" t="s">
        <v>41</v>
      </c>
      <c r="F22" s="80"/>
      <c r="G22" s="54"/>
      <c r="H22" s="163">
        <v>0</v>
      </c>
      <c r="I22" s="154" t="s">
        <v>48</v>
      </c>
      <c r="L22" s="163">
        <v>0</v>
      </c>
    </row>
    <row r="23" spans="1:12" x14ac:dyDescent="0.3">
      <c r="A23" s="154" t="s">
        <v>25</v>
      </c>
      <c r="D23" s="163">
        <v>0</v>
      </c>
      <c r="E23" s="154" t="s">
        <v>42</v>
      </c>
      <c r="F23" s="80"/>
      <c r="G23" s="54"/>
      <c r="H23" s="163">
        <v>0</v>
      </c>
      <c r="I23" s="154" t="s">
        <v>49</v>
      </c>
      <c r="L23" s="163">
        <v>0</v>
      </c>
    </row>
    <row r="24" spans="1:12" x14ac:dyDescent="0.3">
      <c r="A24" s="154" t="s">
        <v>37</v>
      </c>
      <c r="D24" s="163">
        <v>0</v>
      </c>
      <c r="E24" s="154" t="s">
        <v>43</v>
      </c>
      <c r="F24" s="80"/>
      <c r="G24" s="54"/>
      <c r="H24" s="163">
        <v>0</v>
      </c>
      <c r="I24" s="154" t="s">
        <v>50</v>
      </c>
      <c r="L24" s="163">
        <v>1</v>
      </c>
    </row>
    <row r="25" spans="1:12" x14ac:dyDescent="0.3">
      <c r="A25" s="154" t="s">
        <v>29</v>
      </c>
      <c r="D25" s="163">
        <v>1</v>
      </c>
      <c r="E25" s="154" t="s">
        <v>44</v>
      </c>
      <c r="F25" s="80"/>
      <c r="G25" s="54"/>
      <c r="H25" s="163">
        <v>1</v>
      </c>
      <c r="I25" s="154" t="s">
        <v>51</v>
      </c>
      <c r="L25" s="163">
        <v>0</v>
      </c>
    </row>
    <row r="27" spans="1:12" x14ac:dyDescent="0.3">
      <c r="C27" s="75"/>
      <c r="G27" s="75"/>
      <c r="K27" s="75"/>
    </row>
    <row r="28" spans="1:12" x14ac:dyDescent="0.3">
      <c r="A28" s="73"/>
      <c r="B28" s="72" t="s">
        <v>56</v>
      </c>
      <c r="C28" s="73"/>
      <c r="D28" s="73"/>
      <c r="E28" s="73"/>
      <c r="F28" s="73"/>
      <c r="H28" s="73"/>
      <c r="I28" s="72" t="s">
        <v>57</v>
      </c>
      <c r="J28" s="73"/>
      <c r="K28" s="55"/>
      <c r="L28" s="170" t="s">
        <v>480</v>
      </c>
    </row>
    <row r="29" spans="1:12" ht="13.8" customHeight="1" x14ac:dyDescent="0.3">
      <c r="A29" s="80" t="s">
        <v>0</v>
      </c>
      <c r="B29" s="75" t="s">
        <v>73</v>
      </c>
      <c r="C29" s="80" t="s">
        <v>61</v>
      </c>
      <c r="G29" s="73"/>
      <c r="H29" s="166" t="s">
        <v>58</v>
      </c>
      <c r="J29" s="167">
        <v>3</v>
      </c>
      <c r="K29" s="162" t="s">
        <v>465</v>
      </c>
      <c r="L29" s="54"/>
    </row>
    <row r="30" spans="1:12" s="73" customFormat="1" x14ac:dyDescent="0.3">
      <c r="A30" s="80" t="s">
        <v>512</v>
      </c>
      <c r="B30" s="54">
        <v>1</v>
      </c>
      <c r="C30" s="175" t="s">
        <v>513</v>
      </c>
      <c r="D30" s="57"/>
      <c r="E30" s="57"/>
      <c r="F30" s="57"/>
      <c r="G30" s="57"/>
      <c r="H30" s="166" t="s">
        <v>342</v>
      </c>
      <c r="I30" s="57"/>
      <c r="J30" s="167">
        <v>3</v>
      </c>
      <c r="K30" s="55" t="s">
        <v>477</v>
      </c>
      <c r="L30" s="54"/>
    </row>
    <row r="31" spans="1:12" x14ac:dyDescent="0.3">
      <c r="A31" s="80" t="s">
        <v>328</v>
      </c>
      <c r="B31" s="54">
        <v>1</v>
      </c>
      <c r="C31" s="80" t="s">
        <v>440</v>
      </c>
      <c r="H31" s="166" t="s">
        <v>59</v>
      </c>
      <c r="J31" s="167">
        <v>4</v>
      </c>
      <c r="K31" s="55" t="s">
        <v>479</v>
      </c>
      <c r="L31" s="54"/>
    </row>
    <row r="32" spans="1:12" x14ac:dyDescent="0.3">
      <c r="A32" s="80" t="s">
        <v>514</v>
      </c>
      <c r="B32" s="54">
        <v>1</v>
      </c>
      <c r="C32" s="80" t="s">
        <v>515</v>
      </c>
      <c r="H32" s="63" t="s">
        <v>70</v>
      </c>
      <c r="J32" s="167" t="s">
        <v>131</v>
      </c>
      <c r="L32" s="54"/>
    </row>
    <row r="33" spans="1:12" x14ac:dyDescent="0.3">
      <c r="A33" s="80" t="s">
        <v>514</v>
      </c>
      <c r="B33" s="54">
        <v>2</v>
      </c>
      <c r="C33" s="80" t="s">
        <v>516</v>
      </c>
      <c r="H33" s="63" t="s">
        <v>66</v>
      </c>
      <c r="J33" s="167">
        <f>J29+J30</f>
        <v>6</v>
      </c>
      <c r="K33" s="162" t="s">
        <v>464</v>
      </c>
      <c r="L33" s="54"/>
    </row>
    <row r="34" spans="1:12" x14ac:dyDescent="0.3">
      <c r="A34" s="61"/>
      <c r="B34" s="61"/>
      <c r="C34" s="61"/>
      <c r="D34" s="61"/>
      <c r="E34" s="61"/>
      <c r="F34" s="61"/>
      <c r="H34" s="63" t="s">
        <v>20</v>
      </c>
      <c r="J34" s="167">
        <v>6</v>
      </c>
      <c r="K34" s="162" t="s">
        <v>478</v>
      </c>
      <c r="L34" s="54"/>
    </row>
    <row r="35" spans="1:12" x14ac:dyDescent="0.3">
      <c r="H35" s="63" t="s">
        <v>67</v>
      </c>
      <c r="J35" s="167">
        <v>10</v>
      </c>
      <c r="K35" s="162" t="s">
        <v>494</v>
      </c>
    </row>
    <row r="36" spans="1:12" x14ac:dyDescent="0.3">
      <c r="A36" s="66"/>
      <c r="B36" s="66"/>
      <c r="C36" s="66"/>
      <c r="D36" s="66"/>
      <c r="E36" s="66"/>
      <c r="F36" s="66"/>
      <c r="H36" s="63" t="s">
        <v>341</v>
      </c>
      <c r="I36" s="73"/>
      <c r="J36" s="167">
        <f>7-J30</f>
        <v>4</v>
      </c>
      <c r="K36" s="162" t="s">
        <v>481</v>
      </c>
      <c r="L36" s="73"/>
    </row>
    <row r="37" spans="1:12" x14ac:dyDescent="0.3">
      <c r="G37" s="73"/>
    </row>
    <row r="38" spans="1:12" s="73" customFormat="1" x14ac:dyDescent="0.3">
      <c r="A38" s="157"/>
      <c r="B38" s="157"/>
      <c r="C38" s="157"/>
      <c r="D38" s="157"/>
      <c r="E38" s="157"/>
      <c r="F38" s="157"/>
      <c r="H38" s="63" t="s">
        <v>495</v>
      </c>
      <c r="I38" s="171"/>
      <c r="J38" s="171"/>
    </row>
    <row r="39" spans="1:12" x14ac:dyDescent="0.3">
      <c r="A39" s="66"/>
      <c r="B39" s="66"/>
      <c r="C39" s="66"/>
      <c r="D39" s="66"/>
      <c r="E39" s="66"/>
      <c r="F39" s="66"/>
      <c r="H39" s="63" t="s">
        <v>496</v>
      </c>
      <c r="I39" s="66"/>
      <c r="J39" s="66"/>
    </row>
    <row r="40" spans="1:12" ht="13.8" customHeight="1" x14ac:dyDescent="0.3"/>
    <row r="41" spans="1:12" x14ac:dyDescent="0.3">
      <c r="A41" s="157"/>
      <c r="B41" s="158"/>
      <c r="C41" s="157"/>
      <c r="D41" s="66"/>
      <c r="E41" s="69"/>
      <c r="F41" s="66"/>
      <c r="G41" s="73"/>
    </row>
    <row r="42" spans="1:12" x14ac:dyDescent="0.3">
      <c r="B42" s="54"/>
      <c r="D42" s="54"/>
      <c r="E42" s="153"/>
      <c r="H42" s="72" t="s">
        <v>366</v>
      </c>
      <c r="I42" s="75" t="s">
        <v>182</v>
      </c>
      <c r="J42" s="75" t="s">
        <v>142</v>
      </c>
      <c r="K42" s="75" t="s">
        <v>143</v>
      </c>
      <c r="L42" s="75" t="s">
        <v>144</v>
      </c>
    </row>
    <row r="43" spans="1:12" x14ac:dyDescent="0.3">
      <c r="A43" s="68"/>
      <c r="B43" s="68"/>
      <c r="C43" s="69"/>
      <c r="D43" s="108"/>
      <c r="E43" s="109"/>
      <c r="F43" s="66"/>
      <c r="H43" s="172"/>
      <c r="I43" s="172" t="s">
        <v>500</v>
      </c>
      <c r="J43" s="172" t="s">
        <v>498</v>
      </c>
      <c r="K43" s="172" t="s">
        <v>499</v>
      </c>
      <c r="L43" s="172" t="s">
        <v>497</v>
      </c>
    </row>
    <row r="44" spans="1:12" x14ac:dyDescent="0.3">
      <c r="A44" s="152"/>
      <c r="B44" s="152"/>
      <c r="C44" s="54"/>
      <c r="D44" s="55"/>
      <c r="E44" s="153"/>
      <c r="H44" s="63" t="s">
        <v>156</v>
      </c>
      <c r="I44" s="167">
        <v>0</v>
      </c>
      <c r="J44" s="159" t="b">
        <v>0</v>
      </c>
      <c r="K44" s="160" t="b">
        <v>0</v>
      </c>
      <c r="L44" s="159" t="b">
        <v>0</v>
      </c>
    </row>
    <row r="45" spans="1:12" ht="13.8" customHeight="1" x14ac:dyDescent="0.3">
      <c r="A45" s="68"/>
      <c r="B45" s="68"/>
      <c r="C45" s="69"/>
      <c r="D45" s="168"/>
      <c r="E45" s="109"/>
      <c r="F45" s="66"/>
      <c r="H45" s="63" t="s">
        <v>157</v>
      </c>
      <c r="I45" s="167">
        <v>-1</v>
      </c>
      <c r="J45" s="161" t="b">
        <v>0</v>
      </c>
      <c r="K45" s="160" t="b">
        <v>0</v>
      </c>
      <c r="L45" s="159" t="b">
        <v>0</v>
      </c>
    </row>
    <row r="46" spans="1:12" x14ac:dyDescent="0.3">
      <c r="C46" s="54"/>
      <c r="D46" s="80"/>
      <c r="E46" s="54"/>
      <c r="H46" s="63" t="s">
        <v>158</v>
      </c>
      <c r="I46" s="167">
        <v>-1</v>
      </c>
      <c r="J46" s="159" t="b">
        <v>0</v>
      </c>
      <c r="K46" s="160" t="b">
        <v>0</v>
      </c>
      <c r="L46" s="159" t="b">
        <v>0</v>
      </c>
    </row>
    <row r="47" spans="1:12" x14ac:dyDescent="0.3">
      <c r="A47" s="68"/>
      <c r="B47" s="68"/>
      <c r="C47" s="69"/>
      <c r="D47" s="108"/>
      <c r="E47" s="109"/>
      <c r="F47" s="66"/>
      <c r="H47" s="63" t="s">
        <v>159</v>
      </c>
      <c r="I47" s="167">
        <v>-2</v>
      </c>
      <c r="J47" s="159" t="b">
        <v>0</v>
      </c>
      <c r="K47" s="160" t="b">
        <v>0</v>
      </c>
      <c r="L47" s="159" t="b">
        <v>0</v>
      </c>
    </row>
    <row r="48" spans="1:12" x14ac:dyDescent="0.3">
      <c r="A48" s="152"/>
      <c r="B48" s="152"/>
      <c r="C48" s="54"/>
      <c r="D48" s="55"/>
      <c r="E48" s="153"/>
      <c r="H48" s="63" t="s">
        <v>441</v>
      </c>
      <c r="I48" s="167">
        <v>-2</v>
      </c>
      <c r="J48" s="159" t="b">
        <v>0</v>
      </c>
      <c r="K48" s="160" t="b">
        <v>0</v>
      </c>
      <c r="L48" s="159" t="b">
        <v>0</v>
      </c>
    </row>
    <row r="49" spans="1:12" x14ac:dyDescent="0.3">
      <c r="A49" s="66"/>
      <c r="B49" s="69"/>
      <c r="C49" s="66"/>
      <c r="D49" s="82"/>
      <c r="E49" s="66"/>
      <c r="F49" s="66"/>
      <c r="H49" s="63" t="s">
        <v>161</v>
      </c>
      <c r="I49" s="167">
        <v>-5</v>
      </c>
      <c r="J49" s="159" t="b">
        <v>0</v>
      </c>
      <c r="K49" s="160" t="b">
        <v>0</v>
      </c>
      <c r="L49" s="159" t="b">
        <v>0</v>
      </c>
    </row>
    <row r="50" spans="1:12" x14ac:dyDescent="0.3">
      <c r="A50" s="66"/>
      <c r="B50" s="69"/>
      <c r="C50" s="66"/>
      <c r="D50" s="82"/>
      <c r="E50" s="66"/>
      <c r="F50" s="66"/>
      <c r="H50" s="63" t="s">
        <v>162</v>
      </c>
      <c r="I50" s="167" t="s">
        <v>131</v>
      </c>
    </row>
    <row r="51" spans="1:12" x14ac:dyDescent="0.3">
      <c r="F51" s="72" t="s">
        <v>77</v>
      </c>
    </row>
    <row r="52" spans="1:12" ht="13.8" customHeight="1" x14ac:dyDescent="0.3"/>
    <row r="53" spans="1:12" x14ac:dyDescent="0.3">
      <c r="A53" s="57" t="s">
        <v>78</v>
      </c>
      <c r="D53" s="57" t="s">
        <v>73</v>
      </c>
      <c r="E53" s="57" t="s">
        <v>79</v>
      </c>
    </row>
    <row r="55" spans="1:12" x14ac:dyDescent="0.3">
      <c r="A55" s="99" t="s">
        <v>407</v>
      </c>
      <c r="B55" s="66"/>
      <c r="C55" s="66"/>
      <c r="D55" s="169">
        <v>1</v>
      </c>
      <c r="E55" s="99" t="s">
        <v>483</v>
      </c>
      <c r="F55" s="66"/>
      <c r="G55" s="66"/>
      <c r="H55" s="66"/>
      <c r="I55" s="66"/>
      <c r="J55" s="66"/>
      <c r="K55" s="69"/>
      <c r="L55" s="66"/>
    </row>
    <row r="56" spans="1:12" x14ac:dyDescent="0.3">
      <c r="D56" s="167"/>
    </row>
    <row r="57" spans="1:12" x14ac:dyDescent="0.3">
      <c r="A57" s="66"/>
      <c r="B57" s="66"/>
      <c r="C57" s="66"/>
      <c r="D57" s="169"/>
      <c r="E57" s="66"/>
      <c r="F57" s="66"/>
      <c r="G57" s="66"/>
      <c r="H57" s="66"/>
      <c r="I57" s="66"/>
      <c r="J57" s="66"/>
      <c r="K57" s="69"/>
      <c r="L57" s="66"/>
    </row>
    <row r="58" spans="1:12" x14ac:dyDescent="0.3">
      <c r="D58" s="167"/>
    </row>
    <row r="59" spans="1:12" x14ac:dyDescent="0.3">
      <c r="A59" s="66"/>
      <c r="B59" s="66"/>
      <c r="C59" s="66"/>
      <c r="D59" s="169"/>
      <c r="E59" s="66"/>
      <c r="F59" s="66"/>
      <c r="G59" s="66"/>
      <c r="H59" s="66"/>
      <c r="I59" s="66"/>
      <c r="J59" s="66"/>
      <c r="K59" s="69"/>
      <c r="L59" s="66"/>
    </row>
    <row r="61" spans="1:12" ht="13.8" customHeight="1" x14ac:dyDescent="0.3">
      <c r="F61" s="72" t="s">
        <v>80</v>
      </c>
    </row>
    <row r="62" spans="1:12" x14ac:dyDescent="0.3">
      <c r="A62" s="80" t="s">
        <v>81</v>
      </c>
      <c r="B62" s="80" t="s">
        <v>82</v>
      </c>
      <c r="C62" s="80" t="s">
        <v>61</v>
      </c>
      <c r="D62" s="80"/>
      <c r="E62" s="80"/>
      <c r="F62" s="80" t="s">
        <v>83</v>
      </c>
      <c r="G62" s="80" t="s">
        <v>86</v>
      </c>
      <c r="H62" s="80" t="s">
        <v>85</v>
      </c>
      <c r="I62" s="80" t="s">
        <v>84</v>
      </c>
      <c r="J62" s="80" t="s">
        <v>87</v>
      </c>
      <c r="K62" s="75"/>
      <c r="L62" s="80"/>
    </row>
    <row r="64" spans="1:12" x14ac:dyDescent="0.3">
      <c r="A64" s="66"/>
      <c r="B64" s="66"/>
      <c r="C64" s="66"/>
      <c r="D64" s="66"/>
      <c r="E64" s="66"/>
      <c r="F64" s="66"/>
      <c r="G64" s="66"/>
      <c r="H64" s="66"/>
      <c r="I64" s="66"/>
      <c r="J64" s="66"/>
      <c r="K64" s="69"/>
      <c r="L64" s="66"/>
    </row>
    <row r="66" spans="1:12" x14ac:dyDescent="0.3">
      <c r="A66" s="66"/>
      <c r="B66" s="66"/>
      <c r="C66" s="66"/>
      <c r="D66" s="66"/>
      <c r="E66" s="66"/>
      <c r="F66" s="66"/>
      <c r="G66" s="66"/>
      <c r="H66" s="66"/>
      <c r="I66" s="66"/>
      <c r="J66" s="66"/>
      <c r="K66" s="69"/>
      <c r="L66" s="66"/>
    </row>
    <row r="68" spans="1:12" x14ac:dyDescent="0.3">
      <c r="A68" s="66"/>
      <c r="B68" s="66"/>
      <c r="C68" s="66"/>
      <c r="D68" s="66"/>
      <c r="E68" s="66"/>
      <c r="F68" s="66"/>
      <c r="G68" s="66"/>
      <c r="H68" s="66"/>
      <c r="I68" s="66"/>
      <c r="J68" s="66"/>
      <c r="K68" s="69"/>
      <c r="L68" s="66"/>
    </row>
    <row r="70" spans="1:12" x14ac:dyDescent="0.3">
      <c r="A70" s="66"/>
      <c r="B70" s="66"/>
      <c r="C70" s="66"/>
      <c r="D70" s="66"/>
      <c r="E70" s="66"/>
      <c r="F70" s="66"/>
      <c r="G70" s="66"/>
      <c r="H70" s="66"/>
      <c r="I70" s="66"/>
      <c r="J70" s="66"/>
      <c r="K70" s="69"/>
      <c r="L70" s="66"/>
    </row>
    <row r="72" spans="1:12" x14ac:dyDescent="0.3">
      <c r="A72" s="66"/>
      <c r="B72" s="66"/>
      <c r="C72" s="66"/>
      <c r="D72" s="66"/>
      <c r="E72" s="66"/>
      <c r="F72" s="66"/>
      <c r="G72" s="66"/>
      <c r="H72" s="66"/>
      <c r="I72" s="66"/>
      <c r="J72" s="66"/>
      <c r="K72" s="69"/>
      <c r="L72" s="66"/>
    </row>
    <row r="74" spans="1:12" x14ac:dyDescent="0.3">
      <c r="F74" s="72" t="s">
        <v>71</v>
      </c>
    </row>
    <row r="75" spans="1:12" x14ac:dyDescent="0.3">
      <c r="B75" s="72"/>
    </row>
    <row r="76" spans="1:12" ht="13.8" customHeight="1" x14ac:dyDescent="0.3">
      <c r="A76" s="66"/>
      <c r="B76" s="66"/>
      <c r="C76" s="66"/>
      <c r="D76" s="66"/>
      <c r="E76" s="66"/>
      <c r="F76" s="66"/>
      <c r="G76" s="66"/>
      <c r="H76" s="66"/>
      <c r="I76" s="66"/>
      <c r="J76" s="66"/>
      <c r="K76" s="69"/>
      <c r="L76" s="66"/>
    </row>
    <row r="77" spans="1:12" ht="13.8" customHeight="1" x14ac:dyDescent="0.3">
      <c r="A77" s="66"/>
      <c r="B77" s="66"/>
      <c r="C77" s="66"/>
      <c r="D77" s="66"/>
      <c r="E77" s="66"/>
      <c r="F77" s="66"/>
      <c r="G77" s="66"/>
      <c r="H77" s="66"/>
      <c r="I77" s="66"/>
      <c r="J77" s="66"/>
      <c r="K77" s="69"/>
      <c r="L77" s="66"/>
    </row>
    <row r="79" spans="1:12" x14ac:dyDescent="0.3">
      <c r="A79" s="66"/>
      <c r="B79" s="66"/>
      <c r="C79" s="66"/>
      <c r="D79" s="66"/>
      <c r="E79" s="66"/>
      <c r="F79" s="66"/>
      <c r="G79" s="66"/>
      <c r="H79" s="66"/>
      <c r="I79" s="66"/>
      <c r="J79" s="66"/>
      <c r="K79" s="69"/>
      <c r="L79" s="66"/>
    </row>
    <row r="81" spans="1:12" x14ac:dyDescent="0.3">
      <c r="A81" s="66"/>
      <c r="B81" s="66"/>
      <c r="C81" s="66"/>
      <c r="D81" s="66"/>
      <c r="E81" s="66"/>
      <c r="F81" s="66"/>
      <c r="G81" s="66"/>
      <c r="H81" s="66"/>
      <c r="I81" s="66"/>
      <c r="J81" s="66"/>
      <c r="K81" s="69"/>
      <c r="L81" s="66"/>
    </row>
    <row r="84" spans="1:12" x14ac:dyDescent="0.3">
      <c r="B84" s="72" t="s">
        <v>72</v>
      </c>
      <c r="F84" s="101" t="s">
        <v>373</v>
      </c>
      <c r="J84" s="54" t="s">
        <v>74</v>
      </c>
    </row>
    <row r="85" spans="1:12" x14ac:dyDescent="0.3">
      <c r="A85" s="57" t="s">
        <v>0</v>
      </c>
      <c r="B85" s="57" t="s">
        <v>73</v>
      </c>
      <c r="C85" s="57" t="s">
        <v>61</v>
      </c>
      <c r="E85" s="76" t="s">
        <v>61</v>
      </c>
      <c r="I85" s="76" t="s">
        <v>75</v>
      </c>
      <c r="K85" s="69"/>
      <c r="L85" s="66"/>
    </row>
    <row r="86" spans="1:12" x14ac:dyDescent="0.3">
      <c r="A86" s="76"/>
      <c r="E86" s="76"/>
      <c r="I86" s="76" t="s">
        <v>76</v>
      </c>
      <c r="K86" s="69"/>
      <c r="L86" s="66"/>
    </row>
    <row r="87" spans="1:12" x14ac:dyDescent="0.3">
      <c r="A87" s="94"/>
      <c r="B87" s="66"/>
      <c r="C87" s="66"/>
      <c r="D87" s="66"/>
      <c r="E87" s="94"/>
      <c r="F87" s="66"/>
      <c r="G87" s="66"/>
      <c r="H87" s="66"/>
      <c r="I87" s="94"/>
      <c r="J87" s="66"/>
      <c r="K87" s="69"/>
      <c r="L87" s="66"/>
    </row>
    <row r="88" spans="1:12" x14ac:dyDescent="0.3">
      <c r="A88" s="76"/>
      <c r="E88" s="76"/>
      <c r="I88" s="76"/>
    </row>
    <row r="89" spans="1:12" x14ac:dyDescent="0.3">
      <c r="A89" s="94"/>
      <c r="B89" s="66"/>
      <c r="C89" s="66"/>
      <c r="D89" s="66"/>
      <c r="E89" s="94"/>
      <c r="F89" s="66"/>
      <c r="G89" s="66"/>
      <c r="H89" s="66"/>
      <c r="I89" s="94"/>
      <c r="J89" s="66"/>
      <c r="K89" s="69"/>
      <c r="L89" s="66"/>
    </row>
    <row r="90" spans="1:12" x14ac:dyDescent="0.3">
      <c r="A90" s="76"/>
      <c r="E90" s="76"/>
      <c r="I90" s="76"/>
    </row>
    <row r="91" spans="1:12" x14ac:dyDescent="0.3">
      <c r="A91" s="94"/>
      <c r="B91" s="66"/>
      <c r="C91" s="66"/>
      <c r="D91" s="66"/>
      <c r="E91" s="94"/>
      <c r="F91" s="66"/>
      <c r="G91" s="66"/>
      <c r="H91" s="66"/>
      <c r="I91" s="94"/>
      <c r="J91" s="66"/>
      <c r="K91" s="69"/>
      <c r="L91" s="66"/>
    </row>
    <row r="93" spans="1:12" x14ac:dyDescent="0.3">
      <c r="A93" s="80" t="s">
        <v>88</v>
      </c>
      <c r="B93" s="80" t="s">
        <v>89</v>
      </c>
      <c r="C93" s="80" t="s">
        <v>486</v>
      </c>
      <c r="D93" s="80" t="s">
        <v>90</v>
      </c>
      <c r="E93" s="80" t="s">
        <v>91</v>
      </c>
      <c r="F93" s="80" t="s">
        <v>92</v>
      </c>
      <c r="G93" s="80" t="s">
        <v>93</v>
      </c>
      <c r="H93" s="80" t="s">
        <v>87</v>
      </c>
      <c r="J93" s="57" t="s">
        <v>94</v>
      </c>
    </row>
    <row r="95" spans="1:12" x14ac:dyDescent="0.3">
      <c r="A95" s="99" t="s">
        <v>484</v>
      </c>
      <c r="B95" s="134" t="s">
        <v>485</v>
      </c>
      <c r="C95" s="134">
        <v>6</v>
      </c>
      <c r="D95" s="134" t="s">
        <v>492</v>
      </c>
      <c r="E95" s="134">
        <v>0</v>
      </c>
      <c r="F95" s="134">
        <v>0</v>
      </c>
      <c r="G95" s="134"/>
      <c r="H95" s="82" t="s">
        <v>143</v>
      </c>
      <c r="J95" s="66"/>
      <c r="K95" s="69"/>
      <c r="L95" s="66"/>
    </row>
    <row r="96" spans="1:12" x14ac:dyDescent="0.3">
      <c r="A96" s="99" t="s">
        <v>487</v>
      </c>
      <c r="B96" s="134" t="s">
        <v>485</v>
      </c>
      <c r="C96" s="134">
        <v>6</v>
      </c>
      <c r="D96" s="134">
        <v>0</v>
      </c>
      <c r="E96" s="134">
        <v>0</v>
      </c>
      <c r="F96" s="134">
        <v>0</v>
      </c>
      <c r="G96" s="134"/>
      <c r="H96" s="82" t="s">
        <v>490</v>
      </c>
    </row>
    <row r="97" spans="1:18" x14ac:dyDescent="0.3">
      <c r="A97" s="99" t="s">
        <v>489</v>
      </c>
      <c r="B97" s="134" t="s">
        <v>488</v>
      </c>
      <c r="C97" s="134">
        <v>5</v>
      </c>
      <c r="D97" s="134">
        <v>0</v>
      </c>
      <c r="E97" s="134">
        <v>0</v>
      </c>
      <c r="F97" s="134">
        <v>0</v>
      </c>
      <c r="G97" s="134"/>
      <c r="H97" s="82" t="s">
        <v>142</v>
      </c>
      <c r="J97" s="66"/>
      <c r="K97" s="69"/>
      <c r="L97" s="66"/>
    </row>
    <row r="98" spans="1:18" x14ac:dyDescent="0.3">
      <c r="A98" s="99" t="s">
        <v>491</v>
      </c>
      <c r="B98" s="134">
        <v>4</v>
      </c>
      <c r="C98" s="134">
        <v>6</v>
      </c>
      <c r="D98" s="134">
        <v>12</v>
      </c>
      <c r="E98" s="134">
        <v>3</v>
      </c>
      <c r="F98" s="134">
        <v>6</v>
      </c>
      <c r="G98" s="134" t="s">
        <v>493</v>
      </c>
      <c r="H98" s="82" t="s">
        <v>143</v>
      </c>
    </row>
    <row r="99" spans="1:18" x14ac:dyDescent="0.3">
      <c r="A99" s="99"/>
      <c r="B99" s="99"/>
      <c r="C99" s="134"/>
      <c r="D99" s="134"/>
      <c r="E99" s="134"/>
      <c r="F99" s="134"/>
      <c r="G99" s="99"/>
      <c r="H99" s="82"/>
      <c r="J99" s="66"/>
      <c r="K99" s="69"/>
      <c r="L99" s="66"/>
    </row>
    <row r="100" spans="1:18" ht="17.399999999999999" x14ac:dyDescent="0.3">
      <c r="F100" s="83" t="s">
        <v>55</v>
      </c>
    </row>
    <row r="101" spans="1:18" x14ac:dyDescent="0.3">
      <c r="B101" s="75" t="s">
        <v>73</v>
      </c>
      <c r="C101" s="80" t="s">
        <v>61</v>
      </c>
    </row>
    <row r="102" spans="1:18" x14ac:dyDescent="0.3">
      <c r="A102" s="155" t="s">
        <v>453</v>
      </c>
      <c r="B102" s="54">
        <v>1</v>
      </c>
      <c r="C102" s="80" t="s">
        <v>454</v>
      </c>
    </row>
    <row r="103" spans="1:18" x14ac:dyDescent="0.3">
      <c r="A103" s="155" t="s">
        <v>101</v>
      </c>
      <c r="B103" s="54">
        <v>1</v>
      </c>
      <c r="C103" s="80" t="s">
        <v>676</v>
      </c>
    </row>
    <row r="104" spans="1:18" x14ac:dyDescent="0.3">
      <c r="A104" s="155" t="s">
        <v>103</v>
      </c>
      <c r="B104" s="54">
        <v>1</v>
      </c>
      <c r="C104" s="80" t="s">
        <v>456</v>
      </c>
    </row>
    <row r="105" spans="1:18" x14ac:dyDescent="0.3">
      <c r="A105" s="155" t="s">
        <v>98</v>
      </c>
      <c r="B105" s="54">
        <v>2</v>
      </c>
      <c r="C105" s="80" t="s">
        <v>459</v>
      </c>
    </row>
    <row r="106" spans="1:18" x14ac:dyDescent="0.3">
      <c r="A106" s="155" t="s">
        <v>100</v>
      </c>
      <c r="B106" s="54">
        <v>1</v>
      </c>
      <c r="C106" s="80" t="s">
        <v>457</v>
      </c>
    </row>
    <row r="107" spans="1:18" x14ac:dyDescent="0.3">
      <c r="A107" s="155" t="s">
        <v>97</v>
      </c>
      <c r="B107" s="54">
        <v>2</v>
      </c>
      <c r="C107" s="80" t="s">
        <v>458</v>
      </c>
    </row>
    <row r="109" spans="1:18" x14ac:dyDescent="0.25">
      <c r="A109" s="66"/>
      <c r="B109" s="66"/>
      <c r="C109" s="66"/>
      <c r="D109" s="66"/>
      <c r="E109" s="66"/>
      <c r="F109" s="66"/>
      <c r="G109" s="66"/>
      <c r="H109" s="66"/>
      <c r="I109" s="66"/>
      <c r="J109" s="66"/>
      <c r="K109" s="69"/>
      <c r="L109" s="66"/>
      <c r="N109" s="155" t="s">
        <v>943</v>
      </c>
      <c r="O109" s="54">
        <v>2</v>
      </c>
      <c r="P109" s="80" t="s">
        <v>749</v>
      </c>
      <c r="R109" s="185" t="s">
        <v>750</v>
      </c>
    </row>
    <row r="110" spans="1:18" x14ac:dyDescent="0.3">
      <c r="A110" s="66"/>
      <c r="B110" s="66"/>
      <c r="C110" s="66"/>
      <c r="D110" s="66"/>
      <c r="E110" s="66"/>
      <c r="F110" s="66"/>
      <c r="G110" s="66"/>
      <c r="H110" s="66"/>
      <c r="I110" s="66"/>
      <c r="J110" s="66"/>
      <c r="K110" s="69"/>
      <c r="L110" s="66"/>
      <c r="N110" s="155" t="s">
        <v>97</v>
      </c>
      <c r="O110" s="54">
        <v>2</v>
      </c>
      <c r="P110" s="80" t="s">
        <v>458</v>
      </c>
    </row>
    <row r="111" spans="1:18" x14ac:dyDescent="0.3">
      <c r="A111" s="66"/>
      <c r="B111" s="66"/>
      <c r="C111" s="66"/>
      <c r="D111" s="66"/>
      <c r="E111" s="66"/>
      <c r="F111" s="66"/>
      <c r="G111" s="66"/>
      <c r="H111" s="66"/>
      <c r="I111" s="66"/>
      <c r="J111" s="66"/>
      <c r="K111" s="69"/>
      <c r="L111" s="66"/>
      <c r="N111" s="155" t="s">
        <v>99</v>
      </c>
      <c r="O111" s="54">
        <v>2</v>
      </c>
      <c r="P111" s="80"/>
    </row>
    <row r="112" spans="1:18" x14ac:dyDescent="0.3">
      <c r="N112" s="155" t="s">
        <v>5</v>
      </c>
      <c r="O112" s="54">
        <v>1</v>
      </c>
      <c r="P112" s="80"/>
    </row>
    <row r="113" spans="1:16" x14ac:dyDescent="0.3">
      <c r="B113" s="75" t="s">
        <v>73</v>
      </c>
      <c r="C113" s="80" t="s">
        <v>61</v>
      </c>
      <c r="N113" s="155" t="s">
        <v>101</v>
      </c>
      <c r="O113" s="54">
        <v>2</v>
      </c>
      <c r="P113" s="80" t="s">
        <v>455</v>
      </c>
    </row>
    <row r="114" spans="1:16" x14ac:dyDescent="0.3">
      <c r="A114" s="155" t="s">
        <v>460</v>
      </c>
      <c r="B114" s="54">
        <v>2</v>
      </c>
      <c r="C114" s="80" t="s">
        <v>463</v>
      </c>
      <c r="N114" s="155" t="s">
        <v>98</v>
      </c>
      <c r="O114" s="54">
        <v>2</v>
      </c>
      <c r="P114" s="80"/>
    </row>
    <row r="115" spans="1:16" x14ac:dyDescent="0.3">
      <c r="A115" s="155" t="s">
        <v>461</v>
      </c>
      <c r="B115" s="54">
        <v>2</v>
      </c>
      <c r="C115" s="80" t="s">
        <v>462</v>
      </c>
      <c r="N115" s="155"/>
      <c r="O115" s="54"/>
      <c r="P115" s="80"/>
    </row>
    <row r="116" spans="1:16" x14ac:dyDescent="0.3">
      <c r="A116" s="66"/>
      <c r="B116" s="69"/>
      <c r="C116" s="82"/>
      <c r="D116" s="66"/>
      <c r="E116" s="66"/>
      <c r="F116" s="66"/>
      <c r="G116" s="66"/>
      <c r="H116" s="66"/>
      <c r="I116" s="66"/>
      <c r="J116" s="66"/>
      <c r="K116" s="69"/>
      <c r="L116" s="66"/>
      <c r="N116" s="155"/>
      <c r="O116" s="54"/>
      <c r="P116" s="80"/>
    </row>
    <row r="117" spans="1:16" x14ac:dyDescent="0.3">
      <c r="A117" s="66"/>
      <c r="B117" s="69"/>
      <c r="C117" s="82"/>
      <c r="D117" s="66"/>
      <c r="E117" s="66"/>
      <c r="F117" s="66"/>
      <c r="G117" s="66"/>
      <c r="H117" s="66"/>
      <c r="I117" s="66"/>
      <c r="J117" s="66"/>
      <c r="K117" s="69"/>
      <c r="L117" s="66"/>
      <c r="N117" s="155"/>
      <c r="O117" s="54"/>
      <c r="P117" s="80"/>
    </row>
    <row r="118" spans="1:16" x14ac:dyDescent="0.3">
      <c r="A118" s="66"/>
      <c r="B118" s="69"/>
      <c r="C118" s="82"/>
      <c r="D118" s="66"/>
      <c r="E118" s="66"/>
      <c r="F118" s="66"/>
      <c r="G118" s="66"/>
      <c r="H118" s="66"/>
      <c r="I118" s="66"/>
      <c r="J118" s="66"/>
      <c r="K118" s="69"/>
      <c r="L118" s="66"/>
      <c r="O118" s="54"/>
      <c r="P118" s="80"/>
    </row>
    <row r="119" spans="1:16" x14ac:dyDescent="0.3">
      <c r="O119" s="54"/>
      <c r="P119" s="80"/>
    </row>
    <row r="121" spans="1:16" x14ac:dyDescent="0.3">
      <c r="A121" s="57" t="s">
        <v>105</v>
      </c>
      <c r="C121" s="61"/>
      <c r="D121" s="61"/>
      <c r="E121" s="61"/>
      <c r="F121" s="61"/>
      <c r="G121" s="61"/>
      <c r="H121" s="61"/>
      <c r="I121" s="61"/>
      <c r="J121" s="61"/>
      <c r="K121" s="78"/>
      <c r="L121" s="61"/>
    </row>
    <row r="122" spans="1:16" x14ac:dyDescent="0.3">
      <c r="A122" s="57" t="s">
        <v>106</v>
      </c>
    </row>
    <row r="123" spans="1:16" x14ac:dyDescent="0.3">
      <c r="A123" s="57" t="s">
        <v>98</v>
      </c>
      <c r="C123" s="66"/>
      <c r="D123" s="66"/>
      <c r="E123" s="66"/>
      <c r="F123" s="66"/>
      <c r="G123" s="66"/>
      <c r="H123" s="66"/>
      <c r="I123" s="66"/>
      <c r="J123" s="66"/>
      <c r="K123" s="69"/>
      <c r="L123" s="66"/>
    </row>
    <row r="124" spans="1:16" x14ac:dyDescent="0.3">
      <c r="A124" s="57" t="s">
        <v>108</v>
      </c>
      <c r="C124" s="66"/>
      <c r="D124" s="66"/>
      <c r="E124" s="66"/>
      <c r="F124" s="66"/>
      <c r="G124" s="66"/>
      <c r="H124" s="66"/>
      <c r="I124" s="66"/>
      <c r="J124" s="66"/>
      <c r="K124" s="69"/>
      <c r="L124" s="66"/>
    </row>
    <row r="125" spans="1:16" ht="13.8" customHeight="1" x14ac:dyDescent="0.3"/>
    <row r="126" spans="1:16" x14ac:dyDescent="0.3">
      <c r="A126" s="57" t="s">
        <v>110</v>
      </c>
      <c r="C126" s="57" t="s">
        <v>109</v>
      </c>
      <c r="E126" s="57" t="s">
        <v>61</v>
      </c>
    </row>
    <row r="127" spans="1:16" x14ac:dyDescent="0.3">
      <c r="A127" s="66"/>
      <c r="B127" s="66"/>
      <c r="C127" s="66"/>
      <c r="D127" s="66"/>
      <c r="E127" s="66"/>
      <c r="F127" s="66"/>
      <c r="G127" s="66"/>
      <c r="H127" s="66"/>
      <c r="I127" s="66"/>
      <c r="J127" s="66"/>
      <c r="K127" s="69"/>
      <c r="L127" s="66"/>
    </row>
    <row r="128" spans="1:16" x14ac:dyDescent="0.3">
      <c r="A128" s="66"/>
      <c r="B128" s="66"/>
      <c r="C128" s="66"/>
      <c r="D128" s="66"/>
      <c r="E128" s="66"/>
      <c r="F128" s="66"/>
      <c r="G128" s="66"/>
      <c r="H128" s="66"/>
      <c r="I128" s="66"/>
      <c r="J128" s="66"/>
      <c r="K128" s="69"/>
      <c r="L128" s="66"/>
    </row>
    <row r="129" spans="1:12" ht="13.2" customHeight="1" x14ac:dyDescent="0.3">
      <c r="A129" s="66"/>
      <c r="B129" s="66"/>
      <c r="C129" s="66"/>
      <c r="D129" s="66"/>
      <c r="E129" s="66"/>
      <c r="F129" s="66"/>
      <c r="G129" s="66"/>
      <c r="H129" s="66"/>
      <c r="I129" s="66"/>
      <c r="J129" s="66"/>
      <c r="K129" s="69"/>
      <c r="L129" s="66"/>
    </row>
    <row r="130" spans="1:12" ht="13.8" customHeight="1" x14ac:dyDescent="0.3"/>
    <row r="131" spans="1:12" ht="13.8" customHeight="1" x14ac:dyDescent="0.3">
      <c r="B131" s="54" t="s">
        <v>17</v>
      </c>
      <c r="J131" s="54" t="s">
        <v>123</v>
      </c>
      <c r="K131" s="57"/>
      <c r="L131" s="54"/>
    </row>
    <row r="132" spans="1:12" x14ac:dyDescent="0.3">
      <c r="A132" s="80" t="s">
        <v>113</v>
      </c>
      <c r="C132" s="57">
        <v>41</v>
      </c>
      <c r="E132" s="80" t="s">
        <v>118</v>
      </c>
      <c r="I132" s="57" t="s">
        <v>0</v>
      </c>
      <c r="K132" s="57" t="s">
        <v>87</v>
      </c>
    </row>
    <row r="133" spans="1:12" x14ac:dyDescent="0.3">
      <c r="A133" s="82" t="s">
        <v>112</v>
      </c>
      <c r="B133" s="66"/>
      <c r="C133" s="66">
        <v>41</v>
      </c>
      <c r="E133" s="82" t="s">
        <v>119</v>
      </c>
      <c r="F133" s="66"/>
      <c r="G133" s="66"/>
      <c r="I133" s="66"/>
      <c r="J133" s="66"/>
      <c r="K133" s="66"/>
      <c r="L133" s="69"/>
    </row>
    <row r="134" spans="1:12" x14ac:dyDescent="0.3">
      <c r="A134" s="80" t="s">
        <v>114</v>
      </c>
      <c r="E134" s="80" t="s">
        <v>120</v>
      </c>
      <c r="I134" s="85"/>
      <c r="J134" s="85"/>
      <c r="K134" s="85"/>
      <c r="L134" s="131"/>
    </row>
    <row r="135" spans="1:12" x14ac:dyDescent="0.3">
      <c r="A135" s="82" t="s">
        <v>115</v>
      </c>
      <c r="B135" s="66"/>
      <c r="C135" s="66"/>
      <c r="E135" s="82" t="s">
        <v>121</v>
      </c>
      <c r="F135" s="66"/>
      <c r="G135" s="66"/>
      <c r="I135" s="66"/>
      <c r="J135" s="66"/>
      <c r="K135" s="66"/>
      <c r="L135" s="69"/>
    </row>
    <row r="136" spans="1:12" x14ac:dyDescent="0.3">
      <c r="A136" s="80" t="s">
        <v>116</v>
      </c>
      <c r="E136" s="80" t="s">
        <v>122</v>
      </c>
      <c r="K136" s="57"/>
      <c r="L136" s="54"/>
    </row>
    <row r="137" spans="1:12" x14ac:dyDescent="0.3">
      <c r="A137" s="82" t="s">
        <v>117</v>
      </c>
      <c r="B137" s="66"/>
      <c r="C137" s="66"/>
      <c r="E137" s="82"/>
      <c r="F137" s="66"/>
      <c r="G137" s="66"/>
      <c r="I137" s="66"/>
      <c r="J137" s="66"/>
      <c r="K137" s="66"/>
      <c r="L137" s="69"/>
    </row>
    <row r="138" spans="1:12" x14ac:dyDescent="0.3">
      <c r="I138" s="61"/>
      <c r="J138" s="61"/>
      <c r="K138" s="61"/>
      <c r="L138" s="78"/>
    </row>
    <row r="140" spans="1:12" x14ac:dyDescent="0.3">
      <c r="A140" s="90" t="s">
        <v>68</v>
      </c>
    </row>
    <row r="141" spans="1:12" x14ac:dyDescent="0.3">
      <c r="A141" s="217" t="s">
        <v>127</v>
      </c>
      <c r="B141" s="217"/>
      <c r="C141" s="217"/>
      <c r="D141" s="217"/>
      <c r="E141" s="217"/>
      <c r="F141" s="217"/>
      <c r="G141" s="217"/>
      <c r="H141" s="217"/>
      <c r="I141" s="217"/>
      <c r="J141" s="217"/>
      <c r="K141" s="217"/>
    </row>
    <row r="142" spans="1:12" x14ac:dyDescent="0.3">
      <c r="A142" s="217"/>
      <c r="B142" s="217"/>
      <c r="C142" s="217"/>
      <c r="D142" s="217"/>
      <c r="E142" s="217"/>
      <c r="F142" s="217"/>
      <c r="G142" s="217"/>
      <c r="H142" s="217"/>
      <c r="I142" s="217"/>
      <c r="J142" s="217"/>
      <c r="K142" s="217"/>
    </row>
    <row r="143" spans="1:12" x14ac:dyDescent="0.3">
      <c r="A143" s="217"/>
      <c r="B143" s="217"/>
      <c r="C143" s="217"/>
      <c r="D143" s="217"/>
      <c r="E143" s="217"/>
      <c r="F143" s="217"/>
      <c r="G143" s="217"/>
      <c r="H143" s="217"/>
      <c r="I143" s="217"/>
      <c r="J143" s="217"/>
      <c r="K143" s="217"/>
    </row>
    <row r="145" spans="1:12" x14ac:dyDescent="0.3">
      <c r="A145" s="90" t="s">
        <v>6</v>
      </c>
    </row>
    <row r="146" spans="1:12" x14ac:dyDescent="0.3">
      <c r="A146" s="217" t="s">
        <v>124</v>
      </c>
      <c r="B146" s="217"/>
      <c r="C146" s="217"/>
      <c r="D146" s="217"/>
      <c r="E146" s="217"/>
      <c r="F146" s="217"/>
      <c r="G146" s="217"/>
      <c r="H146" s="217"/>
      <c r="I146" s="217"/>
      <c r="J146" s="217"/>
      <c r="K146" s="217"/>
    </row>
    <row r="147" spans="1:12" x14ac:dyDescent="0.3">
      <c r="A147" s="217"/>
      <c r="B147" s="217"/>
      <c r="C147" s="217"/>
      <c r="D147" s="217"/>
      <c r="E147" s="217"/>
      <c r="F147" s="217"/>
      <c r="G147" s="217"/>
      <c r="H147" s="217"/>
      <c r="I147" s="217"/>
      <c r="J147" s="217"/>
      <c r="K147" s="217"/>
    </row>
    <row r="148" spans="1:12" x14ac:dyDescent="0.3">
      <c r="A148" s="217"/>
      <c r="B148" s="217"/>
      <c r="C148" s="217"/>
      <c r="D148" s="217"/>
      <c r="E148" s="217"/>
      <c r="F148" s="217"/>
      <c r="G148" s="217"/>
      <c r="H148" s="217"/>
      <c r="I148" s="217"/>
      <c r="J148" s="217"/>
      <c r="K148" s="217"/>
    </row>
    <row r="149" spans="1:12" x14ac:dyDescent="0.3">
      <c r="F149" s="72" t="s">
        <v>445</v>
      </c>
    </row>
    <row r="151" spans="1:12" x14ac:dyDescent="0.3">
      <c r="A151" s="63"/>
    </row>
    <row r="152" spans="1:12" x14ac:dyDescent="0.3">
      <c r="A152" s="63"/>
    </row>
    <row r="154" spans="1:12" x14ac:dyDescent="0.3">
      <c r="A154" s="63"/>
      <c r="C154" s="63"/>
      <c r="D154" s="63"/>
      <c r="E154" s="63"/>
      <c r="F154" s="63"/>
      <c r="G154" s="63"/>
      <c r="H154" s="63"/>
      <c r="I154" s="63"/>
      <c r="J154" s="63"/>
      <c r="K154" s="63"/>
      <c r="L154" s="63"/>
    </row>
    <row r="155" spans="1:12" x14ac:dyDescent="0.3">
      <c r="D155" s="63"/>
      <c r="E155" s="63"/>
      <c r="F155" s="63"/>
      <c r="G155" s="63"/>
      <c r="H155" s="63"/>
      <c r="I155" s="63"/>
      <c r="J155" s="63"/>
      <c r="K155" s="63"/>
      <c r="L155" s="63"/>
    </row>
    <row r="156" spans="1:12" x14ac:dyDescent="0.3">
      <c r="A156" s="63"/>
      <c r="B156" s="63"/>
      <c r="C156" s="63"/>
      <c r="D156" s="63"/>
      <c r="E156" s="63"/>
      <c r="F156" s="63"/>
      <c r="G156" s="63"/>
      <c r="H156" s="63"/>
      <c r="I156" s="63"/>
      <c r="J156" s="63"/>
      <c r="K156" s="63"/>
      <c r="L156" s="63"/>
    </row>
    <row r="157" spans="1:12" x14ac:dyDescent="0.3">
      <c r="B157" s="63"/>
      <c r="C157" s="63"/>
      <c r="D157" s="63"/>
      <c r="E157" s="63"/>
      <c r="F157" s="63"/>
      <c r="G157" s="63"/>
      <c r="H157" s="63"/>
      <c r="I157" s="63"/>
      <c r="J157" s="63"/>
      <c r="K157" s="63"/>
      <c r="L157" s="63"/>
    </row>
    <row r="158" spans="1:12" x14ac:dyDescent="0.3">
      <c r="A158" s="63"/>
      <c r="B158" s="63"/>
      <c r="C158" s="63"/>
      <c r="D158" s="63"/>
      <c r="E158" s="63"/>
      <c r="F158" s="63"/>
      <c r="G158" s="63"/>
      <c r="H158" s="63"/>
      <c r="I158" s="63"/>
      <c r="J158" s="63"/>
      <c r="K158" s="63"/>
      <c r="L158" s="63"/>
    </row>
    <row r="159" spans="1:12" x14ac:dyDescent="0.3">
      <c r="A159" s="63"/>
      <c r="B159" s="63"/>
      <c r="C159" s="63"/>
      <c r="D159" s="63"/>
      <c r="E159" s="63"/>
      <c r="F159" s="63"/>
      <c r="G159" s="63"/>
      <c r="H159" s="63"/>
      <c r="I159" s="63"/>
      <c r="J159" s="63"/>
      <c r="K159" s="63"/>
      <c r="L159" s="63"/>
    </row>
    <row r="160" spans="1:12" x14ac:dyDescent="0.3">
      <c r="A160" s="63"/>
      <c r="B160" s="63"/>
      <c r="C160" s="63"/>
      <c r="D160" s="63"/>
      <c r="E160" s="63"/>
      <c r="F160" s="63"/>
      <c r="G160" s="63"/>
      <c r="H160" s="63"/>
      <c r="I160" s="63"/>
      <c r="J160" s="63"/>
      <c r="K160" s="63"/>
      <c r="L160" s="63"/>
    </row>
    <row r="161" spans="1:12" x14ac:dyDescent="0.3">
      <c r="A161" s="63"/>
      <c r="B161" s="63"/>
      <c r="C161" s="63"/>
      <c r="D161" s="63"/>
      <c r="E161" s="63"/>
      <c r="F161" s="63"/>
      <c r="G161" s="63"/>
      <c r="H161" s="63"/>
      <c r="I161" s="63"/>
      <c r="J161" s="63"/>
      <c r="K161" s="63"/>
      <c r="L161" s="63"/>
    </row>
    <row r="162" spans="1:12" x14ac:dyDescent="0.3">
      <c r="E162" s="63"/>
      <c r="F162" s="63"/>
      <c r="G162" s="63"/>
      <c r="H162" s="63"/>
      <c r="I162" s="63"/>
      <c r="J162" s="63"/>
      <c r="K162" s="63"/>
      <c r="L162" s="63"/>
    </row>
    <row r="170" spans="1:12" x14ac:dyDescent="0.3">
      <c r="A170" s="63"/>
      <c r="B170" s="63"/>
      <c r="C170" s="63"/>
      <c r="D170" s="63"/>
      <c r="E170" s="63"/>
      <c r="F170" s="63"/>
      <c r="G170" s="63"/>
      <c r="H170" s="63"/>
      <c r="I170" s="63"/>
      <c r="J170" s="63"/>
      <c r="K170" s="63"/>
      <c r="L170" s="63"/>
    </row>
    <row r="171" spans="1:12" x14ac:dyDescent="0.3">
      <c r="A171" s="72" t="s">
        <v>208</v>
      </c>
      <c r="B171" s="90" t="s">
        <v>466</v>
      </c>
      <c r="J171" s="72" t="s">
        <v>201</v>
      </c>
      <c r="K171" s="57"/>
    </row>
    <row r="172" spans="1:12" x14ac:dyDescent="0.3">
      <c r="A172" s="72">
        <v>10</v>
      </c>
      <c r="B172" s="80" t="s">
        <v>467</v>
      </c>
      <c r="I172" s="80" t="s">
        <v>202</v>
      </c>
      <c r="K172" s="57" t="s">
        <v>203</v>
      </c>
    </row>
    <row r="173" spans="1:12" x14ac:dyDescent="0.3">
      <c r="A173" s="72">
        <v>9</v>
      </c>
      <c r="B173" s="80" t="s">
        <v>468</v>
      </c>
      <c r="I173" s="80" t="s">
        <v>7</v>
      </c>
      <c r="K173" s="57" t="s">
        <v>204</v>
      </c>
    </row>
    <row r="174" spans="1:12" x14ac:dyDescent="0.3">
      <c r="A174" s="72">
        <v>8</v>
      </c>
      <c r="B174" s="80" t="s">
        <v>469</v>
      </c>
      <c r="I174" s="80" t="s">
        <v>21</v>
      </c>
      <c r="K174" s="57" t="s">
        <v>205</v>
      </c>
    </row>
    <row r="175" spans="1:12" x14ac:dyDescent="0.3">
      <c r="A175" s="72">
        <v>7</v>
      </c>
      <c r="B175" s="80" t="s">
        <v>470</v>
      </c>
      <c r="I175" s="80" t="s">
        <v>56</v>
      </c>
      <c r="K175" s="57" t="s">
        <v>206</v>
      </c>
    </row>
    <row r="176" spans="1:12" x14ac:dyDescent="0.3">
      <c r="A176" s="72">
        <v>6</v>
      </c>
      <c r="B176" s="80" t="s">
        <v>471</v>
      </c>
      <c r="I176" s="80" t="s">
        <v>55</v>
      </c>
      <c r="K176" s="57" t="s">
        <v>207</v>
      </c>
    </row>
    <row r="177" spans="1:11" x14ac:dyDescent="0.3">
      <c r="A177" s="72">
        <v>5</v>
      </c>
      <c r="B177" s="80" t="s">
        <v>482</v>
      </c>
      <c r="I177" s="80" t="s">
        <v>57</v>
      </c>
      <c r="K177" s="57" t="s">
        <v>205</v>
      </c>
    </row>
    <row r="178" spans="1:11" x14ac:dyDescent="0.3">
      <c r="A178" s="72">
        <v>4</v>
      </c>
      <c r="B178" s="80" t="s">
        <v>472</v>
      </c>
      <c r="I178" s="80" t="s">
        <v>208</v>
      </c>
      <c r="K178" s="57" t="s">
        <v>207</v>
      </c>
    </row>
    <row r="179" spans="1:11" x14ac:dyDescent="0.3">
      <c r="A179" s="72">
        <v>3</v>
      </c>
      <c r="B179" s="80" t="s">
        <v>473</v>
      </c>
      <c r="I179" s="80" t="s">
        <v>20</v>
      </c>
      <c r="K179" s="57" t="s">
        <v>207</v>
      </c>
    </row>
    <row r="180" spans="1:11" x14ac:dyDescent="0.3">
      <c r="A180" s="72">
        <v>2</v>
      </c>
      <c r="B180" s="80" t="s">
        <v>474</v>
      </c>
    </row>
    <row r="181" spans="1:11" x14ac:dyDescent="0.3">
      <c r="A181" s="72">
        <v>1</v>
      </c>
      <c r="B181" s="80" t="s">
        <v>475</v>
      </c>
    </row>
    <row r="182" spans="1:11" x14ac:dyDescent="0.3">
      <c r="A182" s="72">
        <v>0</v>
      </c>
      <c r="B182" s="80" t="s">
        <v>476</v>
      </c>
    </row>
  </sheetData>
  <mergeCells count="2">
    <mergeCell ref="A141:K143"/>
    <mergeCell ref="A146:K148"/>
  </mergeCells>
  <pageMargins left="0.25" right="0.25" top="0.75" bottom="0.75" header="0.3" footer="0.3"/>
  <pageSetup paperSize="9" orientation="portrait" horizontalDpi="360"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246EC-482A-4FE1-8373-072C4CA20E9F}">
  <dimension ref="A1:S31"/>
  <sheetViews>
    <sheetView topLeftCell="A8" zoomScale="130" zoomScaleNormal="130" workbookViewId="0">
      <selection activeCell="G12" sqref="G12"/>
    </sheetView>
  </sheetViews>
  <sheetFormatPr defaultRowHeight="18" x14ac:dyDescent="0.35"/>
  <cols>
    <col min="1" max="1" width="16" style="7" customWidth="1"/>
    <col min="2" max="2" width="9.21875" style="7" bestFit="1" customWidth="1"/>
    <col min="3" max="3" width="8.88671875" style="7"/>
    <col min="4" max="5" width="8.88671875" style="6"/>
    <col min="6" max="9" width="8.88671875" style="7"/>
    <col min="10" max="10" width="8.109375" style="33" customWidth="1"/>
    <col min="11" max="18" width="8.109375" customWidth="1"/>
  </cols>
  <sheetData>
    <row r="1" spans="1:19" ht="18.600000000000001" x14ac:dyDescent="0.4">
      <c r="A1" s="222" t="s">
        <v>994</v>
      </c>
      <c r="B1" s="222"/>
      <c r="C1" s="222"/>
      <c r="D1" s="222"/>
      <c r="E1" s="222"/>
      <c r="F1" s="222"/>
      <c r="G1" s="222"/>
      <c r="H1" s="222"/>
      <c r="I1" s="222"/>
      <c r="J1" s="223">
        <f>C7</f>
        <v>0.8125</v>
      </c>
      <c r="K1" s="224"/>
      <c r="L1" s="225">
        <f>C8</f>
        <v>0.83333333333333337</v>
      </c>
      <c r="M1" s="224"/>
      <c r="N1" s="225">
        <f>C9</f>
        <v>0.85416666666666674</v>
      </c>
      <c r="O1" s="224"/>
      <c r="P1" s="225">
        <f>C10</f>
        <v>0.87500000000000011</v>
      </c>
      <c r="Q1" s="224"/>
      <c r="R1" s="225">
        <f>C11</f>
        <v>0.89583333333333348</v>
      </c>
      <c r="S1" s="226"/>
    </row>
    <row r="2" spans="1:19" ht="18.600000000000001" x14ac:dyDescent="0.4">
      <c r="J2" s="196"/>
      <c r="K2" s="187"/>
      <c r="L2" s="197"/>
      <c r="M2" s="187"/>
      <c r="N2" s="197"/>
      <c r="O2" s="187"/>
      <c r="P2" s="197"/>
      <c r="Q2" s="187"/>
      <c r="R2" s="197"/>
      <c r="S2" s="198"/>
    </row>
    <row r="3" spans="1:19" ht="18.600000000000001" x14ac:dyDescent="0.4">
      <c r="B3" s="191" t="s">
        <v>971</v>
      </c>
      <c r="C3" s="191" t="s">
        <v>972</v>
      </c>
      <c r="E3" s="191" t="s">
        <v>974</v>
      </c>
      <c r="J3" s="196"/>
      <c r="K3" s="187"/>
      <c r="L3" s="197"/>
      <c r="M3" s="187"/>
      <c r="N3" s="197"/>
      <c r="O3" s="187"/>
      <c r="P3" s="197"/>
      <c r="Q3" s="187"/>
      <c r="R3" s="197"/>
      <c r="S3" s="198"/>
    </row>
    <row r="4" spans="1:19" ht="18.600000000000001" x14ac:dyDescent="0.4">
      <c r="A4" s="7" t="s">
        <v>973</v>
      </c>
      <c r="B4" s="6">
        <v>10</v>
      </c>
      <c r="C4" s="6">
        <f>B4*3</f>
        <v>30</v>
      </c>
      <c r="J4" s="196"/>
      <c r="K4" s="187"/>
      <c r="L4" s="197"/>
      <c r="M4" s="187"/>
      <c r="N4" s="197"/>
      <c r="O4" s="187"/>
      <c r="P4" s="197"/>
      <c r="Q4" s="187"/>
      <c r="R4" s="197"/>
      <c r="S4" s="198"/>
    </row>
    <row r="5" spans="1:19" ht="18.600000000000001" x14ac:dyDescent="0.4">
      <c r="J5" s="199"/>
      <c r="K5" s="188"/>
      <c r="L5" s="186"/>
      <c r="M5" s="188"/>
      <c r="N5" s="189"/>
      <c r="O5" s="188"/>
      <c r="P5" s="189"/>
      <c r="Q5" s="188"/>
      <c r="R5" s="189"/>
      <c r="S5" s="200"/>
    </row>
    <row r="6" spans="1:19" ht="18.600000000000001" x14ac:dyDescent="0.4">
      <c r="A6" s="192" t="s">
        <v>998</v>
      </c>
      <c r="B6" s="193"/>
      <c r="C6" s="193">
        <v>0.77083333333333304</v>
      </c>
      <c r="F6" s="7" t="s">
        <v>993</v>
      </c>
      <c r="J6" s="218">
        <f>C12</f>
        <v>0.91666666666666685</v>
      </c>
      <c r="K6" s="219"/>
      <c r="L6" s="220">
        <f>C13</f>
        <v>0.93750000000000022</v>
      </c>
      <c r="M6" s="219"/>
      <c r="N6" s="220">
        <f>C14</f>
        <v>0.95833333333333359</v>
      </c>
      <c r="O6" s="219"/>
      <c r="P6" s="220">
        <f>C15</f>
        <v>0.97916666666666696</v>
      </c>
      <c r="Q6" s="219"/>
      <c r="R6" s="220">
        <f>C16</f>
        <v>1.0000000000000002</v>
      </c>
      <c r="S6" s="221"/>
    </row>
    <row r="7" spans="1:19" ht="18.600000000000001" x14ac:dyDescent="0.4">
      <c r="A7" s="7" t="s">
        <v>995</v>
      </c>
      <c r="B7" s="194">
        <v>0.89583333333333337</v>
      </c>
      <c r="C7" s="193">
        <v>0.8125</v>
      </c>
      <c r="D7" s="195">
        <v>10</v>
      </c>
      <c r="E7" s="6" t="s">
        <v>975</v>
      </c>
      <c r="F7" s="7" t="s">
        <v>1006</v>
      </c>
      <c r="J7" s="196"/>
      <c r="K7" s="187"/>
      <c r="L7" s="197"/>
      <c r="M7" s="187"/>
      <c r="N7" s="197"/>
      <c r="O7" s="187"/>
      <c r="P7" s="197"/>
      <c r="Q7" s="187"/>
      <c r="R7" s="197"/>
      <c r="S7" s="198"/>
    </row>
    <row r="8" spans="1:19" ht="18.600000000000001" x14ac:dyDescent="0.4">
      <c r="A8" s="7" t="s">
        <v>996</v>
      </c>
      <c r="B8" s="193">
        <f t="shared" ref="B8:B31" si="0">B7 + $B$4/1440</f>
        <v>0.90277777777777779</v>
      </c>
      <c r="C8" s="193">
        <f t="shared" ref="C8:C31" si="1">C7 + $C$4/1440</f>
        <v>0.83333333333333337</v>
      </c>
      <c r="D8" s="6">
        <f>D7+$B$4</f>
        <v>20</v>
      </c>
      <c r="E8" s="6" t="s">
        <v>975</v>
      </c>
      <c r="J8" s="196"/>
      <c r="K8" s="187"/>
      <c r="L8" s="197"/>
      <c r="M8" s="187"/>
      <c r="N8" s="197"/>
      <c r="O8" s="187"/>
      <c r="P8" s="197"/>
      <c r="Q8" s="187"/>
      <c r="R8" s="197"/>
      <c r="S8" s="198"/>
    </row>
    <row r="9" spans="1:19" ht="18.600000000000001" x14ac:dyDescent="0.4">
      <c r="B9" s="193">
        <f t="shared" si="0"/>
        <v>0.90972222222222221</v>
      </c>
      <c r="C9" s="193">
        <f t="shared" si="1"/>
        <v>0.85416666666666674</v>
      </c>
      <c r="D9" s="6">
        <f>D8+$B$4</f>
        <v>30</v>
      </c>
      <c r="E9" s="6" t="s">
        <v>976</v>
      </c>
      <c r="J9" s="196"/>
      <c r="K9" s="187"/>
      <c r="L9" s="197"/>
      <c r="M9" s="187"/>
      <c r="N9" s="197"/>
      <c r="O9" s="187"/>
      <c r="P9" s="197"/>
      <c r="Q9" s="187"/>
      <c r="R9" s="197"/>
      <c r="S9" s="198"/>
    </row>
    <row r="10" spans="1:19" ht="18.600000000000001" x14ac:dyDescent="0.4">
      <c r="B10" s="193">
        <f t="shared" si="0"/>
        <v>0.91666666666666663</v>
      </c>
      <c r="C10" s="193">
        <f t="shared" si="1"/>
        <v>0.87500000000000011</v>
      </c>
      <c r="D10" s="6">
        <f>D9+$B$4</f>
        <v>40</v>
      </c>
      <c r="E10" s="6" t="s">
        <v>976</v>
      </c>
      <c r="J10" s="199"/>
      <c r="K10" s="188"/>
      <c r="L10" s="186"/>
      <c r="M10" s="188"/>
      <c r="N10" s="189"/>
      <c r="O10" s="188"/>
      <c r="P10" s="189"/>
      <c r="Q10" s="188"/>
      <c r="R10" s="189"/>
      <c r="S10" s="200"/>
    </row>
    <row r="11" spans="1:19" ht="18.600000000000001" x14ac:dyDescent="0.4">
      <c r="A11" s="7" t="s">
        <v>999</v>
      </c>
      <c r="B11" s="193">
        <f t="shared" si="0"/>
        <v>0.92361111111111105</v>
      </c>
      <c r="C11" s="193">
        <f t="shared" si="1"/>
        <v>0.89583333333333348</v>
      </c>
      <c r="D11" s="6">
        <f>D10+$B$4</f>
        <v>50</v>
      </c>
      <c r="E11" s="6" t="s">
        <v>976</v>
      </c>
      <c r="F11" s="7" t="s">
        <v>988</v>
      </c>
      <c r="J11" s="218">
        <f>C17</f>
        <v>1.0208333333333335</v>
      </c>
      <c r="K11" s="219"/>
      <c r="L11" s="220">
        <f>C18</f>
        <v>1.0416666666666667</v>
      </c>
      <c r="M11" s="219"/>
      <c r="N11" s="220">
        <f>C19</f>
        <v>1.0625</v>
      </c>
      <c r="O11" s="219"/>
      <c r="P11" s="220">
        <f>C20</f>
        <v>1.0833333333333333</v>
      </c>
      <c r="Q11" s="219"/>
      <c r="R11" s="220">
        <f>C21</f>
        <v>1.1041666666666665</v>
      </c>
      <c r="S11" s="221"/>
    </row>
    <row r="12" spans="1:19" ht="18.600000000000001" x14ac:dyDescent="0.4">
      <c r="B12" s="193">
        <f t="shared" si="0"/>
        <v>0.93055555555555547</v>
      </c>
      <c r="C12" s="193">
        <f t="shared" si="1"/>
        <v>0.91666666666666685</v>
      </c>
      <c r="D12" s="195">
        <v>10</v>
      </c>
      <c r="E12" s="6" t="s">
        <v>977</v>
      </c>
      <c r="J12" s="196"/>
      <c r="K12" s="187"/>
      <c r="L12" s="197"/>
      <c r="M12" s="187"/>
      <c r="N12" s="197"/>
      <c r="O12" s="187"/>
      <c r="P12" s="197"/>
      <c r="Q12" s="187"/>
      <c r="R12" s="197"/>
      <c r="S12" s="198"/>
    </row>
    <row r="13" spans="1:19" ht="18.600000000000001" x14ac:dyDescent="0.4">
      <c r="B13" s="193">
        <f t="shared" si="0"/>
        <v>0.93749999999999989</v>
      </c>
      <c r="C13" s="193">
        <f t="shared" si="1"/>
        <v>0.93750000000000022</v>
      </c>
      <c r="D13" s="6">
        <f>D12+$B$4</f>
        <v>20</v>
      </c>
      <c r="E13" s="6" t="s">
        <v>977</v>
      </c>
      <c r="F13" s="7" t="s">
        <v>989</v>
      </c>
      <c r="J13" s="196"/>
      <c r="K13" s="187"/>
      <c r="L13" s="197"/>
      <c r="M13" s="187"/>
      <c r="N13" s="197"/>
      <c r="O13" s="187"/>
      <c r="P13" s="197"/>
      <c r="Q13" s="187"/>
      <c r="R13" s="197"/>
      <c r="S13" s="198"/>
    </row>
    <row r="14" spans="1:19" ht="18.600000000000001" x14ac:dyDescent="0.4">
      <c r="B14" s="193">
        <f t="shared" si="0"/>
        <v>0.94444444444444431</v>
      </c>
      <c r="C14" s="193">
        <f t="shared" si="1"/>
        <v>0.95833333333333359</v>
      </c>
      <c r="D14" s="195">
        <v>10</v>
      </c>
      <c r="E14" s="6" t="s">
        <v>978</v>
      </c>
      <c r="J14" s="196"/>
      <c r="K14" s="187"/>
      <c r="L14" s="197"/>
      <c r="M14" s="187"/>
      <c r="N14" s="197"/>
      <c r="O14" s="187"/>
      <c r="P14" s="197"/>
      <c r="Q14" s="187"/>
      <c r="R14" s="197"/>
      <c r="S14" s="198"/>
    </row>
    <row r="15" spans="1:19" ht="18.600000000000001" x14ac:dyDescent="0.4">
      <c r="B15" s="193">
        <f t="shared" si="0"/>
        <v>0.95138888888888873</v>
      </c>
      <c r="C15" s="193">
        <f t="shared" si="1"/>
        <v>0.97916666666666696</v>
      </c>
      <c r="D15" s="6">
        <f>D14+$B$4</f>
        <v>20</v>
      </c>
      <c r="E15" s="6" t="s">
        <v>978</v>
      </c>
      <c r="J15" s="199"/>
      <c r="K15" s="188"/>
      <c r="L15" s="186"/>
      <c r="M15" s="188"/>
      <c r="N15" s="189"/>
      <c r="O15" s="188"/>
      <c r="P15" s="189"/>
      <c r="Q15" s="188"/>
      <c r="R15" s="189"/>
      <c r="S15" s="200"/>
    </row>
    <row r="16" spans="1:19" ht="18.600000000000001" x14ac:dyDescent="0.4">
      <c r="A16" s="7" t="s">
        <v>1000</v>
      </c>
      <c r="B16" s="193">
        <f t="shared" si="0"/>
        <v>0.95833333333333315</v>
      </c>
      <c r="C16" s="193">
        <f t="shared" si="1"/>
        <v>1.0000000000000002</v>
      </c>
      <c r="D16" s="6">
        <f>D15+$B$4</f>
        <v>30</v>
      </c>
      <c r="E16" s="6" t="s">
        <v>978</v>
      </c>
      <c r="J16" s="218">
        <f>C22</f>
        <v>1.1249999999999998</v>
      </c>
      <c r="K16" s="219"/>
      <c r="L16" s="220">
        <f>C23</f>
        <v>1.145833333333333</v>
      </c>
      <c r="M16" s="219"/>
      <c r="N16" s="220">
        <f>C24</f>
        <v>1.1666666666666663</v>
      </c>
      <c r="O16" s="219"/>
      <c r="P16" s="220">
        <f>C25</f>
        <v>1.1874999999999996</v>
      </c>
      <c r="Q16" s="219"/>
      <c r="R16" s="220">
        <f>C26</f>
        <v>1.2083333333333328</v>
      </c>
      <c r="S16" s="221"/>
    </row>
    <row r="17" spans="1:19" ht="18.600000000000001" x14ac:dyDescent="0.4">
      <c r="B17" s="193">
        <f t="shared" si="0"/>
        <v>0.96527777777777757</v>
      </c>
      <c r="C17" s="193">
        <f t="shared" si="1"/>
        <v>1.0208333333333335</v>
      </c>
      <c r="D17" s="6">
        <f>D16+$B$4</f>
        <v>40</v>
      </c>
      <c r="E17" s="6" t="s">
        <v>978</v>
      </c>
      <c r="F17" s="7" t="s">
        <v>1007</v>
      </c>
      <c r="J17" s="196"/>
      <c r="K17" s="187"/>
      <c r="L17" s="197"/>
      <c r="M17" s="187"/>
      <c r="N17" s="197"/>
      <c r="O17" s="187"/>
      <c r="P17" s="197"/>
      <c r="Q17" s="187"/>
      <c r="R17" s="197"/>
      <c r="S17" s="198"/>
    </row>
    <row r="18" spans="1:19" ht="18.600000000000001" x14ac:dyDescent="0.4">
      <c r="A18" s="7" t="s">
        <v>1003</v>
      </c>
      <c r="B18" s="193">
        <f t="shared" si="0"/>
        <v>0.97222222222222199</v>
      </c>
      <c r="C18" s="193">
        <f t="shared" si="1"/>
        <v>1.0416666666666667</v>
      </c>
      <c r="D18" s="195">
        <v>10</v>
      </c>
      <c r="E18" s="6" t="s">
        <v>979</v>
      </c>
      <c r="J18" s="196"/>
      <c r="K18" s="187"/>
      <c r="L18" s="197"/>
      <c r="M18" s="187"/>
      <c r="N18" s="197"/>
      <c r="O18" s="187"/>
      <c r="P18" s="197"/>
      <c r="Q18" s="187"/>
      <c r="R18" s="197"/>
      <c r="S18" s="198"/>
    </row>
    <row r="19" spans="1:19" ht="18.600000000000001" x14ac:dyDescent="0.4">
      <c r="B19" s="193">
        <f t="shared" si="0"/>
        <v>0.97916666666666641</v>
      </c>
      <c r="C19" s="193">
        <f t="shared" si="1"/>
        <v>1.0625</v>
      </c>
      <c r="D19" s="6">
        <f>D18+$B$4</f>
        <v>20</v>
      </c>
      <c r="E19" s="6" t="s">
        <v>979</v>
      </c>
      <c r="J19" s="196"/>
      <c r="K19" s="187"/>
      <c r="L19" s="197"/>
      <c r="M19" s="187"/>
      <c r="N19" s="197"/>
      <c r="O19" s="187"/>
      <c r="P19" s="197"/>
      <c r="Q19" s="187"/>
      <c r="R19" s="197"/>
      <c r="S19" s="198"/>
    </row>
    <row r="20" spans="1:19" ht="18.600000000000001" x14ac:dyDescent="0.4">
      <c r="B20" s="193">
        <f t="shared" si="0"/>
        <v>0.98611111111111083</v>
      </c>
      <c r="C20" s="193">
        <f t="shared" si="1"/>
        <v>1.0833333333333333</v>
      </c>
      <c r="D20" s="6">
        <f>D19+$B$4</f>
        <v>30</v>
      </c>
      <c r="E20" s="6" t="s">
        <v>979</v>
      </c>
      <c r="F20" s="7" t="s">
        <v>1008</v>
      </c>
      <c r="J20" s="199"/>
      <c r="K20" s="188"/>
      <c r="L20" s="186"/>
      <c r="M20" s="188"/>
      <c r="N20" s="189"/>
      <c r="O20" s="188"/>
      <c r="P20" s="189"/>
      <c r="Q20" s="188"/>
      <c r="R20" s="189"/>
      <c r="S20" s="200"/>
    </row>
    <row r="21" spans="1:19" ht="18.600000000000001" x14ac:dyDescent="0.4">
      <c r="B21" s="193">
        <f t="shared" si="0"/>
        <v>0.99305555555555525</v>
      </c>
      <c r="C21" s="193">
        <f t="shared" si="1"/>
        <v>1.1041666666666665</v>
      </c>
      <c r="D21" s="195">
        <v>10</v>
      </c>
      <c r="E21" s="6" t="s">
        <v>980</v>
      </c>
      <c r="F21" s="7" t="s">
        <v>990</v>
      </c>
      <c r="J21" s="218">
        <f>C27</f>
        <v>1.2291666666666661</v>
      </c>
      <c r="K21" s="219"/>
      <c r="L21" s="220">
        <f>C28</f>
        <v>1.2499999999999993</v>
      </c>
      <c r="M21" s="219"/>
      <c r="N21" s="220">
        <f>C29</f>
        <v>1.2708333333333326</v>
      </c>
      <c r="O21" s="219"/>
      <c r="P21" s="220">
        <f>C30</f>
        <v>1.2916666666666659</v>
      </c>
      <c r="Q21" s="219"/>
      <c r="R21" s="220">
        <f>C31</f>
        <v>1.3124999999999991</v>
      </c>
      <c r="S21" s="221"/>
    </row>
    <row r="22" spans="1:19" x14ac:dyDescent="0.35">
      <c r="B22" s="193">
        <f t="shared" si="0"/>
        <v>0.99999999999999967</v>
      </c>
      <c r="C22" s="193">
        <f t="shared" si="1"/>
        <v>1.1249999999999998</v>
      </c>
      <c r="D22" s="195">
        <v>10</v>
      </c>
      <c r="E22" s="6" t="s">
        <v>981</v>
      </c>
      <c r="J22" s="201"/>
      <c r="K22" s="190"/>
      <c r="L22" s="202"/>
      <c r="M22" s="190"/>
      <c r="N22" s="202"/>
      <c r="O22" s="190"/>
      <c r="P22" s="202"/>
      <c r="Q22" s="190"/>
      <c r="R22" s="202"/>
      <c r="S22" s="203"/>
    </row>
    <row r="23" spans="1:19" x14ac:dyDescent="0.35">
      <c r="A23" s="7" t="s">
        <v>1001</v>
      </c>
      <c r="B23" s="193">
        <f t="shared" si="0"/>
        <v>1.0069444444444442</v>
      </c>
      <c r="C23" s="193">
        <f t="shared" si="1"/>
        <v>1.145833333333333</v>
      </c>
      <c r="D23" s="6">
        <f>D22+$B$4</f>
        <v>20</v>
      </c>
      <c r="E23" s="6" t="s">
        <v>981</v>
      </c>
      <c r="J23" s="201"/>
      <c r="K23" s="190"/>
      <c r="L23" s="202"/>
      <c r="M23" s="190"/>
      <c r="N23" s="202"/>
      <c r="O23" s="190"/>
      <c r="P23" s="202"/>
      <c r="Q23" s="190"/>
      <c r="R23" s="202"/>
      <c r="S23" s="203"/>
    </row>
    <row r="24" spans="1:19" x14ac:dyDescent="0.35">
      <c r="B24" s="193">
        <f t="shared" si="0"/>
        <v>1.0138888888888886</v>
      </c>
      <c r="C24" s="193">
        <f t="shared" si="1"/>
        <v>1.1666666666666663</v>
      </c>
      <c r="D24" s="6">
        <f>D23+$B$4</f>
        <v>30</v>
      </c>
      <c r="E24" s="6" t="s">
        <v>982</v>
      </c>
      <c r="J24" s="201"/>
      <c r="K24" s="190"/>
      <c r="L24" s="202"/>
      <c r="M24" s="190"/>
      <c r="N24" s="202"/>
      <c r="O24" s="190"/>
      <c r="P24" s="202"/>
      <c r="Q24" s="190"/>
      <c r="R24" s="202"/>
      <c r="S24" s="203"/>
    </row>
    <row r="25" spans="1:19" ht="18.600000000000001" thickBot="1" x14ac:dyDescent="0.4">
      <c r="B25" s="193">
        <f t="shared" si="0"/>
        <v>1.020833333333333</v>
      </c>
      <c r="C25" s="193">
        <f t="shared" si="1"/>
        <v>1.1874999999999996</v>
      </c>
      <c r="D25" s="6">
        <f>D24+$B$4</f>
        <v>40</v>
      </c>
      <c r="E25" s="6" t="s">
        <v>983</v>
      </c>
      <c r="J25" s="204"/>
      <c r="K25" s="205"/>
      <c r="L25" s="206"/>
      <c r="M25" s="205"/>
      <c r="N25" s="207"/>
      <c r="O25" s="205"/>
      <c r="P25" s="207"/>
      <c r="Q25" s="205"/>
      <c r="R25" s="207"/>
      <c r="S25" s="208"/>
    </row>
    <row r="26" spans="1:19" x14ac:dyDescent="0.35">
      <c r="B26" s="193">
        <f t="shared" si="0"/>
        <v>1.0277777777777775</v>
      </c>
      <c r="C26" s="193">
        <f t="shared" si="1"/>
        <v>1.2083333333333328</v>
      </c>
      <c r="D26" s="6">
        <f>D25+$B$4</f>
        <v>50</v>
      </c>
      <c r="E26" s="6" t="s">
        <v>984</v>
      </c>
      <c r="F26" s="7" t="s">
        <v>1005</v>
      </c>
    </row>
    <row r="27" spans="1:19" x14ac:dyDescent="0.35">
      <c r="A27" s="7" t="s">
        <v>1002</v>
      </c>
      <c r="B27" s="193">
        <f t="shared" si="0"/>
        <v>1.0347222222222219</v>
      </c>
      <c r="C27" s="193">
        <f t="shared" si="1"/>
        <v>1.2291666666666661</v>
      </c>
      <c r="D27" s="6">
        <f>D26+$B$4</f>
        <v>60</v>
      </c>
      <c r="E27" s="6" t="s">
        <v>984</v>
      </c>
      <c r="F27" s="7" t="s">
        <v>1004</v>
      </c>
    </row>
    <row r="28" spans="1:19" x14ac:dyDescent="0.35">
      <c r="B28" s="193">
        <f t="shared" si="0"/>
        <v>1.0416666666666663</v>
      </c>
      <c r="C28" s="193">
        <f t="shared" si="1"/>
        <v>1.2499999999999993</v>
      </c>
      <c r="D28" s="195">
        <v>10</v>
      </c>
      <c r="E28" s="6" t="s">
        <v>985</v>
      </c>
      <c r="F28" s="7" t="s">
        <v>991</v>
      </c>
    </row>
    <row r="29" spans="1:19" x14ac:dyDescent="0.35">
      <c r="B29" s="193">
        <f t="shared" si="0"/>
        <v>1.0486111111111107</v>
      </c>
      <c r="C29" s="193">
        <f t="shared" si="1"/>
        <v>1.2708333333333326</v>
      </c>
      <c r="D29" s="6">
        <f>D28+$B$4</f>
        <v>20</v>
      </c>
      <c r="E29" s="6" t="s">
        <v>985</v>
      </c>
    </row>
    <row r="30" spans="1:19" x14ac:dyDescent="0.35">
      <c r="B30" s="193">
        <f t="shared" si="0"/>
        <v>1.0555555555555551</v>
      </c>
      <c r="C30" s="193">
        <f t="shared" si="1"/>
        <v>1.2916666666666659</v>
      </c>
      <c r="D30" s="195">
        <v>10</v>
      </c>
      <c r="E30" s="6" t="s">
        <v>986</v>
      </c>
      <c r="F30" s="7" t="s">
        <v>992</v>
      </c>
    </row>
    <row r="31" spans="1:19" x14ac:dyDescent="0.35">
      <c r="A31" s="192" t="s">
        <v>997</v>
      </c>
      <c r="B31" s="194">
        <f t="shared" si="0"/>
        <v>1.0624999999999996</v>
      </c>
      <c r="C31" s="193">
        <f t="shared" si="1"/>
        <v>1.3124999999999991</v>
      </c>
      <c r="D31" s="6">
        <f>D30+$B$4</f>
        <v>20</v>
      </c>
      <c r="E31" s="6" t="s">
        <v>987</v>
      </c>
      <c r="F31" s="7" t="s">
        <v>1009</v>
      </c>
    </row>
  </sheetData>
  <mergeCells count="26">
    <mergeCell ref="R1:S1"/>
    <mergeCell ref="J6:K6"/>
    <mergeCell ref="L6:M6"/>
    <mergeCell ref="N6:O6"/>
    <mergeCell ref="P6:Q6"/>
    <mergeCell ref="R6:S6"/>
    <mergeCell ref="R11:S11"/>
    <mergeCell ref="J16:K16"/>
    <mergeCell ref="L16:M16"/>
    <mergeCell ref="N16:O16"/>
    <mergeCell ref="P16:Q16"/>
    <mergeCell ref="R16:S16"/>
    <mergeCell ref="A1:I1"/>
    <mergeCell ref="J11:K11"/>
    <mergeCell ref="L11:M11"/>
    <mergeCell ref="N11:O11"/>
    <mergeCell ref="P11:Q11"/>
    <mergeCell ref="J1:K1"/>
    <mergeCell ref="L1:M1"/>
    <mergeCell ref="N1:O1"/>
    <mergeCell ref="P1:Q1"/>
    <mergeCell ref="J21:K21"/>
    <mergeCell ref="L21:M21"/>
    <mergeCell ref="N21:O21"/>
    <mergeCell ref="P21:Q21"/>
    <mergeCell ref="R21:S21"/>
  </mergeCells>
  <phoneticPr fontId="11" type="noConversion"/>
  <pageMargins left="0.7" right="0.7" top="0.75" bottom="0.75" header="0.3" footer="0.3"/>
  <pageSetup paperSize="9" orientation="portrait"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E437-885A-4324-9E14-3FC479EC2837}">
  <sheetPr codeName="Foglio1"/>
  <dimension ref="B1:N23"/>
  <sheetViews>
    <sheetView zoomScale="130" zoomScaleNormal="130" workbookViewId="0">
      <selection activeCell="J23" sqref="J23"/>
    </sheetView>
  </sheetViews>
  <sheetFormatPr defaultRowHeight="14.4" x14ac:dyDescent="0.3"/>
  <cols>
    <col min="1" max="1" width="2.6640625" style="45" customWidth="1"/>
    <col min="2" max="2" width="11.109375" style="45" customWidth="1"/>
    <col min="3" max="3" width="2.6640625" style="45" customWidth="1"/>
    <col min="4" max="17" width="7.5546875" style="45" customWidth="1"/>
    <col min="18" max="16384" width="8.88671875" style="45"/>
  </cols>
  <sheetData>
    <row r="1" spans="2:14" x14ac:dyDescent="0.3">
      <c r="H1" s="21" t="s">
        <v>332</v>
      </c>
    </row>
    <row r="2" spans="2:14" x14ac:dyDescent="0.3">
      <c r="C2" s="47"/>
      <c r="D2" s="53">
        <v>1</v>
      </c>
      <c r="E2" s="53">
        <v>2</v>
      </c>
      <c r="F2" s="53">
        <v>3</v>
      </c>
      <c r="G2" s="53">
        <v>4</v>
      </c>
      <c r="H2" s="53">
        <v>5</v>
      </c>
      <c r="I2" s="53">
        <v>6</v>
      </c>
      <c r="J2" s="53">
        <v>7</v>
      </c>
      <c r="K2" s="53">
        <v>8</v>
      </c>
      <c r="L2" s="53">
        <v>9</v>
      </c>
      <c r="M2" s="53">
        <v>10</v>
      </c>
    </row>
    <row r="3" spans="2:14" ht="18" x14ac:dyDescent="0.3">
      <c r="B3" s="21" t="s">
        <v>333</v>
      </c>
      <c r="C3" s="47"/>
      <c r="D3" s="44">
        <f ca="1">RANDBETWEEN(1,10)</f>
        <v>4</v>
      </c>
      <c r="E3" s="44">
        <f t="shared" ref="E3:M3" ca="1" si="0">RANDBETWEEN(1,10)</f>
        <v>8</v>
      </c>
      <c r="F3" s="44">
        <f t="shared" ca="1" si="0"/>
        <v>4</v>
      </c>
      <c r="G3" s="44">
        <f t="shared" ca="1" si="0"/>
        <v>5</v>
      </c>
      <c r="H3" s="44">
        <f t="shared" ca="1" si="0"/>
        <v>5</v>
      </c>
      <c r="I3" s="44">
        <f t="shared" ca="1" si="0"/>
        <v>4</v>
      </c>
      <c r="J3" s="44">
        <f t="shared" ca="1" si="0"/>
        <v>8</v>
      </c>
      <c r="K3" s="44">
        <f t="shared" ca="1" si="0"/>
        <v>2</v>
      </c>
      <c r="L3" s="44">
        <f t="shared" ca="1" si="0"/>
        <v>10</v>
      </c>
      <c r="M3" s="44">
        <f t="shared" ca="1" si="0"/>
        <v>8</v>
      </c>
      <c r="N3" s="44"/>
    </row>
    <row r="4" spans="2:14" x14ac:dyDescent="0.3">
      <c r="B4" s="21" t="s">
        <v>331</v>
      </c>
      <c r="C4" s="47"/>
      <c r="D4" s="47"/>
      <c r="E4" s="47"/>
      <c r="F4" s="47"/>
      <c r="G4" s="47"/>
      <c r="H4" s="47"/>
      <c r="I4" s="47"/>
      <c r="J4" s="47"/>
      <c r="K4" s="47"/>
      <c r="L4" s="47"/>
      <c r="M4" s="47"/>
    </row>
    <row r="5" spans="2:14" x14ac:dyDescent="0.3">
      <c r="B5" s="52">
        <v>2</v>
      </c>
      <c r="C5" s="47"/>
      <c r="D5" s="46">
        <f ca="1">IF(D$3&gt;=$B5,1,0)+IF(D$3=1,-1,0)</f>
        <v>1</v>
      </c>
      <c r="E5" s="46">
        <f ca="1">IF(E$3&gt;=$B5,1,0)+D5+IF(E$3=1,-1,0)</f>
        <v>2</v>
      </c>
      <c r="F5" s="46">
        <f t="shared" ref="F5:M5" ca="1" si="1">IF(F$3&gt;=$B5,1,0)+E5+IF(F$3=1,-1,0)</f>
        <v>3</v>
      </c>
      <c r="G5" s="46">
        <f t="shared" ca="1" si="1"/>
        <v>4</v>
      </c>
      <c r="H5" s="46">
        <f t="shared" ca="1" si="1"/>
        <v>5</v>
      </c>
      <c r="I5" s="46">
        <f t="shared" ca="1" si="1"/>
        <v>6</v>
      </c>
      <c r="J5" s="46">
        <f t="shared" ca="1" si="1"/>
        <v>7</v>
      </c>
      <c r="K5" s="46">
        <f t="shared" ca="1" si="1"/>
        <v>8</v>
      </c>
      <c r="L5" s="46">
        <f t="shared" ca="1" si="1"/>
        <v>9</v>
      </c>
      <c r="M5" s="46">
        <f t="shared" ca="1" si="1"/>
        <v>10</v>
      </c>
    </row>
    <row r="6" spans="2:14" x14ac:dyDescent="0.3">
      <c r="B6" s="52">
        <v>3</v>
      </c>
      <c r="C6" s="47"/>
      <c r="D6" s="46">
        <f t="shared" ref="D6:D13" ca="1" si="2">IF(D$3&gt;=$B6,1,0)+IF(D$3=1,-1,0)</f>
        <v>1</v>
      </c>
      <c r="E6" s="46">
        <f t="shared" ref="E6:M13" ca="1" si="3">IF(E$3&gt;=$B6,1,0)+D6+IF(E$3=1,-1,0)</f>
        <v>2</v>
      </c>
      <c r="F6" s="46">
        <f t="shared" ca="1" si="3"/>
        <v>3</v>
      </c>
      <c r="G6" s="46">
        <f t="shared" ca="1" si="3"/>
        <v>4</v>
      </c>
      <c r="H6" s="46">
        <f t="shared" ca="1" si="3"/>
        <v>5</v>
      </c>
      <c r="I6" s="46">
        <f t="shared" ca="1" si="3"/>
        <v>6</v>
      </c>
      <c r="J6" s="46">
        <f t="shared" ca="1" si="3"/>
        <v>7</v>
      </c>
      <c r="K6" s="46">
        <f t="shared" ca="1" si="3"/>
        <v>7</v>
      </c>
      <c r="L6" s="46">
        <f t="shared" ca="1" si="3"/>
        <v>8</v>
      </c>
      <c r="M6" s="46">
        <f t="shared" ca="1" si="3"/>
        <v>9</v>
      </c>
    </row>
    <row r="7" spans="2:14" x14ac:dyDescent="0.3">
      <c r="B7" s="52">
        <v>4</v>
      </c>
      <c r="C7" s="47"/>
      <c r="D7" s="46">
        <f t="shared" ca="1" si="2"/>
        <v>1</v>
      </c>
      <c r="E7" s="46">
        <f t="shared" ca="1" si="3"/>
        <v>2</v>
      </c>
      <c r="F7" s="46">
        <f t="shared" ca="1" si="3"/>
        <v>3</v>
      </c>
      <c r="G7" s="46">
        <f t="shared" ca="1" si="3"/>
        <v>4</v>
      </c>
      <c r="H7" s="46">
        <f t="shared" ca="1" si="3"/>
        <v>5</v>
      </c>
      <c r="I7" s="46">
        <f t="shared" ca="1" si="3"/>
        <v>6</v>
      </c>
      <c r="J7" s="46">
        <f t="shared" ca="1" si="3"/>
        <v>7</v>
      </c>
      <c r="K7" s="46">
        <f t="shared" ca="1" si="3"/>
        <v>7</v>
      </c>
      <c r="L7" s="46">
        <f t="shared" ca="1" si="3"/>
        <v>8</v>
      </c>
      <c r="M7" s="46">
        <f t="shared" ca="1" si="3"/>
        <v>9</v>
      </c>
    </row>
    <row r="8" spans="2:14" x14ac:dyDescent="0.3">
      <c r="B8" s="52">
        <v>5</v>
      </c>
      <c r="C8" s="47"/>
      <c r="D8" s="46">
        <f t="shared" ca="1" si="2"/>
        <v>0</v>
      </c>
      <c r="E8" s="46">
        <f t="shared" ca="1" si="3"/>
        <v>1</v>
      </c>
      <c r="F8" s="46">
        <f t="shared" ca="1" si="3"/>
        <v>1</v>
      </c>
      <c r="G8" s="46">
        <f t="shared" ca="1" si="3"/>
        <v>2</v>
      </c>
      <c r="H8" s="46">
        <f t="shared" ca="1" si="3"/>
        <v>3</v>
      </c>
      <c r="I8" s="46">
        <f t="shared" ca="1" si="3"/>
        <v>3</v>
      </c>
      <c r="J8" s="46">
        <f t="shared" ca="1" si="3"/>
        <v>4</v>
      </c>
      <c r="K8" s="46">
        <f t="shared" ca="1" si="3"/>
        <v>4</v>
      </c>
      <c r="L8" s="46">
        <f t="shared" ca="1" si="3"/>
        <v>5</v>
      </c>
      <c r="M8" s="46">
        <f t="shared" ca="1" si="3"/>
        <v>6</v>
      </c>
    </row>
    <row r="9" spans="2:14" x14ac:dyDescent="0.3">
      <c r="B9" s="52">
        <v>6</v>
      </c>
      <c r="C9" s="47"/>
      <c r="D9" s="46">
        <f t="shared" ca="1" si="2"/>
        <v>0</v>
      </c>
      <c r="E9" s="46">
        <f t="shared" ca="1" si="3"/>
        <v>1</v>
      </c>
      <c r="F9" s="46">
        <f t="shared" ca="1" si="3"/>
        <v>1</v>
      </c>
      <c r="G9" s="46">
        <f t="shared" ca="1" si="3"/>
        <v>1</v>
      </c>
      <c r="H9" s="46">
        <f t="shared" ca="1" si="3"/>
        <v>1</v>
      </c>
      <c r="I9" s="46">
        <f t="shared" ca="1" si="3"/>
        <v>1</v>
      </c>
      <c r="J9" s="46">
        <f t="shared" ca="1" si="3"/>
        <v>2</v>
      </c>
      <c r="K9" s="46">
        <f t="shared" ca="1" si="3"/>
        <v>2</v>
      </c>
      <c r="L9" s="46">
        <f t="shared" ca="1" si="3"/>
        <v>3</v>
      </c>
      <c r="M9" s="46">
        <f t="shared" ca="1" si="3"/>
        <v>4</v>
      </c>
    </row>
    <row r="10" spans="2:14" x14ac:dyDescent="0.3">
      <c r="B10" s="52">
        <v>7</v>
      </c>
      <c r="C10" s="47"/>
      <c r="D10" s="46">
        <f t="shared" ca="1" si="2"/>
        <v>0</v>
      </c>
      <c r="E10" s="46">
        <f t="shared" ca="1" si="3"/>
        <v>1</v>
      </c>
      <c r="F10" s="46">
        <f t="shared" ca="1" si="3"/>
        <v>1</v>
      </c>
      <c r="G10" s="46">
        <f t="shared" ca="1" si="3"/>
        <v>1</v>
      </c>
      <c r="H10" s="46">
        <f t="shared" ca="1" si="3"/>
        <v>1</v>
      </c>
      <c r="I10" s="46">
        <f t="shared" ca="1" si="3"/>
        <v>1</v>
      </c>
      <c r="J10" s="46">
        <f t="shared" ca="1" si="3"/>
        <v>2</v>
      </c>
      <c r="K10" s="46">
        <f t="shared" ca="1" si="3"/>
        <v>2</v>
      </c>
      <c r="L10" s="46">
        <f t="shared" ca="1" si="3"/>
        <v>3</v>
      </c>
      <c r="M10" s="46">
        <f t="shared" ca="1" si="3"/>
        <v>4</v>
      </c>
    </row>
    <row r="11" spans="2:14" x14ac:dyDescent="0.3">
      <c r="B11" s="52">
        <v>8</v>
      </c>
      <c r="C11" s="47"/>
      <c r="D11" s="46">
        <f t="shared" ca="1" si="2"/>
        <v>0</v>
      </c>
      <c r="E11" s="46">
        <f t="shared" ca="1" si="3"/>
        <v>1</v>
      </c>
      <c r="F11" s="46">
        <f t="shared" ca="1" si="3"/>
        <v>1</v>
      </c>
      <c r="G11" s="46">
        <f t="shared" ca="1" si="3"/>
        <v>1</v>
      </c>
      <c r="H11" s="46">
        <f t="shared" ca="1" si="3"/>
        <v>1</v>
      </c>
      <c r="I11" s="46">
        <f t="shared" ca="1" si="3"/>
        <v>1</v>
      </c>
      <c r="J11" s="46">
        <f t="shared" ca="1" si="3"/>
        <v>2</v>
      </c>
      <c r="K11" s="46">
        <f t="shared" ca="1" si="3"/>
        <v>2</v>
      </c>
      <c r="L11" s="46">
        <f t="shared" ca="1" si="3"/>
        <v>3</v>
      </c>
      <c r="M11" s="46">
        <f t="shared" ca="1" si="3"/>
        <v>4</v>
      </c>
    </row>
    <row r="12" spans="2:14" x14ac:dyDescent="0.3">
      <c r="B12" s="52">
        <v>9</v>
      </c>
      <c r="C12" s="47"/>
      <c r="D12" s="46">
        <f t="shared" ca="1" si="2"/>
        <v>0</v>
      </c>
      <c r="E12" s="46">
        <f t="shared" ca="1" si="3"/>
        <v>0</v>
      </c>
      <c r="F12" s="46">
        <f t="shared" ca="1" si="3"/>
        <v>0</v>
      </c>
      <c r="G12" s="46">
        <f t="shared" ca="1" si="3"/>
        <v>0</v>
      </c>
      <c r="H12" s="46">
        <f t="shared" ca="1" si="3"/>
        <v>0</v>
      </c>
      <c r="I12" s="46">
        <f t="shared" ca="1" si="3"/>
        <v>0</v>
      </c>
      <c r="J12" s="46">
        <f t="shared" ca="1" si="3"/>
        <v>0</v>
      </c>
      <c r="K12" s="46">
        <f t="shared" ca="1" si="3"/>
        <v>0</v>
      </c>
      <c r="L12" s="46">
        <f t="shared" ca="1" si="3"/>
        <v>1</v>
      </c>
      <c r="M12" s="46">
        <f t="shared" ca="1" si="3"/>
        <v>1</v>
      </c>
    </row>
    <row r="13" spans="2:14" x14ac:dyDescent="0.3">
      <c r="B13" s="52">
        <v>10</v>
      </c>
      <c r="C13" s="47"/>
      <c r="D13" s="46">
        <f t="shared" ca="1" si="2"/>
        <v>0</v>
      </c>
      <c r="E13" s="46">
        <f t="shared" ca="1" si="3"/>
        <v>0</v>
      </c>
      <c r="F13" s="46">
        <f t="shared" ca="1" si="3"/>
        <v>0</v>
      </c>
      <c r="G13" s="46">
        <f t="shared" ca="1" si="3"/>
        <v>0</v>
      </c>
      <c r="H13" s="46">
        <f t="shared" ca="1" si="3"/>
        <v>0</v>
      </c>
      <c r="I13" s="46">
        <f t="shared" ca="1" si="3"/>
        <v>0</v>
      </c>
      <c r="J13" s="46">
        <f t="shared" ca="1" si="3"/>
        <v>0</v>
      </c>
      <c r="K13" s="46">
        <f t="shared" ca="1" si="3"/>
        <v>0</v>
      </c>
      <c r="L13" s="46">
        <f t="shared" ca="1" si="3"/>
        <v>1</v>
      </c>
      <c r="M13" s="46">
        <f t="shared" ca="1" si="3"/>
        <v>1</v>
      </c>
    </row>
    <row r="15" spans="2:14" x14ac:dyDescent="0.3">
      <c r="D15" s="46" t="s">
        <v>335</v>
      </c>
      <c r="E15" s="46" t="s">
        <v>336</v>
      </c>
      <c r="G15" s="46" t="s">
        <v>334</v>
      </c>
    </row>
    <row r="16" spans="2:14" ht="21" x14ac:dyDescent="0.3">
      <c r="D16" s="51">
        <v>8</v>
      </c>
      <c r="E16" s="48">
        <v>7</v>
      </c>
      <c r="G16" s="49" cm="1">
        <f t="array" aca="1" ref="G16" ca="1">INDIRECT(ADDRESS(E16+3,D16+3,1))</f>
        <v>2</v>
      </c>
    </row>
    <row r="17" spans="4:7" ht="8.4" customHeight="1" x14ac:dyDescent="0.3">
      <c r="G17" s="49"/>
    </row>
    <row r="18" spans="4:7" ht="15.6" x14ac:dyDescent="0.3">
      <c r="D18" s="46">
        <v>4</v>
      </c>
      <c r="E18" s="46">
        <v>6</v>
      </c>
      <c r="F18" s="46"/>
      <c r="G18" s="50" cm="1">
        <f t="array" aca="1" ref="G18" ca="1">INDIRECT(ADDRESS(E18+3,D18+3,1))</f>
        <v>1</v>
      </c>
    </row>
    <row r="19" spans="4:7" ht="15.6" x14ac:dyDescent="0.3">
      <c r="D19" s="46">
        <v>5</v>
      </c>
      <c r="E19" s="46">
        <v>6</v>
      </c>
      <c r="F19" s="46"/>
      <c r="G19" s="50" cm="1">
        <f t="array" aca="1" ref="G19" ca="1">INDIRECT(ADDRESS(E19+3,D19+3,1))</f>
        <v>1</v>
      </c>
    </row>
    <row r="20" spans="4:7" ht="15.6" x14ac:dyDescent="0.3">
      <c r="D20" s="46">
        <v>6</v>
      </c>
      <c r="E20" s="46">
        <v>6</v>
      </c>
      <c r="F20" s="46"/>
      <c r="G20" s="50" cm="1">
        <f t="array" aca="1" ref="G20" ca="1">INDIRECT(ADDRESS(E20+3,D20+3,1))</f>
        <v>1</v>
      </c>
    </row>
    <row r="21" spans="4:7" ht="15.6" x14ac:dyDescent="0.3">
      <c r="D21" s="46">
        <v>7</v>
      </c>
      <c r="E21" s="46">
        <v>6</v>
      </c>
      <c r="F21" s="46"/>
      <c r="G21" s="50" cm="1">
        <f t="array" aca="1" ref="G21" ca="1">INDIRECT(ADDRESS(E21+3,D21+3,1))</f>
        <v>2</v>
      </c>
    </row>
    <row r="22" spans="4:7" ht="15.6" x14ac:dyDescent="0.3">
      <c r="D22" s="46">
        <v>8</v>
      </c>
      <c r="E22" s="46">
        <v>6</v>
      </c>
      <c r="F22" s="46"/>
      <c r="G22" s="50" cm="1">
        <f t="array" aca="1" ref="G22" ca="1">INDIRECT(ADDRESS(E22+3,D22+3,1))</f>
        <v>2</v>
      </c>
    </row>
    <row r="23" spans="4:7" ht="15.6" x14ac:dyDescent="0.3">
      <c r="D23" s="46">
        <v>9</v>
      </c>
      <c r="E23" s="46">
        <v>6</v>
      </c>
      <c r="F23" s="46"/>
      <c r="G23" s="50" cm="1">
        <f t="array" aca="1" ref="G23" ca="1">INDIRECT(ADDRESS(E23+3,D23+3,1))</f>
        <v>3</v>
      </c>
    </row>
  </sheetData>
  <conditionalFormatting sqref="D5:M13">
    <cfRule type="cellIs" dxfId="7" priority="1" operator="greaterThan">
      <formula>5</formula>
    </cfRule>
    <cfRule type="cellIs" dxfId="6" priority="2" operator="equal">
      <formula>1</formula>
    </cfRule>
    <cfRule type="cellIs" dxfId="5" priority="3" operator="equal">
      <formula>2</formula>
    </cfRule>
    <cfRule type="cellIs" dxfId="4" priority="4" operator="equal">
      <formula>3</formula>
    </cfRule>
    <cfRule type="cellIs" dxfId="3" priority="5" operator="equal">
      <formula>4</formula>
    </cfRule>
    <cfRule type="cellIs" dxfId="2" priority="6" operator="equal">
      <formula>0</formula>
    </cfRule>
    <cfRule type="cellIs" dxfId="1" priority="7" operator="equal">
      <formula>5</formula>
    </cfRule>
    <cfRule type="cellIs" dxfId="0" priority="8" operator="equal">
      <formula>-1</formula>
    </cfRule>
  </conditionalFormatting>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E20E3-13A3-48B6-A2CF-7D28B3262DEC}">
  <dimension ref="A1:L62"/>
  <sheetViews>
    <sheetView zoomScale="150" zoomScaleNormal="150" workbookViewId="0">
      <selection activeCell="C26" sqref="C26"/>
    </sheetView>
  </sheetViews>
  <sheetFormatPr defaultRowHeight="14.4" x14ac:dyDescent="0.3"/>
  <cols>
    <col min="1" max="1" width="13.77734375" style="8" bestFit="1" customWidth="1"/>
    <col min="2" max="2" width="7.6640625" style="6" customWidth="1"/>
    <col min="3" max="3" width="67" style="176" customWidth="1"/>
    <col min="4" max="4" width="55.21875" style="176" customWidth="1"/>
    <col min="5" max="16384" width="8.88671875" style="8"/>
  </cols>
  <sheetData>
    <row r="1" spans="1:12" x14ac:dyDescent="0.3">
      <c r="A1" s="8" t="s">
        <v>517</v>
      </c>
      <c r="B1" s="6" t="s">
        <v>73</v>
      </c>
      <c r="C1" s="176" t="s">
        <v>518</v>
      </c>
      <c r="D1" s="176" t="s">
        <v>519</v>
      </c>
    </row>
    <row r="2" spans="1:12" x14ac:dyDescent="0.3">
      <c r="A2" s="182" t="s">
        <v>319</v>
      </c>
      <c r="B2" s="183">
        <v>1</v>
      </c>
      <c r="C2" s="181" t="s">
        <v>520</v>
      </c>
      <c r="D2" s="181" t="s">
        <v>521</v>
      </c>
    </row>
    <row r="3" spans="1:12" x14ac:dyDescent="0.3">
      <c r="A3" s="182" t="s">
        <v>319</v>
      </c>
      <c r="B3" s="183">
        <v>2</v>
      </c>
      <c r="C3" s="181" t="s">
        <v>522</v>
      </c>
      <c r="D3" s="181" t="s">
        <v>523</v>
      </c>
      <c r="E3" s="152"/>
      <c r="F3" s="152"/>
      <c r="G3" s="152"/>
      <c r="H3" s="152"/>
      <c r="I3" s="152"/>
      <c r="J3" s="152"/>
      <c r="K3" s="152"/>
      <c r="L3" s="152"/>
    </row>
    <row r="4" spans="1:12" x14ac:dyDescent="0.3">
      <c r="A4" s="182" t="s">
        <v>319</v>
      </c>
      <c r="B4" s="183">
        <v>3</v>
      </c>
      <c r="C4" s="181" t="s">
        <v>524</v>
      </c>
      <c r="D4" s="181" t="s">
        <v>525</v>
      </c>
      <c r="E4" s="152"/>
      <c r="F4" s="152"/>
      <c r="G4" s="152"/>
      <c r="H4" s="152"/>
      <c r="I4" s="152"/>
      <c r="J4" s="152"/>
      <c r="K4" s="152"/>
      <c r="L4" s="152"/>
    </row>
    <row r="5" spans="1:12" x14ac:dyDescent="0.3">
      <c r="A5" s="182" t="s">
        <v>514</v>
      </c>
      <c r="B5" s="183">
        <v>1</v>
      </c>
      <c r="C5" s="181" t="s">
        <v>526</v>
      </c>
      <c r="D5" s="181" t="s">
        <v>527</v>
      </c>
      <c r="E5" s="152"/>
      <c r="F5" s="152"/>
      <c r="G5" s="152"/>
      <c r="H5" s="152"/>
      <c r="I5" s="152"/>
      <c r="J5" s="152"/>
      <c r="K5" s="152"/>
      <c r="L5" s="152"/>
    </row>
    <row r="6" spans="1:12" x14ac:dyDescent="0.3">
      <c r="A6" s="182" t="s">
        <v>514</v>
      </c>
      <c r="B6" s="183">
        <v>2</v>
      </c>
      <c r="C6" s="181" t="s">
        <v>528</v>
      </c>
      <c r="D6" s="181" t="s">
        <v>529</v>
      </c>
      <c r="E6" s="79"/>
      <c r="F6" s="79"/>
      <c r="G6" s="79"/>
      <c r="H6" s="79"/>
      <c r="I6" s="79"/>
      <c r="J6" s="79"/>
      <c r="K6" s="79"/>
      <c r="L6" s="79"/>
    </row>
    <row r="7" spans="1:12" x14ac:dyDescent="0.3">
      <c r="A7" s="182" t="s">
        <v>514</v>
      </c>
      <c r="B7" s="183">
        <v>3</v>
      </c>
      <c r="C7" s="181" t="s">
        <v>530</v>
      </c>
      <c r="D7" s="181" t="s">
        <v>531</v>
      </c>
      <c r="E7" s="79"/>
      <c r="F7" s="79"/>
      <c r="G7" s="79"/>
      <c r="H7" s="79"/>
      <c r="I7" s="79"/>
      <c r="J7" s="79"/>
      <c r="K7" s="79"/>
      <c r="L7" s="79"/>
    </row>
    <row r="8" spans="1:12" x14ac:dyDescent="0.3">
      <c r="A8" s="182" t="s">
        <v>328</v>
      </c>
      <c r="B8" s="183">
        <v>1</v>
      </c>
      <c r="C8" s="181" t="s">
        <v>532</v>
      </c>
      <c r="D8" s="181" t="s">
        <v>533</v>
      </c>
      <c r="E8" s="79"/>
      <c r="F8" s="79"/>
      <c r="G8" s="79"/>
      <c r="H8" s="79"/>
      <c r="I8" s="79"/>
      <c r="J8" s="79"/>
      <c r="K8" s="79"/>
      <c r="L8" s="79"/>
    </row>
    <row r="9" spans="1:12" x14ac:dyDescent="0.3">
      <c r="A9" s="182" t="s">
        <v>328</v>
      </c>
      <c r="B9" s="183">
        <v>2</v>
      </c>
      <c r="C9" s="181" t="s">
        <v>534</v>
      </c>
      <c r="D9" s="181" t="s">
        <v>535</v>
      </c>
      <c r="E9" s="79"/>
      <c r="F9" s="79"/>
      <c r="G9" s="79"/>
      <c r="H9" s="79"/>
      <c r="I9" s="79"/>
      <c r="J9" s="79"/>
      <c r="K9" s="79"/>
      <c r="L9" s="79"/>
    </row>
    <row r="10" spans="1:12" x14ac:dyDescent="0.3">
      <c r="A10" s="182" t="s">
        <v>328</v>
      </c>
      <c r="B10" s="183">
        <v>3</v>
      </c>
      <c r="C10" s="181" t="s">
        <v>536</v>
      </c>
      <c r="D10" s="181" t="s">
        <v>537</v>
      </c>
      <c r="E10" s="79"/>
      <c r="F10" s="79"/>
      <c r="G10" s="79"/>
      <c r="H10" s="79"/>
      <c r="I10" s="79"/>
      <c r="J10" s="79"/>
      <c r="K10" s="79"/>
      <c r="L10" s="79"/>
    </row>
    <row r="11" spans="1:12" x14ac:dyDescent="0.3">
      <c r="A11" s="182" t="s">
        <v>538</v>
      </c>
      <c r="B11" s="183">
        <v>1</v>
      </c>
      <c r="C11" s="181" t="s">
        <v>539</v>
      </c>
      <c r="D11" s="181" t="s">
        <v>540</v>
      </c>
      <c r="E11" s="79"/>
      <c r="F11" s="79"/>
      <c r="G11" s="79"/>
      <c r="H11" s="79"/>
      <c r="I11" s="79"/>
      <c r="J11" s="79"/>
      <c r="K11" s="79"/>
      <c r="L11" s="79"/>
    </row>
    <row r="12" spans="1:12" x14ac:dyDescent="0.3">
      <c r="A12" s="182" t="s">
        <v>538</v>
      </c>
      <c r="B12" s="183">
        <v>2</v>
      </c>
      <c r="C12" s="181" t="s">
        <v>541</v>
      </c>
      <c r="D12" s="181" t="s">
        <v>542</v>
      </c>
    </row>
    <row r="13" spans="1:12" x14ac:dyDescent="0.3">
      <c r="A13" s="182" t="s">
        <v>538</v>
      </c>
      <c r="B13" s="183">
        <v>3</v>
      </c>
      <c r="C13" s="181" t="s">
        <v>543</v>
      </c>
      <c r="D13" s="181" t="s">
        <v>544</v>
      </c>
    </row>
    <row r="14" spans="1:12" x14ac:dyDescent="0.3">
      <c r="A14" s="182" t="s">
        <v>317</v>
      </c>
      <c r="B14" s="183">
        <v>1</v>
      </c>
      <c r="C14" s="181" t="s">
        <v>545</v>
      </c>
      <c r="D14" s="181" t="s">
        <v>546</v>
      </c>
    </row>
    <row r="15" spans="1:12" x14ac:dyDescent="0.3">
      <c r="A15" s="182" t="s">
        <v>317</v>
      </c>
      <c r="B15" s="183">
        <v>2</v>
      </c>
      <c r="C15" s="181" t="s">
        <v>547</v>
      </c>
      <c r="D15" s="181" t="s">
        <v>548</v>
      </c>
    </row>
    <row r="16" spans="1:12" x14ac:dyDescent="0.3">
      <c r="A16" s="182" t="s">
        <v>317</v>
      </c>
      <c r="B16" s="183">
        <v>3</v>
      </c>
      <c r="C16" s="181" t="s">
        <v>549</v>
      </c>
      <c r="D16" s="181" t="s">
        <v>550</v>
      </c>
    </row>
    <row r="17" spans="1:4" x14ac:dyDescent="0.3">
      <c r="A17" s="182" t="s">
        <v>327</v>
      </c>
      <c r="B17" s="183">
        <v>1</v>
      </c>
      <c r="C17" s="181" t="s">
        <v>551</v>
      </c>
      <c r="D17" s="181" t="s">
        <v>552</v>
      </c>
    </row>
    <row r="18" spans="1:4" x14ac:dyDescent="0.3">
      <c r="A18" s="182" t="s">
        <v>327</v>
      </c>
      <c r="B18" s="183">
        <v>2</v>
      </c>
      <c r="C18" s="181" t="s">
        <v>553</v>
      </c>
      <c r="D18" s="181" t="s">
        <v>554</v>
      </c>
    </row>
    <row r="19" spans="1:4" x14ac:dyDescent="0.3">
      <c r="A19" s="182" t="s">
        <v>327</v>
      </c>
      <c r="B19" s="183">
        <v>3</v>
      </c>
      <c r="C19" s="181" t="s">
        <v>555</v>
      </c>
      <c r="D19" s="181" t="s">
        <v>556</v>
      </c>
    </row>
    <row r="20" spans="1:4" x14ac:dyDescent="0.3">
      <c r="A20" s="182" t="s">
        <v>130</v>
      </c>
      <c r="B20" s="183">
        <v>1</v>
      </c>
      <c r="C20" s="181" t="s">
        <v>557</v>
      </c>
      <c r="D20" s="181" t="s">
        <v>558</v>
      </c>
    </row>
    <row r="21" spans="1:4" x14ac:dyDescent="0.3">
      <c r="A21" s="182" t="s">
        <v>130</v>
      </c>
      <c r="B21" s="183">
        <v>2</v>
      </c>
      <c r="C21" s="181" t="s">
        <v>559</v>
      </c>
      <c r="D21" s="181" t="s">
        <v>560</v>
      </c>
    </row>
    <row r="22" spans="1:4" x14ac:dyDescent="0.3">
      <c r="A22" s="182" t="s">
        <v>130</v>
      </c>
      <c r="B22" s="183">
        <v>3</v>
      </c>
      <c r="C22" s="181" t="s">
        <v>561</v>
      </c>
      <c r="D22" s="181" t="s">
        <v>562</v>
      </c>
    </row>
    <row r="23" spans="1:4" x14ac:dyDescent="0.3">
      <c r="A23" s="182" t="s">
        <v>316</v>
      </c>
      <c r="B23" s="183">
        <v>1</v>
      </c>
      <c r="C23" s="181" t="s">
        <v>563</v>
      </c>
      <c r="D23" s="181" t="s">
        <v>564</v>
      </c>
    </row>
    <row r="24" spans="1:4" x14ac:dyDescent="0.3">
      <c r="A24" s="182" t="s">
        <v>316</v>
      </c>
      <c r="B24" s="183">
        <v>2</v>
      </c>
      <c r="C24" s="181" t="s">
        <v>565</v>
      </c>
      <c r="D24" s="181" t="s">
        <v>566</v>
      </c>
    </row>
    <row r="25" spans="1:4" x14ac:dyDescent="0.3">
      <c r="A25" s="182" t="s">
        <v>316</v>
      </c>
      <c r="B25" s="183">
        <v>3</v>
      </c>
      <c r="C25" s="181" t="s">
        <v>567</v>
      </c>
      <c r="D25" s="181" t="s">
        <v>568</v>
      </c>
    </row>
    <row r="26" spans="1:4" x14ac:dyDescent="0.3">
      <c r="A26" s="182" t="s">
        <v>129</v>
      </c>
      <c r="B26" s="183">
        <v>1</v>
      </c>
      <c r="C26" s="181" t="s">
        <v>569</v>
      </c>
      <c r="D26" s="181" t="s">
        <v>570</v>
      </c>
    </row>
    <row r="27" spans="1:4" x14ac:dyDescent="0.3">
      <c r="A27" s="182" t="s">
        <v>129</v>
      </c>
      <c r="B27" s="183">
        <v>2</v>
      </c>
      <c r="C27" s="181" t="s">
        <v>571</v>
      </c>
      <c r="D27" s="181" t="s">
        <v>572</v>
      </c>
    </row>
    <row r="28" spans="1:4" x14ac:dyDescent="0.3">
      <c r="A28" s="182" t="s">
        <v>129</v>
      </c>
      <c r="B28" s="183">
        <v>3</v>
      </c>
      <c r="C28" s="181" t="s">
        <v>573</v>
      </c>
      <c r="D28" s="181" t="s">
        <v>574</v>
      </c>
    </row>
    <row r="29" spans="1:4" x14ac:dyDescent="0.3">
      <c r="A29" s="182" t="s">
        <v>322</v>
      </c>
      <c r="B29" s="183">
        <v>1</v>
      </c>
      <c r="C29" s="181" t="s">
        <v>575</v>
      </c>
      <c r="D29" s="181" t="s">
        <v>576</v>
      </c>
    </row>
    <row r="30" spans="1:4" x14ac:dyDescent="0.3">
      <c r="A30" s="182" t="s">
        <v>322</v>
      </c>
      <c r="B30" s="183">
        <v>2</v>
      </c>
      <c r="C30" s="181" t="s">
        <v>577</v>
      </c>
      <c r="D30" s="181" t="s">
        <v>578</v>
      </c>
    </row>
    <row r="31" spans="1:4" x14ac:dyDescent="0.3">
      <c r="A31" s="182" t="s">
        <v>322</v>
      </c>
      <c r="B31" s="183">
        <v>3</v>
      </c>
      <c r="C31" s="181" t="s">
        <v>579</v>
      </c>
      <c r="D31" s="181" t="s">
        <v>580</v>
      </c>
    </row>
    <row r="32" spans="1:4" x14ac:dyDescent="0.3">
      <c r="A32" s="182" t="s">
        <v>321</v>
      </c>
      <c r="B32" s="183">
        <v>1</v>
      </c>
      <c r="C32" s="181" t="s">
        <v>581</v>
      </c>
      <c r="D32" s="181" t="s">
        <v>582</v>
      </c>
    </row>
    <row r="33" spans="1:4" x14ac:dyDescent="0.3">
      <c r="A33" s="182" t="s">
        <v>321</v>
      </c>
      <c r="B33" s="183">
        <v>2</v>
      </c>
      <c r="C33" s="181" t="s">
        <v>583</v>
      </c>
      <c r="D33" s="181" t="s">
        <v>584</v>
      </c>
    </row>
    <row r="34" spans="1:4" x14ac:dyDescent="0.3">
      <c r="A34" s="182" t="s">
        <v>321</v>
      </c>
      <c r="B34" s="183">
        <v>3</v>
      </c>
      <c r="C34" s="181" t="s">
        <v>585</v>
      </c>
      <c r="D34" s="181" t="s">
        <v>586</v>
      </c>
    </row>
    <row r="35" spans="1:4" x14ac:dyDescent="0.3">
      <c r="A35" s="182" t="s">
        <v>325</v>
      </c>
      <c r="B35" s="183">
        <v>1</v>
      </c>
      <c r="C35" s="181" t="s">
        <v>587</v>
      </c>
      <c r="D35" s="181" t="s">
        <v>588</v>
      </c>
    </row>
    <row r="36" spans="1:4" x14ac:dyDescent="0.3">
      <c r="A36" s="182" t="s">
        <v>325</v>
      </c>
      <c r="B36" s="183">
        <v>2</v>
      </c>
      <c r="C36" s="181" t="s">
        <v>589</v>
      </c>
      <c r="D36" s="181" t="s">
        <v>590</v>
      </c>
    </row>
    <row r="37" spans="1:4" x14ac:dyDescent="0.3">
      <c r="A37" s="182" t="s">
        <v>325</v>
      </c>
      <c r="B37" s="183">
        <v>3</v>
      </c>
      <c r="C37" s="181" t="s">
        <v>591</v>
      </c>
      <c r="D37" s="181" t="s">
        <v>592</v>
      </c>
    </row>
    <row r="38" spans="1:4" x14ac:dyDescent="0.3">
      <c r="A38" s="182" t="s">
        <v>593</v>
      </c>
      <c r="B38" s="183">
        <v>1</v>
      </c>
      <c r="C38" s="181" t="s">
        <v>594</v>
      </c>
      <c r="D38" s="181" t="s">
        <v>595</v>
      </c>
    </row>
    <row r="39" spans="1:4" x14ac:dyDescent="0.3">
      <c r="A39" s="182" t="s">
        <v>593</v>
      </c>
      <c r="B39" s="183">
        <v>2</v>
      </c>
      <c r="C39" s="181" t="s">
        <v>596</v>
      </c>
      <c r="D39" s="181" t="s">
        <v>597</v>
      </c>
    </row>
    <row r="40" spans="1:4" x14ac:dyDescent="0.3">
      <c r="A40" s="182" t="s">
        <v>593</v>
      </c>
      <c r="B40" s="183">
        <v>3</v>
      </c>
      <c r="C40" s="181" t="s">
        <v>598</v>
      </c>
      <c r="D40" s="181" t="s">
        <v>599</v>
      </c>
    </row>
    <row r="41" spans="1:4" x14ac:dyDescent="0.3">
      <c r="A41" s="182" t="s">
        <v>330</v>
      </c>
      <c r="B41" s="183">
        <v>1</v>
      </c>
      <c r="C41" s="181" t="s">
        <v>600</v>
      </c>
      <c r="D41" s="181" t="s">
        <v>601</v>
      </c>
    </row>
    <row r="42" spans="1:4" x14ac:dyDescent="0.3">
      <c r="A42" s="182" t="s">
        <v>330</v>
      </c>
      <c r="B42" s="183">
        <v>2</v>
      </c>
      <c r="C42" s="181" t="s">
        <v>602</v>
      </c>
      <c r="D42" s="181" t="s">
        <v>603</v>
      </c>
    </row>
    <row r="43" spans="1:4" x14ac:dyDescent="0.3">
      <c r="A43" s="182" t="s">
        <v>330</v>
      </c>
      <c r="B43" s="183">
        <v>3</v>
      </c>
      <c r="C43" s="181" t="s">
        <v>604</v>
      </c>
      <c r="D43" s="181" t="s">
        <v>605</v>
      </c>
    </row>
    <row r="44" spans="1:4" x14ac:dyDescent="0.3">
      <c r="A44" s="182" t="s">
        <v>324</v>
      </c>
      <c r="B44" s="183">
        <v>1</v>
      </c>
      <c r="C44" s="181" t="s">
        <v>606</v>
      </c>
      <c r="D44" s="181" t="s">
        <v>607</v>
      </c>
    </row>
    <row r="45" spans="1:4" x14ac:dyDescent="0.3">
      <c r="A45" s="182" t="s">
        <v>324</v>
      </c>
      <c r="B45" s="183">
        <v>2</v>
      </c>
      <c r="C45" s="181" t="s">
        <v>608</v>
      </c>
      <c r="D45" s="181" t="s">
        <v>609</v>
      </c>
    </row>
    <row r="46" spans="1:4" x14ac:dyDescent="0.3">
      <c r="A46" s="182" t="s">
        <v>324</v>
      </c>
      <c r="B46" s="183">
        <v>3</v>
      </c>
      <c r="C46" s="181" t="s">
        <v>610</v>
      </c>
      <c r="D46" s="181" t="s">
        <v>611</v>
      </c>
    </row>
    <row r="47" spans="1:4" x14ac:dyDescent="0.3">
      <c r="A47" s="182" t="s">
        <v>326</v>
      </c>
      <c r="B47" s="183">
        <v>1</v>
      </c>
      <c r="C47" s="181" t="s">
        <v>612</v>
      </c>
      <c r="D47" s="181" t="s">
        <v>613</v>
      </c>
    </row>
    <row r="48" spans="1:4" x14ac:dyDescent="0.3">
      <c r="A48" s="182" t="s">
        <v>326</v>
      </c>
      <c r="B48" s="183">
        <v>2</v>
      </c>
      <c r="C48" s="181" t="s">
        <v>614</v>
      </c>
      <c r="D48" s="181" t="s">
        <v>615</v>
      </c>
    </row>
    <row r="49" spans="1:5" x14ac:dyDescent="0.3">
      <c r="A49" s="182" t="s">
        <v>326</v>
      </c>
      <c r="B49" s="183">
        <v>3</v>
      </c>
      <c r="C49" s="181" t="s">
        <v>616</v>
      </c>
      <c r="D49" s="181" t="s">
        <v>617</v>
      </c>
    </row>
    <row r="50" spans="1:5" x14ac:dyDescent="0.3">
      <c r="A50" s="177" t="s">
        <v>517</v>
      </c>
      <c r="B50" s="178" t="s">
        <v>73</v>
      </c>
      <c r="C50" s="177" t="s">
        <v>618</v>
      </c>
      <c r="D50" s="177" t="s">
        <v>518</v>
      </c>
      <c r="E50"/>
    </row>
    <row r="51" spans="1:5" x14ac:dyDescent="0.3">
      <c r="A51" s="179" t="s">
        <v>321</v>
      </c>
      <c r="B51" s="180">
        <v>1</v>
      </c>
      <c r="C51" s="181" t="s">
        <v>631</v>
      </c>
      <c r="D51" s="179" t="s">
        <v>619</v>
      </c>
      <c r="E51"/>
    </row>
    <row r="52" spans="1:5" x14ac:dyDescent="0.3">
      <c r="A52" s="179" t="s">
        <v>321</v>
      </c>
      <c r="B52" s="180">
        <v>1</v>
      </c>
      <c r="C52" s="181" t="s">
        <v>632</v>
      </c>
      <c r="D52" s="179" t="s">
        <v>620</v>
      </c>
      <c r="E52"/>
    </row>
    <row r="53" spans="1:5" x14ac:dyDescent="0.3">
      <c r="A53" s="179" t="s">
        <v>321</v>
      </c>
      <c r="B53" s="180">
        <v>2</v>
      </c>
      <c r="C53" s="181" t="s">
        <v>633</v>
      </c>
      <c r="D53" s="179" t="s">
        <v>621</v>
      </c>
      <c r="E53"/>
    </row>
    <row r="54" spans="1:5" x14ac:dyDescent="0.3">
      <c r="A54" s="179" t="s">
        <v>321</v>
      </c>
      <c r="B54" s="180">
        <v>2</v>
      </c>
      <c r="C54" s="181" t="s">
        <v>634</v>
      </c>
      <c r="D54" s="179" t="s">
        <v>622</v>
      </c>
      <c r="E54"/>
    </row>
    <row r="55" spans="1:5" x14ac:dyDescent="0.3">
      <c r="A55" s="179" t="s">
        <v>321</v>
      </c>
      <c r="B55" s="180">
        <v>3</v>
      </c>
      <c r="C55" s="181" t="s">
        <v>635</v>
      </c>
      <c r="D55" s="179" t="s">
        <v>623</v>
      </c>
      <c r="E55"/>
    </row>
    <row r="56" spans="1:5" x14ac:dyDescent="0.3">
      <c r="A56" s="179" t="s">
        <v>321</v>
      </c>
      <c r="B56" s="180">
        <v>3</v>
      </c>
      <c r="C56" s="181" t="s">
        <v>636</v>
      </c>
      <c r="D56" s="179" t="s">
        <v>624</v>
      </c>
      <c r="E56"/>
    </row>
    <row r="57" spans="1:5" x14ac:dyDescent="0.3">
      <c r="A57" s="179" t="s">
        <v>322</v>
      </c>
      <c r="B57" s="180">
        <v>1</v>
      </c>
      <c r="C57" s="181" t="s">
        <v>637</v>
      </c>
      <c r="D57" s="179" t="s">
        <v>625</v>
      </c>
      <c r="E57"/>
    </row>
    <row r="58" spans="1:5" x14ac:dyDescent="0.3">
      <c r="A58" s="179" t="s">
        <v>322</v>
      </c>
      <c r="B58" s="180">
        <v>1</v>
      </c>
      <c r="C58" s="181" t="s">
        <v>638</v>
      </c>
      <c r="D58" s="179" t="s">
        <v>626</v>
      </c>
      <c r="E58"/>
    </row>
    <row r="59" spans="1:5" x14ac:dyDescent="0.3">
      <c r="A59" s="179" t="s">
        <v>322</v>
      </c>
      <c r="B59" s="180">
        <v>2</v>
      </c>
      <c r="C59" s="181" t="s">
        <v>639</v>
      </c>
      <c r="D59" s="179" t="s">
        <v>627</v>
      </c>
      <c r="E59"/>
    </row>
    <row r="60" spans="1:5" x14ac:dyDescent="0.3">
      <c r="A60" s="179" t="s">
        <v>322</v>
      </c>
      <c r="B60" s="180">
        <v>2</v>
      </c>
      <c r="C60" s="181" t="s">
        <v>640</v>
      </c>
      <c r="D60" s="179" t="s">
        <v>628</v>
      </c>
      <c r="E60"/>
    </row>
    <row r="61" spans="1:5" x14ac:dyDescent="0.3">
      <c r="A61" s="179" t="s">
        <v>322</v>
      </c>
      <c r="B61" s="180">
        <v>3</v>
      </c>
      <c r="C61" s="181" t="s">
        <v>641</v>
      </c>
      <c r="D61" s="179" t="s">
        <v>629</v>
      </c>
      <c r="E61"/>
    </row>
    <row r="62" spans="1:5" x14ac:dyDescent="0.3">
      <c r="A62" s="179" t="s">
        <v>322</v>
      </c>
      <c r="B62" s="180">
        <v>3</v>
      </c>
      <c r="C62" s="181" t="s">
        <v>642</v>
      </c>
      <c r="D62" s="179" t="s">
        <v>630</v>
      </c>
      <c r="E62"/>
    </row>
  </sheetData>
  <pageMargins left="0.25" right="0.25" top="0.75" bottom="0.75" header="0.3" footer="0.3"/>
  <pageSetup paperSize="9" orientation="landscape"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EBC1-B188-43F6-8E3E-0A9F51E2D165}">
  <dimension ref="A1:E141"/>
  <sheetViews>
    <sheetView zoomScale="120" zoomScaleNormal="120" workbookViewId="0">
      <selection activeCell="C12" sqref="C12"/>
    </sheetView>
  </sheetViews>
  <sheetFormatPr defaultRowHeight="14.4" x14ac:dyDescent="0.3"/>
  <cols>
    <col min="1" max="1" width="23.33203125" bestFit="1" customWidth="1"/>
    <col min="2" max="2" width="8.21875" style="5" bestFit="1" customWidth="1"/>
    <col min="3" max="3" width="83.21875" bestFit="1" customWidth="1"/>
    <col min="4" max="4" width="67.77734375" bestFit="1" customWidth="1"/>
    <col min="5" max="5" width="152.33203125" bestFit="1" customWidth="1"/>
  </cols>
  <sheetData>
    <row r="1" spans="1:5" x14ac:dyDescent="0.3">
      <c r="A1" s="184" t="s">
        <v>55</v>
      </c>
      <c r="B1" s="184" t="s">
        <v>643</v>
      </c>
      <c r="C1" s="184" t="s">
        <v>644</v>
      </c>
      <c r="D1" s="184" t="s">
        <v>645</v>
      </c>
      <c r="E1" s="184" t="s">
        <v>944</v>
      </c>
    </row>
    <row r="2" spans="1:5" x14ac:dyDescent="0.3">
      <c r="A2" t="s">
        <v>95</v>
      </c>
      <c r="B2" s="5">
        <v>1</v>
      </c>
      <c r="C2" t="s">
        <v>646</v>
      </c>
      <c r="D2" t="s">
        <v>647</v>
      </c>
      <c r="E2" t="s">
        <v>945</v>
      </c>
    </row>
    <row r="3" spans="1:5" x14ac:dyDescent="0.3">
      <c r="A3" t="s">
        <v>95</v>
      </c>
      <c r="B3" s="5">
        <v>2</v>
      </c>
      <c r="C3" t="s">
        <v>648</v>
      </c>
      <c r="D3" t="s">
        <v>649</v>
      </c>
      <c r="E3" t="s">
        <v>945</v>
      </c>
    </row>
    <row r="4" spans="1:5" x14ac:dyDescent="0.3">
      <c r="A4" t="s">
        <v>95</v>
      </c>
      <c r="B4" s="5">
        <v>3</v>
      </c>
      <c r="C4" t="s">
        <v>650</v>
      </c>
      <c r="D4" t="s">
        <v>651</v>
      </c>
      <c r="E4" t="s">
        <v>945</v>
      </c>
    </row>
    <row r="5" spans="1:5" x14ac:dyDescent="0.3">
      <c r="A5" t="s">
        <v>95</v>
      </c>
      <c r="B5" s="5">
        <v>4</v>
      </c>
      <c r="C5" t="s">
        <v>652</v>
      </c>
      <c r="D5" t="s">
        <v>653</v>
      </c>
      <c r="E5" t="s">
        <v>945</v>
      </c>
    </row>
    <row r="6" spans="1:5" x14ac:dyDescent="0.3">
      <c r="A6" t="s">
        <v>95</v>
      </c>
      <c r="B6" s="5">
        <v>5</v>
      </c>
      <c r="C6" t="s">
        <v>654</v>
      </c>
      <c r="D6" t="s">
        <v>655</v>
      </c>
      <c r="E6" t="s">
        <v>945</v>
      </c>
    </row>
    <row r="7" spans="1:5" x14ac:dyDescent="0.3">
      <c r="A7" t="s">
        <v>97</v>
      </c>
      <c r="B7" s="5">
        <v>1</v>
      </c>
      <c r="C7" t="s">
        <v>656</v>
      </c>
      <c r="D7" t="s">
        <v>657</v>
      </c>
      <c r="E7" t="s">
        <v>946</v>
      </c>
    </row>
    <row r="8" spans="1:5" x14ac:dyDescent="0.3">
      <c r="A8" t="s">
        <v>97</v>
      </c>
      <c r="B8" s="5">
        <v>2</v>
      </c>
      <c r="C8" t="s">
        <v>658</v>
      </c>
      <c r="D8" t="s">
        <v>659</v>
      </c>
      <c r="E8" t="s">
        <v>946</v>
      </c>
    </row>
    <row r="9" spans="1:5" x14ac:dyDescent="0.3">
      <c r="A9" t="s">
        <v>97</v>
      </c>
      <c r="B9" s="5">
        <v>3</v>
      </c>
      <c r="C9" t="s">
        <v>660</v>
      </c>
      <c r="D9" t="s">
        <v>661</v>
      </c>
      <c r="E9" t="s">
        <v>946</v>
      </c>
    </row>
    <row r="10" spans="1:5" x14ac:dyDescent="0.3">
      <c r="A10" t="s">
        <v>97</v>
      </c>
      <c r="B10" s="5">
        <v>4</v>
      </c>
      <c r="C10" t="s">
        <v>662</v>
      </c>
      <c r="D10" t="s">
        <v>663</v>
      </c>
      <c r="E10" t="s">
        <v>946</v>
      </c>
    </row>
    <row r="11" spans="1:5" x14ac:dyDescent="0.3">
      <c r="A11" t="s">
        <v>97</v>
      </c>
      <c r="B11" s="5">
        <v>5</v>
      </c>
      <c r="C11" t="s">
        <v>664</v>
      </c>
      <c r="D11" t="s">
        <v>665</v>
      </c>
      <c r="E11" t="s">
        <v>946</v>
      </c>
    </row>
    <row r="12" spans="1:5" x14ac:dyDescent="0.3">
      <c r="A12" t="s">
        <v>99</v>
      </c>
      <c r="B12" s="5">
        <v>1</v>
      </c>
      <c r="C12" t="s">
        <v>666</v>
      </c>
      <c r="D12" t="s">
        <v>667</v>
      </c>
      <c r="E12" t="s">
        <v>947</v>
      </c>
    </row>
    <row r="13" spans="1:5" x14ac:dyDescent="0.3">
      <c r="A13" t="s">
        <v>99</v>
      </c>
      <c r="B13" s="5">
        <v>2</v>
      </c>
      <c r="C13" t="s">
        <v>668</v>
      </c>
      <c r="D13" t="s">
        <v>669</v>
      </c>
      <c r="E13" t="s">
        <v>947</v>
      </c>
    </row>
    <row r="14" spans="1:5" x14ac:dyDescent="0.3">
      <c r="A14" t="s">
        <v>99</v>
      </c>
      <c r="B14" s="5">
        <v>3</v>
      </c>
      <c r="C14" t="s">
        <v>670</v>
      </c>
      <c r="D14" t="s">
        <v>671</v>
      </c>
      <c r="E14" t="s">
        <v>947</v>
      </c>
    </row>
    <row r="15" spans="1:5" x14ac:dyDescent="0.3">
      <c r="A15" t="s">
        <v>99</v>
      </c>
      <c r="B15" s="5">
        <v>4</v>
      </c>
      <c r="C15" t="s">
        <v>672</v>
      </c>
      <c r="D15" t="s">
        <v>673</v>
      </c>
      <c r="E15" t="s">
        <v>947</v>
      </c>
    </row>
    <row r="16" spans="1:5" x14ac:dyDescent="0.3">
      <c r="A16" t="s">
        <v>99</v>
      </c>
      <c r="B16" s="5">
        <v>5</v>
      </c>
      <c r="C16" t="s">
        <v>674</v>
      </c>
      <c r="D16" t="s">
        <v>675</v>
      </c>
      <c r="E16" t="s">
        <v>947</v>
      </c>
    </row>
    <row r="17" spans="1:5" x14ac:dyDescent="0.3">
      <c r="A17" t="s">
        <v>101</v>
      </c>
      <c r="B17" s="5">
        <v>1</v>
      </c>
      <c r="C17" t="s">
        <v>676</v>
      </c>
      <c r="D17" t="s">
        <v>677</v>
      </c>
      <c r="E17" t="s">
        <v>948</v>
      </c>
    </row>
    <row r="18" spans="1:5" x14ac:dyDescent="0.3">
      <c r="A18" t="s">
        <v>101</v>
      </c>
      <c r="B18" s="5">
        <v>2</v>
      </c>
      <c r="C18" t="s">
        <v>678</v>
      </c>
      <c r="D18" t="s">
        <v>679</v>
      </c>
      <c r="E18" t="s">
        <v>948</v>
      </c>
    </row>
    <row r="19" spans="1:5" x14ac:dyDescent="0.3">
      <c r="A19" t="s">
        <v>101</v>
      </c>
      <c r="B19" s="5">
        <v>3</v>
      </c>
      <c r="C19" t="s">
        <v>680</v>
      </c>
      <c r="D19" t="s">
        <v>681</v>
      </c>
      <c r="E19" t="s">
        <v>948</v>
      </c>
    </row>
    <row r="20" spans="1:5" x14ac:dyDescent="0.3">
      <c r="A20" t="s">
        <v>101</v>
      </c>
      <c r="B20" s="5">
        <v>4</v>
      </c>
      <c r="C20" t="s">
        <v>682</v>
      </c>
      <c r="D20" t="s">
        <v>683</v>
      </c>
      <c r="E20" t="s">
        <v>948</v>
      </c>
    </row>
    <row r="21" spans="1:5" x14ac:dyDescent="0.3">
      <c r="A21" t="s">
        <v>101</v>
      </c>
      <c r="B21" s="5">
        <v>5</v>
      </c>
      <c r="C21" t="s">
        <v>684</v>
      </c>
      <c r="D21" t="s">
        <v>685</v>
      </c>
      <c r="E21" t="s">
        <v>948</v>
      </c>
    </row>
    <row r="22" spans="1:5" x14ac:dyDescent="0.3">
      <c r="A22" t="s">
        <v>103</v>
      </c>
      <c r="B22" s="5">
        <v>1</v>
      </c>
      <c r="C22" t="s">
        <v>686</v>
      </c>
      <c r="D22" t="s">
        <v>687</v>
      </c>
      <c r="E22" t="s">
        <v>949</v>
      </c>
    </row>
    <row r="23" spans="1:5" x14ac:dyDescent="0.3">
      <c r="A23" t="s">
        <v>103</v>
      </c>
      <c r="B23" s="5">
        <v>2</v>
      </c>
      <c r="C23" t="s">
        <v>688</v>
      </c>
      <c r="D23" t="s">
        <v>689</v>
      </c>
      <c r="E23" t="s">
        <v>949</v>
      </c>
    </row>
    <row r="24" spans="1:5" x14ac:dyDescent="0.3">
      <c r="A24" t="s">
        <v>103</v>
      </c>
      <c r="B24" s="5">
        <v>3</v>
      </c>
      <c r="C24" t="s">
        <v>690</v>
      </c>
      <c r="D24" t="s">
        <v>691</v>
      </c>
      <c r="E24" t="s">
        <v>949</v>
      </c>
    </row>
    <row r="25" spans="1:5" x14ac:dyDescent="0.3">
      <c r="A25" t="s">
        <v>103</v>
      </c>
      <c r="B25" s="5">
        <v>4</v>
      </c>
      <c r="C25" t="s">
        <v>692</v>
      </c>
      <c r="D25" t="s">
        <v>693</v>
      </c>
      <c r="E25" t="s">
        <v>949</v>
      </c>
    </row>
    <row r="26" spans="1:5" x14ac:dyDescent="0.3">
      <c r="A26" t="s">
        <v>103</v>
      </c>
      <c r="B26" s="5">
        <v>5</v>
      </c>
      <c r="C26" t="s">
        <v>694</v>
      </c>
      <c r="D26" t="s">
        <v>695</v>
      </c>
      <c r="E26" t="s">
        <v>949</v>
      </c>
    </row>
    <row r="27" spans="1:5" x14ac:dyDescent="0.3">
      <c r="A27" t="s">
        <v>98</v>
      </c>
      <c r="B27" s="5">
        <v>1</v>
      </c>
      <c r="C27" t="s">
        <v>696</v>
      </c>
      <c r="D27" t="s">
        <v>697</v>
      </c>
      <c r="E27" t="s">
        <v>950</v>
      </c>
    </row>
    <row r="28" spans="1:5" x14ac:dyDescent="0.3">
      <c r="A28" t="s">
        <v>98</v>
      </c>
      <c r="B28" s="5">
        <v>2</v>
      </c>
      <c r="C28" t="s">
        <v>698</v>
      </c>
      <c r="D28" t="s">
        <v>699</v>
      </c>
      <c r="E28" t="s">
        <v>950</v>
      </c>
    </row>
    <row r="29" spans="1:5" x14ac:dyDescent="0.3">
      <c r="A29" t="s">
        <v>98</v>
      </c>
      <c r="B29" s="5">
        <v>3</v>
      </c>
      <c r="C29" t="s">
        <v>700</v>
      </c>
      <c r="D29" t="s">
        <v>701</v>
      </c>
      <c r="E29" t="s">
        <v>950</v>
      </c>
    </row>
    <row r="30" spans="1:5" x14ac:dyDescent="0.3">
      <c r="A30" t="s">
        <v>98</v>
      </c>
      <c r="B30" s="5">
        <v>4</v>
      </c>
      <c r="C30" t="s">
        <v>702</v>
      </c>
      <c r="D30" t="s">
        <v>703</v>
      </c>
      <c r="E30" t="s">
        <v>950</v>
      </c>
    </row>
    <row r="31" spans="1:5" x14ac:dyDescent="0.3">
      <c r="A31" t="s">
        <v>98</v>
      </c>
      <c r="B31" s="5">
        <v>5</v>
      </c>
      <c r="C31" t="s">
        <v>704</v>
      </c>
      <c r="D31" t="s">
        <v>705</v>
      </c>
      <c r="E31" t="s">
        <v>950</v>
      </c>
    </row>
    <row r="32" spans="1:5" x14ac:dyDescent="0.3">
      <c r="A32" t="s">
        <v>100</v>
      </c>
      <c r="B32" s="5">
        <v>1</v>
      </c>
      <c r="C32" t="s">
        <v>706</v>
      </c>
      <c r="D32" t="s">
        <v>707</v>
      </c>
      <c r="E32" t="s">
        <v>951</v>
      </c>
    </row>
    <row r="33" spans="1:5" x14ac:dyDescent="0.3">
      <c r="A33" t="s">
        <v>100</v>
      </c>
      <c r="B33" s="5">
        <v>2</v>
      </c>
      <c r="C33" t="s">
        <v>708</v>
      </c>
      <c r="D33" t="s">
        <v>709</v>
      </c>
      <c r="E33" t="s">
        <v>951</v>
      </c>
    </row>
    <row r="34" spans="1:5" x14ac:dyDescent="0.3">
      <c r="A34" t="s">
        <v>100</v>
      </c>
      <c r="B34" s="5">
        <v>3</v>
      </c>
      <c r="C34" t="s">
        <v>710</v>
      </c>
      <c r="D34" t="s">
        <v>711</v>
      </c>
      <c r="E34" t="s">
        <v>951</v>
      </c>
    </row>
    <row r="35" spans="1:5" x14ac:dyDescent="0.3">
      <c r="A35" t="s">
        <v>100</v>
      </c>
      <c r="B35" s="5">
        <v>4</v>
      </c>
      <c r="C35" t="s">
        <v>712</v>
      </c>
      <c r="D35" t="s">
        <v>713</v>
      </c>
      <c r="E35" t="s">
        <v>951</v>
      </c>
    </row>
    <row r="36" spans="1:5" x14ac:dyDescent="0.3">
      <c r="A36" t="s">
        <v>100</v>
      </c>
      <c r="B36" s="5">
        <v>5</v>
      </c>
      <c r="C36" t="s">
        <v>714</v>
      </c>
      <c r="D36" t="s">
        <v>715</v>
      </c>
      <c r="E36" t="s">
        <v>951</v>
      </c>
    </row>
    <row r="37" spans="1:5" x14ac:dyDescent="0.3">
      <c r="A37" t="s">
        <v>102</v>
      </c>
      <c r="B37" s="5">
        <v>1</v>
      </c>
      <c r="C37" t="s">
        <v>716</v>
      </c>
      <c r="D37" t="s">
        <v>717</v>
      </c>
      <c r="E37" t="s">
        <v>952</v>
      </c>
    </row>
    <row r="38" spans="1:5" x14ac:dyDescent="0.3">
      <c r="A38" t="s">
        <v>102</v>
      </c>
      <c r="B38" s="5">
        <v>2</v>
      </c>
      <c r="C38" t="s">
        <v>718</v>
      </c>
      <c r="D38" t="s">
        <v>719</v>
      </c>
      <c r="E38" t="s">
        <v>952</v>
      </c>
    </row>
    <row r="39" spans="1:5" x14ac:dyDescent="0.3">
      <c r="A39" t="s">
        <v>102</v>
      </c>
      <c r="B39" s="5">
        <v>3</v>
      </c>
      <c r="C39" t="s">
        <v>720</v>
      </c>
      <c r="D39" t="s">
        <v>721</v>
      </c>
      <c r="E39" t="s">
        <v>952</v>
      </c>
    </row>
    <row r="40" spans="1:5" x14ac:dyDescent="0.3">
      <c r="A40" t="s">
        <v>102</v>
      </c>
      <c r="B40" s="5">
        <v>4</v>
      </c>
      <c r="C40" t="s">
        <v>722</v>
      </c>
      <c r="D40" t="s">
        <v>723</v>
      </c>
      <c r="E40" t="s">
        <v>952</v>
      </c>
    </row>
    <row r="41" spans="1:5" x14ac:dyDescent="0.3">
      <c r="A41" t="s">
        <v>102</v>
      </c>
      <c r="B41" s="5">
        <v>5</v>
      </c>
      <c r="C41" t="s">
        <v>724</v>
      </c>
      <c r="D41" t="s">
        <v>725</v>
      </c>
      <c r="E41" t="s">
        <v>952</v>
      </c>
    </row>
    <row r="42" spans="1:5" x14ac:dyDescent="0.3">
      <c r="A42" t="s">
        <v>96</v>
      </c>
      <c r="B42" s="5">
        <v>1</v>
      </c>
      <c r="C42" t="s">
        <v>726</v>
      </c>
      <c r="D42" t="s">
        <v>727</v>
      </c>
      <c r="E42" t="s">
        <v>953</v>
      </c>
    </row>
    <row r="43" spans="1:5" x14ac:dyDescent="0.3">
      <c r="A43" t="s">
        <v>96</v>
      </c>
      <c r="B43" s="5">
        <v>2</v>
      </c>
      <c r="C43" t="s">
        <v>728</v>
      </c>
      <c r="D43" t="s">
        <v>729</v>
      </c>
      <c r="E43" t="s">
        <v>953</v>
      </c>
    </row>
    <row r="44" spans="1:5" x14ac:dyDescent="0.3">
      <c r="A44" t="s">
        <v>96</v>
      </c>
      <c r="B44" s="5">
        <v>3</v>
      </c>
      <c r="C44" t="s">
        <v>730</v>
      </c>
      <c r="D44" t="s">
        <v>731</v>
      </c>
      <c r="E44" t="s">
        <v>953</v>
      </c>
    </row>
    <row r="45" spans="1:5" x14ac:dyDescent="0.3">
      <c r="A45" t="s">
        <v>96</v>
      </c>
      <c r="B45" s="5">
        <v>4</v>
      </c>
      <c r="C45" t="s">
        <v>732</v>
      </c>
      <c r="D45" t="s">
        <v>733</v>
      </c>
      <c r="E45" t="s">
        <v>953</v>
      </c>
    </row>
    <row r="46" spans="1:5" x14ac:dyDescent="0.3">
      <c r="A46" t="s">
        <v>96</v>
      </c>
      <c r="B46" s="5">
        <v>5</v>
      </c>
      <c r="C46" t="s">
        <v>734</v>
      </c>
      <c r="D46" t="s">
        <v>735</v>
      </c>
      <c r="E46" t="s">
        <v>953</v>
      </c>
    </row>
    <row r="47" spans="1:5" x14ac:dyDescent="0.3">
      <c r="A47" t="s">
        <v>5</v>
      </c>
      <c r="B47" s="5">
        <v>1</v>
      </c>
      <c r="C47" t="s">
        <v>736</v>
      </c>
      <c r="D47" t="s">
        <v>737</v>
      </c>
      <c r="E47" t="s">
        <v>954</v>
      </c>
    </row>
    <row r="48" spans="1:5" x14ac:dyDescent="0.3">
      <c r="A48" t="s">
        <v>5</v>
      </c>
      <c r="B48" s="5">
        <v>2</v>
      </c>
      <c r="C48" t="s">
        <v>738</v>
      </c>
      <c r="D48" t="s">
        <v>739</v>
      </c>
      <c r="E48" t="s">
        <v>954</v>
      </c>
    </row>
    <row r="49" spans="1:5" x14ac:dyDescent="0.3">
      <c r="A49" t="s">
        <v>5</v>
      </c>
      <c r="B49" s="5">
        <v>3</v>
      </c>
      <c r="C49" t="s">
        <v>740</v>
      </c>
      <c r="D49" t="s">
        <v>741</v>
      </c>
      <c r="E49" t="s">
        <v>954</v>
      </c>
    </row>
    <row r="50" spans="1:5" x14ac:dyDescent="0.3">
      <c r="A50" t="s">
        <v>5</v>
      </c>
      <c r="B50" s="5">
        <v>4</v>
      </c>
      <c r="C50" t="s">
        <v>742</v>
      </c>
      <c r="D50" t="s">
        <v>743</v>
      </c>
      <c r="E50" t="s">
        <v>954</v>
      </c>
    </row>
    <row r="51" spans="1:5" x14ac:dyDescent="0.3">
      <c r="A51" t="s">
        <v>5</v>
      </c>
      <c r="B51" s="5">
        <v>5</v>
      </c>
      <c r="C51" t="s">
        <v>744</v>
      </c>
      <c r="D51" t="s">
        <v>745</v>
      </c>
      <c r="E51" t="s">
        <v>954</v>
      </c>
    </row>
    <row r="52" spans="1:5" x14ac:dyDescent="0.3">
      <c r="A52" t="s">
        <v>746</v>
      </c>
      <c r="B52" s="5">
        <v>1</v>
      </c>
      <c r="C52" t="s">
        <v>747</v>
      </c>
      <c r="D52" t="s">
        <v>748</v>
      </c>
      <c r="E52" t="s">
        <v>955</v>
      </c>
    </row>
    <row r="53" spans="1:5" x14ac:dyDescent="0.3">
      <c r="A53" t="s">
        <v>746</v>
      </c>
      <c r="B53" s="5">
        <v>2</v>
      </c>
      <c r="C53" t="s">
        <v>749</v>
      </c>
      <c r="D53" t="s">
        <v>750</v>
      </c>
      <c r="E53" t="s">
        <v>955</v>
      </c>
    </row>
    <row r="54" spans="1:5" x14ac:dyDescent="0.3">
      <c r="A54" t="s">
        <v>746</v>
      </c>
      <c r="B54" s="5">
        <v>3</v>
      </c>
      <c r="C54" t="s">
        <v>751</v>
      </c>
      <c r="D54" t="s">
        <v>752</v>
      </c>
      <c r="E54" t="s">
        <v>955</v>
      </c>
    </row>
    <row r="55" spans="1:5" x14ac:dyDescent="0.3">
      <c r="A55" t="s">
        <v>746</v>
      </c>
      <c r="B55" s="5">
        <v>4</v>
      </c>
      <c r="C55" t="s">
        <v>753</v>
      </c>
      <c r="D55" t="s">
        <v>754</v>
      </c>
      <c r="E55" t="s">
        <v>955</v>
      </c>
    </row>
    <row r="56" spans="1:5" x14ac:dyDescent="0.3">
      <c r="A56" t="s">
        <v>746</v>
      </c>
      <c r="B56" s="5">
        <v>5</v>
      </c>
      <c r="C56" t="s">
        <v>755</v>
      </c>
      <c r="D56" t="s">
        <v>756</v>
      </c>
      <c r="E56" t="s">
        <v>955</v>
      </c>
    </row>
    <row r="57" spans="1:5" x14ac:dyDescent="0.3">
      <c r="A57" t="s">
        <v>757</v>
      </c>
      <c r="B57" s="5">
        <v>1</v>
      </c>
      <c r="C57" t="s">
        <v>758</v>
      </c>
      <c r="D57" t="s">
        <v>759</v>
      </c>
      <c r="E57" t="s">
        <v>956</v>
      </c>
    </row>
    <row r="58" spans="1:5" x14ac:dyDescent="0.3">
      <c r="A58" t="s">
        <v>757</v>
      </c>
      <c r="B58" s="5">
        <v>2</v>
      </c>
      <c r="C58" t="s">
        <v>760</v>
      </c>
      <c r="D58" t="s">
        <v>761</v>
      </c>
      <c r="E58" t="s">
        <v>956</v>
      </c>
    </row>
    <row r="59" spans="1:5" x14ac:dyDescent="0.3">
      <c r="A59" t="s">
        <v>757</v>
      </c>
      <c r="B59" s="5">
        <v>3</v>
      </c>
      <c r="C59" t="s">
        <v>762</v>
      </c>
      <c r="D59" t="s">
        <v>763</v>
      </c>
      <c r="E59" t="s">
        <v>956</v>
      </c>
    </row>
    <row r="60" spans="1:5" x14ac:dyDescent="0.3">
      <c r="A60" t="s">
        <v>757</v>
      </c>
      <c r="B60" s="5">
        <v>4</v>
      </c>
      <c r="C60" t="s">
        <v>764</v>
      </c>
      <c r="D60" t="s">
        <v>765</v>
      </c>
      <c r="E60" t="s">
        <v>956</v>
      </c>
    </row>
    <row r="61" spans="1:5" x14ac:dyDescent="0.3">
      <c r="A61" t="s">
        <v>757</v>
      </c>
      <c r="B61" s="5">
        <v>5</v>
      </c>
      <c r="C61" t="s">
        <v>766</v>
      </c>
      <c r="D61" t="s">
        <v>767</v>
      </c>
      <c r="E61" t="s">
        <v>956</v>
      </c>
    </row>
    <row r="62" spans="1:5" x14ac:dyDescent="0.3">
      <c r="A62" t="s">
        <v>768</v>
      </c>
      <c r="B62" s="5">
        <v>1</v>
      </c>
      <c r="C62" t="s">
        <v>769</v>
      </c>
      <c r="D62" t="s">
        <v>770</v>
      </c>
      <c r="E62" t="s">
        <v>957</v>
      </c>
    </row>
    <row r="63" spans="1:5" x14ac:dyDescent="0.3">
      <c r="A63" t="s">
        <v>768</v>
      </c>
      <c r="B63" s="5">
        <v>2</v>
      </c>
      <c r="C63" t="s">
        <v>771</v>
      </c>
      <c r="D63" t="s">
        <v>772</v>
      </c>
      <c r="E63" t="s">
        <v>957</v>
      </c>
    </row>
    <row r="64" spans="1:5" x14ac:dyDescent="0.3">
      <c r="A64" t="s">
        <v>768</v>
      </c>
      <c r="B64" s="5">
        <v>3</v>
      </c>
      <c r="C64" t="s">
        <v>773</v>
      </c>
      <c r="D64" t="s">
        <v>774</v>
      </c>
      <c r="E64" t="s">
        <v>957</v>
      </c>
    </row>
    <row r="65" spans="1:5" x14ac:dyDescent="0.3">
      <c r="A65" t="s">
        <v>768</v>
      </c>
      <c r="B65" s="5">
        <v>4</v>
      </c>
      <c r="C65" t="s">
        <v>775</v>
      </c>
      <c r="D65" t="s">
        <v>776</v>
      </c>
      <c r="E65" t="s">
        <v>957</v>
      </c>
    </row>
    <row r="66" spans="1:5" x14ac:dyDescent="0.3">
      <c r="A66" t="s">
        <v>768</v>
      </c>
      <c r="B66" s="5">
        <v>5</v>
      </c>
      <c r="C66" t="s">
        <v>777</v>
      </c>
      <c r="D66" t="s">
        <v>778</v>
      </c>
      <c r="E66" t="s">
        <v>957</v>
      </c>
    </row>
    <row r="67" spans="1:5" x14ac:dyDescent="0.3">
      <c r="A67" t="s">
        <v>779</v>
      </c>
      <c r="B67" s="5">
        <v>1</v>
      </c>
      <c r="C67" t="s">
        <v>780</v>
      </c>
      <c r="D67" t="s">
        <v>781</v>
      </c>
      <c r="E67" t="s">
        <v>958</v>
      </c>
    </row>
    <row r="68" spans="1:5" x14ac:dyDescent="0.3">
      <c r="A68" t="s">
        <v>779</v>
      </c>
      <c r="B68" s="5">
        <v>2</v>
      </c>
      <c r="C68" t="s">
        <v>782</v>
      </c>
      <c r="D68" t="s">
        <v>783</v>
      </c>
      <c r="E68" t="s">
        <v>958</v>
      </c>
    </row>
    <row r="69" spans="1:5" x14ac:dyDescent="0.3">
      <c r="A69" t="s">
        <v>779</v>
      </c>
      <c r="B69" s="5">
        <v>3</v>
      </c>
      <c r="C69" t="s">
        <v>784</v>
      </c>
      <c r="D69" t="s">
        <v>785</v>
      </c>
      <c r="E69" t="s">
        <v>958</v>
      </c>
    </row>
    <row r="70" spans="1:5" x14ac:dyDescent="0.3">
      <c r="A70" t="s">
        <v>779</v>
      </c>
      <c r="B70" s="5">
        <v>4</v>
      </c>
      <c r="C70" t="s">
        <v>786</v>
      </c>
      <c r="D70" t="s">
        <v>787</v>
      </c>
      <c r="E70" t="s">
        <v>958</v>
      </c>
    </row>
    <row r="71" spans="1:5" x14ac:dyDescent="0.3">
      <c r="A71" t="s">
        <v>779</v>
      </c>
      <c r="B71" s="5">
        <v>5</v>
      </c>
      <c r="C71" t="s">
        <v>788</v>
      </c>
      <c r="D71" t="s">
        <v>789</v>
      </c>
      <c r="E71" t="s">
        <v>958</v>
      </c>
    </row>
    <row r="72" spans="1:5" x14ac:dyDescent="0.3">
      <c r="A72" t="s">
        <v>790</v>
      </c>
      <c r="B72" s="5">
        <v>1</v>
      </c>
      <c r="C72" t="s">
        <v>791</v>
      </c>
      <c r="D72" t="s">
        <v>792</v>
      </c>
      <c r="E72" t="s">
        <v>959</v>
      </c>
    </row>
    <row r="73" spans="1:5" x14ac:dyDescent="0.3">
      <c r="A73" t="s">
        <v>790</v>
      </c>
      <c r="B73" s="5">
        <v>2</v>
      </c>
      <c r="C73" t="s">
        <v>793</v>
      </c>
      <c r="D73" t="s">
        <v>794</v>
      </c>
      <c r="E73" t="s">
        <v>959</v>
      </c>
    </row>
    <row r="74" spans="1:5" x14ac:dyDescent="0.3">
      <c r="A74" t="s">
        <v>790</v>
      </c>
      <c r="B74" s="5">
        <v>3</v>
      </c>
      <c r="C74" t="s">
        <v>795</v>
      </c>
      <c r="D74" t="s">
        <v>796</v>
      </c>
      <c r="E74" t="s">
        <v>959</v>
      </c>
    </row>
    <row r="75" spans="1:5" x14ac:dyDescent="0.3">
      <c r="A75" t="s">
        <v>790</v>
      </c>
      <c r="B75" s="5">
        <v>4</v>
      </c>
      <c r="C75" t="s">
        <v>797</v>
      </c>
      <c r="D75" t="s">
        <v>798</v>
      </c>
      <c r="E75" t="s">
        <v>959</v>
      </c>
    </row>
    <row r="76" spans="1:5" x14ac:dyDescent="0.3">
      <c r="A76" t="s">
        <v>790</v>
      </c>
      <c r="B76" s="5">
        <v>5</v>
      </c>
      <c r="C76" t="s">
        <v>799</v>
      </c>
      <c r="D76" t="s">
        <v>800</v>
      </c>
      <c r="E76" t="s">
        <v>959</v>
      </c>
    </row>
    <row r="77" spans="1:5" x14ac:dyDescent="0.3">
      <c r="A77" t="s">
        <v>801</v>
      </c>
      <c r="B77" s="5">
        <v>1</v>
      </c>
      <c r="C77" t="s">
        <v>802</v>
      </c>
      <c r="D77" t="s">
        <v>803</v>
      </c>
      <c r="E77" t="s">
        <v>960</v>
      </c>
    </row>
    <row r="78" spans="1:5" x14ac:dyDescent="0.3">
      <c r="A78" t="s">
        <v>801</v>
      </c>
      <c r="B78" s="5">
        <v>2</v>
      </c>
      <c r="C78" t="s">
        <v>804</v>
      </c>
      <c r="D78" t="s">
        <v>805</v>
      </c>
      <c r="E78" t="s">
        <v>960</v>
      </c>
    </row>
    <row r="79" spans="1:5" x14ac:dyDescent="0.3">
      <c r="A79" t="s">
        <v>801</v>
      </c>
      <c r="B79" s="5">
        <v>3</v>
      </c>
      <c r="C79" t="s">
        <v>806</v>
      </c>
      <c r="D79" t="s">
        <v>807</v>
      </c>
      <c r="E79" t="s">
        <v>960</v>
      </c>
    </row>
    <row r="80" spans="1:5" x14ac:dyDescent="0.3">
      <c r="A80" t="s">
        <v>801</v>
      </c>
      <c r="B80" s="5">
        <v>4</v>
      </c>
      <c r="C80" t="s">
        <v>808</v>
      </c>
      <c r="D80" t="s">
        <v>809</v>
      </c>
      <c r="E80" t="s">
        <v>960</v>
      </c>
    </row>
    <row r="81" spans="1:5" x14ac:dyDescent="0.3">
      <c r="A81" t="s">
        <v>801</v>
      </c>
      <c r="B81" s="5">
        <v>5</v>
      </c>
      <c r="C81" t="s">
        <v>810</v>
      </c>
      <c r="D81" t="s">
        <v>811</v>
      </c>
      <c r="E81" t="s">
        <v>960</v>
      </c>
    </row>
    <row r="82" spans="1:5" x14ac:dyDescent="0.3">
      <c r="A82" t="s">
        <v>812</v>
      </c>
      <c r="B82" s="5">
        <v>1</v>
      </c>
      <c r="C82" t="s">
        <v>813</v>
      </c>
      <c r="D82" t="s">
        <v>814</v>
      </c>
      <c r="E82" t="s">
        <v>961</v>
      </c>
    </row>
    <row r="83" spans="1:5" x14ac:dyDescent="0.3">
      <c r="A83" t="s">
        <v>812</v>
      </c>
      <c r="B83" s="5">
        <v>2</v>
      </c>
      <c r="C83" t="s">
        <v>815</v>
      </c>
      <c r="D83" t="s">
        <v>816</v>
      </c>
      <c r="E83" t="s">
        <v>961</v>
      </c>
    </row>
    <row r="84" spans="1:5" x14ac:dyDescent="0.3">
      <c r="A84" t="s">
        <v>812</v>
      </c>
      <c r="B84" s="5">
        <v>3</v>
      </c>
      <c r="C84" t="s">
        <v>817</v>
      </c>
      <c r="D84" t="s">
        <v>818</v>
      </c>
      <c r="E84" t="s">
        <v>961</v>
      </c>
    </row>
    <row r="85" spans="1:5" x14ac:dyDescent="0.3">
      <c r="A85" t="s">
        <v>812</v>
      </c>
      <c r="B85" s="5">
        <v>4</v>
      </c>
      <c r="C85" t="s">
        <v>819</v>
      </c>
      <c r="D85" t="s">
        <v>820</v>
      </c>
      <c r="E85" t="s">
        <v>961</v>
      </c>
    </row>
    <row r="86" spans="1:5" x14ac:dyDescent="0.3">
      <c r="A86" t="s">
        <v>812</v>
      </c>
      <c r="B86" s="5">
        <v>5</v>
      </c>
      <c r="C86" t="s">
        <v>821</v>
      </c>
      <c r="D86" t="s">
        <v>822</v>
      </c>
      <c r="E86" t="s">
        <v>961</v>
      </c>
    </row>
    <row r="87" spans="1:5" x14ac:dyDescent="0.3">
      <c r="A87" t="s">
        <v>823</v>
      </c>
      <c r="B87" s="5">
        <v>1</v>
      </c>
      <c r="C87" t="s">
        <v>824</v>
      </c>
      <c r="D87" t="s">
        <v>825</v>
      </c>
      <c r="E87" t="s">
        <v>962</v>
      </c>
    </row>
    <row r="88" spans="1:5" x14ac:dyDescent="0.3">
      <c r="A88" t="s">
        <v>823</v>
      </c>
      <c r="B88" s="5">
        <v>2</v>
      </c>
      <c r="C88" t="s">
        <v>826</v>
      </c>
      <c r="D88" t="s">
        <v>827</v>
      </c>
      <c r="E88" t="s">
        <v>962</v>
      </c>
    </row>
    <row r="89" spans="1:5" x14ac:dyDescent="0.3">
      <c r="A89" t="s">
        <v>823</v>
      </c>
      <c r="B89" s="5">
        <v>3</v>
      </c>
      <c r="C89" t="s">
        <v>828</v>
      </c>
      <c r="D89" t="s">
        <v>829</v>
      </c>
      <c r="E89" t="s">
        <v>962</v>
      </c>
    </row>
    <row r="90" spans="1:5" x14ac:dyDescent="0.3">
      <c r="A90" t="s">
        <v>823</v>
      </c>
      <c r="B90" s="5">
        <v>4</v>
      </c>
      <c r="C90" t="s">
        <v>830</v>
      </c>
      <c r="D90" t="s">
        <v>831</v>
      </c>
      <c r="E90" t="s">
        <v>962</v>
      </c>
    </row>
    <row r="91" spans="1:5" x14ac:dyDescent="0.3">
      <c r="A91" t="s">
        <v>823</v>
      </c>
      <c r="B91" s="5">
        <v>5</v>
      </c>
      <c r="C91" t="s">
        <v>832</v>
      </c>
      <c r="D91" t="s">
        <v>833</v>
      </c>
      <c r="E91" t="s">
        <v>962</v>
      </c>
    </row>
    <row r="92" spans="1:5" x14ac:dyDescent="0.3">
      <c r="A92" t="s">
        <v>834</v>
      </c>
      <c r="B92" s="5">
        <v>1</v>
      </c>
      <c r="C92" t="s">
        <v>835</v>
      </c>
      <c r="D92" t="s">
        <v>836</v>
      </c>
      <c r="E92" t="s">
        <v>963</v>
      </c>
    </row>
    <row r="93" spans="1:5" x14ac:dyDescent="0.3">
      <c r="A93" t="s">
        <v>834</v>
      </c>
      <c r="B93" s="5">
        <v>2</v>
      </c>
      <c r="C93" t="s">
        <v>837</v>
      </c>
      <c r="D93" t="s">
        <v>838</v>
      </c>
      <c r="E93" t="s">
        <v>963</v>
      </c>
    </row>
    <row r="94" spans="1:5" x14ac:dyDescent="0.3">
      <c r="A94" t="s">
        <v>834</v>
      </c>
      <c r="B94" s="5">
        <v>3</v>
      </c>
      <c r="C94" t="s">
        <v>839</v>
      </c>
      <c r="D94" t="s">
        <v>840</v>
      </c>
      <c r="E94" t="s">
        <v>963</v>
      </c>
    </row>
    <row r="95" spans="1:5" x14ac:dyDescent="0.3">
      <c r="A95" t="s">
        <v>834</v>
      </c>
      <c r="B95" s="5">
        <v>4</v>
      </c>
      <c r="C95" t="s">
        <v>841</v>
      </c>
      <c r="D95" t="s">
        <v>842</v>
      </c>
      <c r="E95" t="s">
        <v>963</v>
      </c>
    </row>
    <row r="96" spans="1:5" x14ac:dyDescent="0.3">
      <c r="A96" t="s">
        <v>834</v>
      </c>
      <c r="B96" s="5">
        <v>5</v>
      </c>
      <c r="C96" t="s">
        <v>843</v>
      </c>
      <c r="D96" t="s">
        <v>844</v>
      </c>
      <c r="E96" t="s">
        <v>963</v>
      </c>
    </row>
    <row r="97" spans="1:5" x14ac:dyDescent="0.3">
      <c r="A97" t="s">
        <v>845</v>
      </c>
      <c r="B97" s="5">
        <v>1</v>
      </c>
      <c r="C97" t="s">
        <v>846</v>
      </c>
      <c r="D97" t="s">
        <v>847</v>
      </c>
    </row>
    <row r="98" spans="1:5" x14ac:dyDescent="0.3">
      <c r="A98" t="s">
        <v>845</v>
      </c>
      <c r="B98" s="5">
        <v>2</v>
      </c>
      <c r="C98" t="s">
        <v>848</v>
      </c>
      <c r="D98" t="s">
        <v>849</v>
      </c>
    </row>
    <row r="99" spans="1:5" x14ac:dyDescent="0.3">
      <c r="A99" t="s">
        <v>845</v>
      </c>
      <c r="B99" s="5">
        <v>3</v>
      </c>
      <c r="C99" t="s">
        <v>850</v>
      </c>
      <c r="D99" t="s">
        <v>851</v>
      </c>
    </row>
    <row r="100" spans="1:5" x14ac:dyDescent="0.3">
      <c r="A100" t="s">
        <v>845</v>
      </c>
      <c r="B100" s="5">
        <v>4</v>
      </c>
      <c r="C100" t="s">
        <v>852</v>
      </c>
      <c r="D100" t="s">
        <v>853</v>
      </c>
    </row>
    <row r="101" spans="1:5" x14ac:dyDescent="0.3">
      <c r="A101" t="s">
        <v>845</v>
      </c>
      <c r="B101" s="5">
        <v>5</v>
      </c>
      <c r="C101" t="s">
        <v>854</v>
      </c>
      <c r="D101" t="s">
        <v>855</v>
      </c>
    </row>
    <row r="102" spans="1:5" x14ac:dyDescent="0.3">
      <c r="A102" t="s">
        <v>856</v>
      </c>
      <c r="B102" s="5">
        <v>1</v>
      </c>
      <c r="C102" t="s">
        <v>857</v>
      </c>
      <c r="D102" t="s">
        <v>858</v>
      </c>
      <c r="E102" t="s">
        <v>964</v>
      </c>
    </row>
    <row r="103" spans="1:5" x14ac:dyDescent="0.3">
      <c r="A103" t="s">
        <v>856</v>
      </c>
      <c r="B103" s="5">
        <v>2</v>
      </c>
      <c r="C103" t="s">
        <v>859</v>
      </c>
      <c r="D103" t="s">
        <v>860</v>
      </c>
      <c r="E103" t="s">
        <v>964</v>
      </c>
    </row>
    <row r="104" spans="1:5" x14ac:dyDescent="0.3">
      <c r="A104" t="s">
        <v>856</v>
      </c>
      <c r="B104" s="5">
        <v>3</v>
      </c>
      <c r="C104" t="s">
        <v>861</v>
      </c>
      <c r="D104" t="s">
        <v>862</v>
      </c>
      <c r="E104" t="s">
        <v>964</v>
      </c>
    </row>
    <row r="105" spans="1:5" x14ac:dyDescent="0.3">
      <c r="A105" t="s">
        <v>856</v>
      </c>
      <c r="B105" s="5">
        <v>4</v>
      </c>
      <c r="C105" t="s">
        <v>863</v>
      </c>
      <c r="D105" t="s">
        <v>864</v>
      </c>
      <c r="E105" t="s">
        <v>964</v>
      </c>
    </row>
    <row r="106" spans="1:5" x14ac:dyDescent="0.3">
      <c r="A106" t="s">
        <v>856</v>
      </c>
      <c r="B106" s="5">
        <v>5</v>
      </c>
      <c r="C106" t="s">
        <v>865</v>
      </c>
      <c r="D106" t="s">
        <v>866</v>
      </c>
      <c r="E106" t="s">
        <v>964</v>
      </c>
    </row>
    <row r="107" spans="1:5" x14ac:dyDescent="0.3">
      <c r="A107" t="s">
        <v>867</v>
      </c>
      <c r="B107" s="5">
        <v>1</v>
      </c>
      <c r="C107" t="s">
        <v>868</v>
      </c>
      <c r="D107" t="s">
        <v>869</v>
      </c>
      <c r="E107" t="s">
        <v>965</v>
      </c>
    </row>
    <row r="108" spans="1:5" x14ac:dyDescent="0.3">
      <c r="A108" t="s">
        <v>867</v>
      </c>
      <c r="B108" s="5">
        <v>2</v>
      </c>
      <c r="C108" t="s">
        <v>870</v>
      </c>
      <c r="D108" t="s">
        <v>871</v>
      </c>
      <c r="E108" t="s">
        <v>965</v>
      </c>
    </row>
    <row r="109" spans="1:5" x14ac:dyDescent="0.3">
      <c r="A109" t="s">
        <v>867</v>
      </c>
      <c r="B109" s="5">
        <v>3</v>
      </c>
      <c r="C109" t="s">
        <v>872</v>
      </c>
      <c r="D109" t="s">
        <v>873</v>
      </c>
      <c r="E109" t="s">
        <v>965</v>
      </c>
    </row>
    <row r="110" spans="1:5" x14ac:dyDescent="0.3">
      <c r="A110" t="s">
        <v>867</v>
      </c>
      <c r="B110" s="5">
        <v>4</v>
      </c>
      <c r="C110" t="s">
        <v>874</v>
      </c>
      <c r="D110" t="s">
        <v>875</v>
      </c>
      <c r="E110" t="s">
        <v>965</v>
      </c>
    </row>
    <row r="111" spans="1:5" x14ac:dyDescent="0.3">
      <c r="A111" t="s">
        <v>867</v>
      </c>
      <c r="B111" s="5">
        <v>5</v>
      </c>
      <c r="C111" t="s">
        <v>876</v>
      </c>
      <c r="D111" t="s">
        <v>877</v>
      </c>
      <c r="E111" t="s">
        <v>965</v>
      </c>
    </row>
    <row r="112" spans="1:5" x14ac:dyDescent="0.3">
      <c r="A112" t="s">
        <v>878</v>
      </c>
      <c r="B112" s="5">
        <v>1</v>
      </c>
      <c r="C112" t="s">
        <v>879</v>
      </c>
      <c r="D112" t="s">
        <v>880</v>
      </c>
      <c r="E112" t="s">
        <v>966</v>
      </c>
    </row>
    <row r="113" spans="1:5" x14ac:dyDescent="0.3">
      <c r="A113" t="s">
        <v>878</v>
      </c>
      <c r="B113" s="5">
        <v>2</v>
      </c>
      <c r="C113" t="s">
        <v>881</v>
      </c>
      <c r="D113" t="s">
        <v>882</v>
      </c>
      <c r="E113" t="s">
        <v>966</v>
      </c>
    </row>
    <row r="114" spans="1:5" x14ac:dyDescent="0.3">
      <c r="A114" t="s">
        <v>878</v>
      </c>
      <c r="B114" s="5">
        <v>3</v>
      </c>
      <c r="C114" t="s">
        <v>883</v>
      </c>
      <c r="D114" t="s">
        <v>884</v>
      </c>
      <c r="E114" t="s">
        <v>966</v>
      </c>
    </row>
    <row r="115" spans="1:5" x14ac:dyDescent="0.3">
      <c r="A115" t="s">
        <v>878</v>
      </c>
      <c r="B115" s="5">
        <v>4</v>
      </c>
      <c r="C115" t="s">
        <v>885</v>
      </c>
      <c r="D115" t="s">
        <v>886</v>
      </c>
      <c r="E115" t="s">
        <v>966</v>
      </c>
    </row>
    <row r="116" spans="1:5" x14ac:dyDescent="0.3">
      <c r="A116" t="s">
        <v>878</v>
      </c>
      <c r="B116" s="5">
        <v>5</v>
      </c>
      <c r="C116" t="s">
        <v>887</v>
      </c>
      <c r="D116" t="s">
        <v>888</v>
      </c>
      <c r="E116" t="s">
        <v>966</v>
      </c>
    </row>
    <row r="117" spans="1:5" x14ac:dyDescent="0.3">
      <c r="A117" t="s">
        <v>889</v>
      </c>
      <c r="B117" s="5">
        <v>1</v>
      </c>
      <c r="C117" t="s">
        <v>890</v>
      </c>
      <c r="D117" t="s">
        <v>891</v>
      </c>
      <c r="E117" t="s">
        <v>967</v>
      </c>
    </row>
    <row r="118" spans="1:5" x14ac:dyDescent="0.3">
      <c r="A118" t="s">
        <v>889</v>
      </c>
      <c r="B118" s="5">
        <v>2</v>
      </c>
      <c r="C118" t="s">
        <v>892</v>
      </c>
      <c r="D118" t="s">
        <v>893</v>
      </c>
      <c r="E118" t="s">
        <v>967</v>
      </c>
    </row>
    <row r="119" spans="1:5" x14ac:dyDescent="0.3">
      <c r="A119" t="s">
        <v>889</v>
      </c>
      <c r="B119" s="5">
        <v>3</v>
      </c>
      <c r="C119" t="s">
        <v>894</v>
      </c>
      <c r="D119" t="s">
        <v>895</v>
      </c>
      <c r="E119" t="s">
        <v>967</v>
      </c>
    </row>
    <row r="120" spans="1:5" x14ac:dyDescent="0.3">
      <c r="A120" t="s">
        <v>889</v>
      </c>
      <c r="B120" s="5">
        <v>4</v>
      </c>
      <c r="C120" t="s">
        <v>896</v>
      </c>
      <c r="D120" t="s">
        <v>897</v>
      </c>
      <c r="E120" t="s">
        <v>967</v>
      </c>
    </row>
    <row r="121" spans="1:5" x14ac:dyDescent="0.3">
      <c r="A121" t="s">
        <v>889</v>
      </c>
      <c r="B121" s="5">
        <v>5</v>
      </c>
      <c r="C121" t="s">
        <v>898</v>
      </c>
      <c r="D121" t="s">
        <v>899</v>
      </c>
      <c r="E121" t="s">
        <v>967</v>
      </c>
    </row>
    <row r="122" spans="1:5" x14ac:dyDescent="0.3">
      <c r="A122" t="s">
        <v>900</v>
      </c>
      <c r="B122" s="5">
        <v>1</v>
      </c>
      <c r="C122" t="s">
        <v>901</v>
      </c>
      <c r="D122" t="s">
        <v>902</v>
      </c>
      <c r="E122" t="s">
        <v>968</v>
      </c>
    </row>
    <row r="123" spans="1:5" x14ac:dyDescent="0.3">
      <c r="A123" t="s">
        <v>900</v>
      </c>
      <c r="B123" s="5">
        <v>2</v>
      </c>
      <c r="C123" t="s">
        <v>903</v>
      </c>
      <c r="D123" t="s">
        <v>904</v>
      </c>
      <c r="E123" t="s">
        <v>968</v>
      </c>
    </row>
    <row r="124" spans="1:5" x14ac:dyDescent="0.3">
      <c r="A124" t="s">
        <v>900</v>
      </c>
      <c r="B124" s="5">
        <v>3</v>
      </c>
      <c r="C124" t="s">
        <v>905</v>
      </c>
      <c r="D124" t="s">
        <v>906</v>
      </c>
      <c r="E124" t="s">
        <v>968</v>
      </c>
    </row>
    <row r="125" spans="1:5" x14ac:dyDescent="0.3">
      <c r="A125" t="s">
        <v>900</v>
      </c>
      <c r="B125" s="5">
        <v>4</v>
      </c>
      <c r="C125" t="s">
        <v>907</v>
      </c>
      <c r="D125" t="s">
        <v>908</v>
      </c>
      <c r="E125" t="s">
        <v>968</v>
      </c>
    </row>
    <row r="126" spans="1:5" x14ac:dyDescent="0.3">
      <c r="A126" t="s">
        <v>900</v>
      </c>
      <c r="B126" s="5">
        <v>5</v>
      </c>
      <c r="C126" t="s">
        <v>909</v>
      </c>
      <c r="D126" t="s">
        <v>910</v>
      </c>
      <c r="E126" t="s">
        <v>968</v>
      </c>
    </row>
    <row r="127" spans="1:5" x14ac:dyDescent="0.3">
      <c r="A127" t="s">
        <v>911</v>
      </c>
      <c r="B127" s="5">
        <v>1</v>
      </c>
      <c r="C127" t="s">
        <v>912</v>
      </c>
      <c r="D127" t="s">
        <v>913</v>
      </c>
      <c r="E127" t="s">
        <v>952</v>
      </c>
    </row>
    <row r="128" spans="1:5" x14ac:dyDescent="0.3">
      <c r="A128" t="s">
        <v>911</v>
      </c>
      <c r="B128" s="5">
        <v>2</v>
      </c>
      <c r="C128" t="s">
        <v>914</v>
      </c>
      <c r="D128" t="s">
        <v>915</v>
      </c>
      <c r="E128" t="s">
        <v>952</v>
      </c>
    </row>
    <row r="129" spans="1:5" x14ac:dyDescent="0.3">
      <c r="A129" t="s">
        <v>911</v>
      </c>
      <c r="B129" s="5">
        <v>3</v>
      </c>
      <c r="C129" t="s">
        <v>916</v>
      </c>
      <c r="D129" t="s">
        <v>917</v>
      </c>
      <c r="E129" t="s">
        <v>952</v>
      </c>
    </row>
    <row r="130" spans="1:5" x14ac:dyDescent="0.3">
      <c r="A130" t="s">
        <v>911</v>
      </c>
      <c r="B130" s="5">
        <v>4</v>
      </c>
      <c r="C130" t="s">
        <v>918</v>
      </c>
      <c r="D130" t="s">
        <v>919</v>
      </c>
      <c r="E130" t="s">
        <v>952</v>
      </c>
    </row>
    <row r="131" spans="1:5" x14ac:dyDescent="0.3">
      <c r="A131" t="s">
        <v>911</v>
      </c>
      <c r="B131" s="5">
        <v>5</v>
      </c>
      <c r="C131" t="s">
        <v>920</v>
      </c>
      <c r="D131" t="s">
        <v>921</v>
      </c>
      <c r="E131" t="s">
        <v>952</v>
      </c>
    </row>
    <row r="132" spans="1:5" x14ac:dyDescent="0.3">
      <c r="A132" t="s">
        <v>922</v>
      </c>
      <c r="B132" s="5">
        <v>1</v>
      </c>
      <c r="C132" t="s">
        <v>923</v>
      </c>
      <c r="D132" t="s">
        <v>924</v>
      </c>
      <c r="E132" t="s">
        <v>969</v>
      </c>
    </row>
    <row r="133" spans="1:5" x14ac:dyDescent="0.3">
      <c r="A133" t="s">
        <v>922</v>
      </c>
      <c r="B133" s="5">
        <v>2</v>
      </c>
      <c r="C133" t="s">
        <v>925</v>
      </c>
      <c r="D133" t="s">
        <v>926</v>
      </c>
      <c r="E133" t="s">
        <v>969</v>
      </c>
    </row>
    <row r="134" spans="1:5" x14ac:dyDescent="0.3">
      <c r="A134" t="s">
        <v>922</v>
      </c>
      <c r="B134" s="5">
        <v>3</v>
      </c>
      <c r="C134" t="s">
        <v>927</v>
      </c>
      <c r="D134" t="s">
        <v>928</v>
      </c>
      <c r="E134" t="s">
        <v>969</v>
      </c>
    </row>
    <row r="135" spans="1:5" x14ac:dyDescent="0.3">
      <c r="A135" t="s">
        <v>922</v>
      </c>
      <c r="B135" s="5">
        <v>4</v>
      </c>
      <c r="C135" t="s">
        <v>929</v>
      </c>
      <c r="D135" t="s">
        <v>930</v>
      </c>
      <c r="E135" t="s">
        <v>969</v>
      </c>
    </row>
    <row r="136" spans="1:5" x14ac:dyDescent="0.3">
      <c r="A136" t="s">
        <v>922</v>
      </c>
      <c r="B136" s="5">
        <v>5</v>
      </c>
      <c r="C136" t="s">
        <v>931</v>
      </c>
      <c r="D136" t="s">
        <v>932</v>
      </c>
      <c r="E136" t="s">
        <v>969</v>
      </c>
    </row>
    <row r="137" spans="1:5" x14ac:dyDescent="0.3">
      <c r="A137" t="s">
        <v>453</v>
      </c>
      <c r="B137" s="5">
        <v>1</v>
      </c>
      <c r="C137" t="s">
        <v>933</v>
      </c>
      <c r="D137" t="s">
        <v>934</v>
      </c>
      <c r="E137" t="s">
        <v>970</v>
      </c>
    </row>
    <row r="138" spans="1:5" x14ac:dyDescent="0.3">
      <c r="A138" t="s">
        <v>453</v>
      </c>
      <c r="B138" s="5">
        <v>2</v>
      </c>
      <c r="C138" t="s">
        <v>935</v>
      </c>
      <c r="D138" t="s">
        <v>936</v>
      </c>
      <c r="E138" t="s">
        <v>970</v>
      </c>
    </row>
    <row r="139" spans="1:5" x14ac:dyDescent="0.3">
      <c r="A139" t="s">
        <v>453</v>
      </c>
      <c r="B139" s="5">
        <v>3</v>
      </c>
      <c r="C139" t="s">
        <v>937</v>
      </c>
      <c r="D139" t="s">
        <v>938</v>
      </c>
      <c r="E139" t="s">
        <v>970</v>
      </c>
    </row>
    <row r="140" spans="1:5" x14ac:dyDescent="0.3">
      <c r="A140" t="s">
        <v>453</v>
      </c>
      <c r="B140" s="5">
        <v>4</v>
      </c>
      <c r="C140" t="s">
        <v>939</v>
      </c>
      <c r="D140" t="s">
        <v>940</v>
      </c>
      <c r="E140" t="s">
        <v>970</v>
      </c>
    </row>
    <row r="141" spans="1:5" x14ac:dyDescent="0.3">
      <c r="A141" t="s">
        <v>453</v>
      </c>
      <c r="B141" s="5">
        <v>5</v>
      </c>
      <c r="C141" t="s">
        <v>941</v>
      </c>
      <c r="D141" t="s">
        <v>942</v>
      </c>
      <c r="E141" t="s">
        <v>970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009AB-B27C-4CA0-B2E4-90AA5876E3A8}">
  <sheetPr codeName="Foglio7"/>
  <dimension ref="A2:B42"/>
  <sheetViews>
    <sheetView topLeftCell="A15" workbookViewId="0">
      <selection activeCell="B40" sqref="B40"/>
    </sheetView>
  </sheetViews>
  <sheetFormatPr defaultRowHeight="18" x14ac:dyDescent="0.35"/>
  <cols>
    <col min="2" max="2" width="8.88671875" style="202"/>
  </cols>
  <sheetData>
    <row r="2" spans="1:2" x14ac:dyDescent="0.35">
      <c r="A2" t="s">
        <v>338</v>
      </c>
    </row>
    <row r="3" spans="1:2" x14ac:dyDescent="0.35">
      <c r="B3" s="202" t="s">
        <v>337</v>
      </c>
    </row>
    <row r="4" spans="1:2" x14ac:dyDescent="0.35">
      <c r="B4" s="202" t="s">
        <v>339</v>
      </c>
    </row>
    <row r="5" spans="1:2" x14ac:dyDescent="0.35">
      <c r="B5" s="202" t="s">
        <v>340</v>
      </c>
    </row>
    <row r="9" spans="1:2" x14ac:dyDescent="0.3">
      <c r="B9" s="229" t="s">
        <v>1075</v>
      </c>
    </row>
    <row r="10" spans="1:2" x14ac:dyDescent="0.3">
      <c r="B10" s="229" t="s">
        <v>1076</v>
      </c>
    </row>
    <row r="11" spans="1:2" x14ac:dyDescent="0.3">
      <c r="B11" s="229" t="s">
        <v>1077</v>
      </c>
    </row>
    <row r="12" spans="1:2" x14ac:dyDescent="0.3">
      <c r="B12" s="229" t="s">
        <v>1078</v>
      </c>
    </row>
    <row r="13" spans="1:2" x14ac:dyDescent="0.3">
      <c r="B13" s="229" t="s">
        <v>1079</v>
      </c>
    </row>
    <row r="14" spans="1:2" x14ac:dyDescent="0.3">
      <c r="B14" s="229" t="s">
        <v>1080</v>
      </c>
    </row>
    <row r="15" spans="1:2" x14ac:dyDescent="0.3">
      <c r="B15" s="229" t="s">
        <v>1081</v>
      </c>
    </row>
    <row r="16" spans="1:2" x14ac:dyDescent="0.3">
      <c r="B16" s="229" t="s">
        <v>1082</v>
      </c>
    </row>
    <row r="17" spans="2:2" x14ac:dyDescent="0.3">
      <c r="B17" s="229" t="s">
        <v>1083</v>
      </c>
    </row>
    <row r="18" spans="2:2" x14ac:dyDescent="0.3">
      <c r="B18" s="229" t="s">
        <v>1084</v>
      </c>
    </row>
    <row r="19" spans="2:2" x14ac:dyDescent="0.3">
      <c r="B19" s="229" t="s">
        <v>1085</v>
      </c>
    </row>
    <row r="20" spans="2:2" x14ac:dyDescent="0.3">
      <c r="B20" s="229" t="s">
        <v>1086</v>
      </c>
    </row>
    <row r="21" spans="2:2" x14ac:dyDescent="0.3">
      <c r="B21" s="229" t="s">
        <v>1087</v>
      </c>
    </row>
    <row r="22" spans="2:2" x14ac:dyDescent="0.3">
      <c r="B22" s="229" t="s">
        <v>1088</v>
      </c>
    </row>
    <row r="23" spans="2:2" x14ac:dyDescent="0.3">
      <c r="B23" s="229" t="s">
        <v>1089</v>
      </c>
    </row>
    <row r="24" spans="2:2" x14ac:dyDescent="0.3">
      <c r="B24" s="229" t="s">
        <v>1090</v>
      </c>
    </row>
    <row r="25" spans="2:2" x14ac:dyDescent="0.3">
      <c r="B25" s="229" t="s">
        <v>1091</v>
      </c>
    </row>
    <row r="26" spans="2:2" x14ac:dyDescent="0.3">
      <c r="B26" s="229" t="s">
        <v>1092</v>
      </c>
    </row>
    <row r="27" spans="2:2" x14ac:dyDescent="0.3">
      <c r="B27" s="229" t="s">
        <v>1093</v>
      </c>
    </row>
    <row r="28" spans="2:2" x14ac:dyDescent="0.3">
      <c r="B28" s="229" t="s">
        <v>1094</v>
      </c>
    </row>
    <row r="29" spans="2:2" x14ac:dyDescent="0.3">
      <c r="B29" s="229" t="s">
        <v>1095</v>
      </c>
    </row>
    <row r="30" spans="2:2" x14ac:dyDescent="0.3">
      <c r="B30" s="229" t="s">
        <v>1096</v>
      </c>
    </row>
    <row r="31" spans="2:2" x14ac:dyDescent="0.3">
      <c r="B31" s="229" t="s">
        <v>1097</v>
      </c>
    </row>
    <row r="32" spans="2:2" x14ac:dyDescent="0.3">
      <c r="B32" s="229" t="s">
        <v>1098</v>
      </c>
    </row>
    <row r="33" spans="2:2" x14ac:dyDescent="0.3">
      <c r="B33" s="229" t="s">
        <v>1099</v>
      </c>
    </row>
    <row r="34" spans="2:2" x14ac:dyDescent="0.3">
      <c r="B34" s="229" t="s">
        <v>1100</v>
      </c>
    </row>
    <row r="35" spans="2:2" x14ac:dyDescent="0.3">
      <c r="B35" s="229" t="s">
        <v>1101</v>
      </c>
    </row>
    <row r="36" spans="2:2" x14ac:dyDescent="0.3">
      <c r="B36" s="229" t="s">
        <v>1102</v>
      </c>
    </row>
    <row r="37" spans="2:2" x14ac:dyDescent="0.3">
      <c r="B37" s="229" t="s">
        <v>1103</v>
      </c>
    </row>
    <row r="38" spans="2:2" x14ac:dyDescent="0.3">
      <c r="B38" s="229" t="s">
        <v>1104</v>
      </c>
    </row>
    <row r="39" spans="2:2" x14ac:dyDescent="0.3">
      <c r="B39" s="229" t="s">
        <v>1105</v>
      </c>
    </row>
    <row r="40" spans="2:2" x14ac:dyDescent="0.3">
      <c r="B40" s="229" t="s">
        <v>1106</v>
      </c>
    </row>
    <row r="41" spans="2:2" x14ac:dyDescent="0.3">
      <c r="B41" s="229" t="s">
        <v>1107</v>
      </c>
    </row>
    <row r="42" spans="2:2" x14ac:dyDescent="0.3">
      <c r="B42" s="229" t="s">
        <v>1108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B100-37FF-49B7-BA62-9B514C951ADB}">
  <dimension ref="A1:D1"/>
  <sheetViews>
    <sheetView zoomScale="150" zoomScaleNormal="150" workbookViewId="0">
      <selection activeCell="G9" sqref="G9"/>
    </sheetView>
  </sheetViews>
  <sheetFormatPr defaultRowHeight="14.4" x14ac:dyDescent="0.3"/>
  <sheetData>
    <row r="1" spans="1:4" x14ac:dyDescent="0.3">
      <c r="A1" s="57" t="s">
        <v>17</v>
      </c>
      <c r="B1" s="63" t="s">
        <v>509</v>
      </c>
      <c r="C1" s="63"/>
      <c r="D1" s="63" t="s">
        <v>510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3D2C-31A2-4FB2-8C65-46AAAF8E5DD1}">
  <dimension ref="A1:L150"/>
  <sheetViews>
    <sheetView topLeftCell="A7" zoomScale="194" zoomScaleNormal="194" workbookViewId="0">
      <selection activeCell="E24" sqref="E24"/>
    </sheetView>
  </sheetViews>
  <sheetFormatPr defaultRowHeight="13.8" x14ac:dyDescent="0.3"/>
  <cols>
    <col min="1" max="10" width="8.21875" style="57" customWidth="1"/>
    <col min="11" max="11" width="8.21875" style="54" customWidth="1"/>
    <col min="12" max="12" width="8.21875" style="57" customWidth="1"/>
    <col min="13" max="16384" width="8.88671875" style="57"/>
  </cols>
  <sheetData>
    <row r="1" spans="1:12" ht="17.399999999999999" x14ac:dyDescent="0.3">
      <c r="A1" s="56" t="s">
        <v>65</v>
      </c>
      <c r="I1" s="58"/>
      <c r="L1" s="59" t="s">
        <v>371</v>
      </c>
    </row>
    <row r="3" spans="1:12" x14ac:dyDescent="0.3">
      <c r="A3" s="60" t="s">
        <v>0</v>
      </c>
      <c r="B3" s="61" t="s">
        <v>345</v>
      </c>
      <c r="C3" s="61"/>
      <c r="D3" s="62"/>
      <c r="E3" s="63" t="s">
        <v>348</v>
      </c>
      <c r="F3" s="64"/>
      <c r="G3" s="61"/>
      <c r="H3" s="62"/>
      <c r="I3" s="63" t="s">
        <v>364</v>
      </c>
      <c r="J3" s="61" t="s">
        <v>365</v>
      </c>
      <c r="K3" s="65"/>
      <c r="L3" s="61"/>
    </row>
    <row r="4" spans="1:12" x14ac:dyDescent="0.3">
      <c r="A4" s="60" t="s">
        <v>1</v>
      </c>
      <c r="B4" s="66" t="s">
        <v>344</v>
      </c>
      <c r="C4" s="66"/>
      <c r="D4" s="67"/>
      <c r="E4" s="63" t="s">
        <v>349</v>
      </c>
      <c r="F4" s="68" t="s">
        <v>350</v>
      </c>
      <c r="G4" s="66"/>
      <c r="H4" s="67"/>
      <c r="I4" s="63" t="s">
        <v>4</v>
      </c>
      <c r="J4" s="66" t="s">
        <v>347</v>
      </c>
      <c r="K4" s="69"/>
      <c r="L4" s="66"/>
    </row>
    <row r="5" spans="1:12" x14ac:dyDescent="0.3">
      <c r="A5" s="60" t="s">
        <v>343</v>
      </c>
      <c r="B5" s="66" t="s">
        <v>346</v>
      </c>
      <c r="C5" s="66"/>
      <c r="D5" s="67"/>
      <c r="E5" s="63" t="s">
        <v>362</v>
      </c>
      <c r="F5" s="68" t="s">
        <v>419</v>
      </c>
      <c r="G5" s="66"/>
      <c r="H5" s="67"/>
      <c r="I5" s="63" t="s">
        <v>5</v>
      </c>
      <c r="J5" s="66" t="s">
        <v>62</v>
      </c>
      <c r="K5" s="70" t="s">
        <v>363</v>
      </c>
      <c r="L5" s="66"/>
    </row>
    <row r="7" spans="1:12" ht="17.399999999999999" x14ac:dyDescent="0.3">
      <c r="F7" s="71" t="s">
        <v>7</v>
      </c>
    </row>
    <row r="8" spans="1:12" ht="8.4" customHeight="1" x14ac:dyDescent="0.3"/>
    <row r="9" spans="1:12" x14ac:dyDescent="0.3">
      <c r="B9" s="101" t="s">
        <v>8</v>
      </c>
      <c r="C9" s="102"/>
      <c r="D9" s="102"/>
      <c r="E9" s="102"/>
      <c r="F9" s="101" t="s">
        <v>9</v>
      </c>
      <c r="G9" s="102"/>
      <c r="H9" s="102"/>
      <c r="I9" s="102"/>
      <c r="J9" s="101" t="s">
        <v>10</v>
      </c>
    </row>
    <row r="10" spans="1:12" x14ac:dyDescent="0.3">
      <c r="A10" s="110" t="s">
        <v>11</v>
      </c>
      <c r="C10" s="54">
        <v>1</v>
      </c>
      <c r="D10" s="74"/>
      <c r="E10" s="79" t="s">
        <v>12</v>
      </c>
      <c r="G10" s="54">
        <v>4</v>
      </c>
      <c r="H10" s="74"/>
      <c r="I10" s="79" t="s">
        <v>18</v>
      </c>
      <c r="K10" s="54">
        <v>2</v>
      </c>
    </row>
    <row r="11" spans="1:12" x14ac:dyDescent="0.3">
      <c r="A11" s="110" t="s">
        <v>14</v>
      </c>
      <c r="C11" s="54">
        <v>2</v>
      </c>
      <c r="D11" s="74"/>
      <c r="E11" s="79" t="s">
        <v>16</v>
      </c>
      <c r="G11" s="54">
        <v>3</v>
      </c>
      <c r="H11" s="74"/>
      <c r="I11" s="79" t="s">
        <v>19</v>
      </c>
      <c r="K11" s="54">
        <v>2</v>
      </c>
    </row>
    <row r="12" spans="1:12" x14ac:dyDescent="0.3">
      <c r="A12" s="110" t="s">
        <v>15</v>
      </c>
      <c r="C12" s="54">
        <v>2</v>
      </c>
      <c r="D12" s="74"/>
      <c r="E12" s="79" t="s">
        <v>368</v>
      </c>
      <c r="G12" s="54">
        <v>3</v>
      </c>
      <c r="H12" s="74"/>
      <c r="I12" s="79" t="s">
        <v>369</v>
      </c>
      <c r="K12" s="54">
        <v>3</v>
      </c>
    </row>
    <row r="13" spans="1:12" x14ac:dyDescent="0.3">
      <c r="C13" s="75"/>
      <c r="G13" s="75"/>
      <c r="K13" s="75"/>
    </row>
    <row r="14" spans="1:12" ht="17.399999999999999" x14ac:dyDescent="0.3">
      <c r="F14" s="71" t="s">
        <v>21</v>
      </c>
    </row>
    <row r="15" spans="1:12" ht="9" customHeight="1" x14ac:dyDescent="0.3"/>
    <row r="16" spans="1:12" x14ac:dyDescent="0.3">
      <c r="B16" s="101" t="s">
        <v>53</v>
      </c>
      <c r="C16" s="101"/>
      <c r="D16" s="101"/>
      <c r="E16" s="101"/>
      <c r="F16" s="101" t="s">
        <v>22</v>
      </c>
      <c r="G16" s="101"/>
      <c r="H16" s="101"/>
      <c r="I16" s="101"/>
      <c r="J16" s="101" t="s">
        <v>54</v>
      </c>
    </row>
    <row r="17" spans="1:12" x14ac:dyDescent="0.3">
      <c r="A17" s="60" t="s">
        <v>33</v>
      </c>
      <c r="C17" s="54">
        <v>0</v>
      </c>
      <c r="D17" s="74"/>
      <c r="E17" s="63" t="s">
        <v>352</v>
      </c>
      <c r="G17" s="54">
        <v>0</v>
      </c>
      <c r="H17" s="74"/>
      <c r="I17" s="63" t="s">
        <v>31</v>
      </c>
      <c r="K17" s="54">
        <v>0</v>
      </c>
    </row>
    <row r="18" spans="1:12" x14ac:dyDescent="0.3">
      <c r="A18" s="60" t="s">
        <v>23</v>
      </c>
      <c r="C18" s="54">
        <v>2</v>
      </c>
      <c r="D18" s="74"/>
      <c r="E18" s="63" t="s">
        <v>32</v>
      </c>
      <c r="G18" s="54">
        <v>4</v>
      </c>
      <c r="H18" s="74"/>
      <c r="I18" s="63" t="s">
        <v>358</v>
      </c>
      <c r="K18" s="54">
        <v>2</v>
      </c>
    </row>
    <row r="19" spans="1:12" x14ac:dyDescent="0.3">
      <c r="A19" s="60" t="s">
        <v>351</v>
      </c>
      <c r="C19" s="54">
        <v>0</v>
      </c>
      <c r="D19" s="74"/>
      <c r="E19" s="63" t="s">
        <v>353</v>
      </c>
      <c r="G19" s="54">
        <v>0</v>
      </c>
      <c r="H19" s="74"/>
      <c r="I19" s="63" t="s">
        <v>34</v>
      </c>
      <c r="K19" s="54">
        <v>0</v>
      </c>
    </row>
    <row r="20" spans="1:12" x14ac:dyDescent="0.3">
      <c r="A20" s="60" t="s">
        <v>38</v>
      </c>
      <c r="C20" s="54">
        <v>0</v>
      </c>
      <c r="D20" s="74"/>
      <c r="E20" s="63" t="s">
        <v>354</v>
      </c>
      <c r="G20" s="54">
        <v>1</v>
      </c>
      <c r="H20" s="74"/>
      <c r="I20" s="63" t="s">
        <v>45</v>
      </c>
      <c r="K20" s="54">
        <v>3</v>
      </c>
    </row>
    <row r="21" spans="1:12" x14ac:dyDescent="0.3">
      <c r="A21" s="60" t="s">
        <v>40</v>
      </c>
      <c r="C21" s="54">
        <v>0</v>
      </c>
      <c r="D21" s="74"/>
      <c r="E21" s="63" t="s">
        <v>27</v>
      </c>
      <c r="G21" s="54">
        <v>0</v>
      </c>
      <c r="H21" s="74"/>
      <c r="I21" s="63" t="s">
        <v>48</v>
      </c>
      <c r="K21" s="54">
        <v>0</v>
      </c>
    </row>
    <row r="22" spans="1:12" x14ac:dyDescent="0.3">
      <c r="A22" s="60" t="s">
        <v>41</v>
      </c>
      <c r="C22" s="54">
        <v>0</v>
      </c>
      <c r="D22" s="74"/>
      <c r="E22" s="63" t="s">
        <v>39</v>
      </c>
      <c r="G22" s="54">
        <v>0</v>
      </c>
      <c r="H22" s="74"/>
      <c r="I22" s="63" t="s">
        <v>49</v>
      </c>
      <c r="K22" s="54">
        <v>0</v>
      </c>
    </row>
    <row r="23" spans="1:12" x14ac:dyDescent="0.3">
      <c r="A23" s="60" t="s">
        <v>42</v>
      </c>
      <c r="C23" s="54">
        <v>0</v>
      </c>
      <c r="D23" s="74"/>
      <c r="E23" s="63" t="s">
        <v>28</v>
      </c>
      <c r="G23" s="54">
        <v>2</v>
      </c>
      <c r="H23" s="74"/>
      <c r="I23" s="63" t="s">
        <v>50</v>
      </c>
      <c r="K23" s="54">
        <v>3</v>
      </c>
    </row>
    <row r="24" spans="1:12" x14ac:dyDescent="0.3">
      <c r="A24" s="60" t="s">
        <v>24</v>
      </c>
      <c r="C24" s="54">
        <v>0</v>
      </c>
      <c r="D24" s="74"/>
      <c r="E24" s="63" t="s">
        <v>355</v>
      </c>
      <c r="G24" s="54">
        <v>1</v>
      </c>
      <c r="H24" s="74"/>
      <c r="I24" s="63" t="s">
        <v>51</v>
      </c>
      <c r="K24" s="54">
        <v>0</v>
      </c>
    </row>
    <row r="25" spans="1:12" x14ac:dyDescent="0.3">
      <c r="A25" s="60" t="s">
        <v>44</v>
      </c>
      <c r="C25" s="54">
        <v>1</v>
      </c>
      <c r="D25" s="74"/>
      <c r="E25" s="63" t="s">
        <v>356</v>
      </c>
      <c r="F25" s="111" t="s">
        <v>357</v>
      </c>
      <c r="G25" s="54">
        <v>3</v>
      </c>
      <c r="H25" s="74"/>
      <c r="I25" s="63" t="s">
        <v>359</v>
      </c>
      <c r="K25" s="54">
        <v>0</v>
      </c>
    </row>
    <row r="26" spans="1:12" x14ac:dyDescent="0.3">
      <c r="A26" s="77"/>
      <c r="C26" s="78"/>
      <c r="D26" s="74"/>
      <c r="E26" s="77"/>
      <c r="G26" s="78"/>
      <c r="H26" s="74"/>
      <c r="I26" s="77"/>
      <c r="K26" s="78"/>
    </row>
    <row r="27" spans="1:12" x14ac:dyDescent="0.3">
      <c r="C27" s="75"/>
      <c r="G27" s="75"/>
      <c r="K27" s="75"/>
    </row>
    <row r="28" spans="1:12" ht="13.8" customHeight="1" x14ac:dyDescent="0.3">
      <c r="A28" s="138" t="s">
        <v>56</v>
      </c>
      <c r="B28" s="112" t="s">
        <v>73</v>
      </c>
      <c r="C28" s="113" t="s">
        <v>87</v>
      </c>
      <c r="D28" s="61"/>
      <c r="E28" s="61"/>
      <c r="G28" s="73"/>
      <c r="H28" s="73"/>
      <c r="I28" s="101" t="s">
        <v>57</v>
      </c>
      <c r="J28" s="73"/>
      <c r="K28" s="72"/>
      <c r="L28" s="72"/>
    </row>
    <row r="29" spans="1:12" s="73" customFormat="1" x14ac:dyDescent="0.3">
      <c r="A29" s="143" t="s">
        <v>360</v>
      </c>
      <c r="B29" s="69">
        <v>1</v>
      </c>
      <c r="C29" s="82" t="s">
        <v>408</v>
      </c>
      <c r="D29" s="66"/>
      <c r="E29" s="66"/>
      <c r="F29" s="66"/>
      <c r="G29" s="57"/>
      <c r="H29" s="137" t="s">
        <v>366</v>
      </c>
      <c r="I29" s="57"/>
      <c r="J29" s="54">
        <v>5</v>
      </c>
      <c r="K29" s="54"/>
      <c r="L29" s="54"/>
    </row>
    <row r="30" spans="1:12" x14ac:dyDescent="0.3">
      <c r="A30" s="143" t="s">
        <v>360</v>
      </c>
      <c r="B30" s="69">
        <v>2</v>
      </c>
      <c r="C30" s="82" t="s">
        <v>409</v>
      </c>
      <c r="D30" s="66"/>
      <c r="E30" s="66"/>
      <c r="F30" s="66"/>
      <c r="H30" s="137" t="s">
        <v>367</v>
      </c>
      <c r="J30" s="54">
        <v>7</v>
      </c>
      <c r="L30" s="54"/>
    </row>
    <row r="31" spans="1:12" x14ac:dyDescent="0.3">
      <c r="A31" s="143" t="s">
        <v>360</v>
      </c>
      <c r="B31" s="69">
        <v>3</v>
      </c>
      <c r="C31" s="82" t="s">
        <v>410</v>
      </c>
      <c r="D31" s="66"/>
      <c r="E31" s="144" t="s">
        <v>361</v>
      </c>
      <c r="F31" s="66"/>
      <c r="H31" s="137" t="s">
        <v>341</v>
      </c>
      <c r="J31" s="54">
        <v>5</v>
      </c>
      <c r="L31" s="54"/>
    </row>
    <row r="32" spans="1:12" x14ac:dyDescent="0.3">
      <c r="A32" s="143" t="s">
        <v>129</v>
      </c>
      <c r="B32" s="69">
        <v>1</v>
      </c>
      <c r="C32" s="82" t="s">
        <v>411</v>
      </c>
      <c r="D32" s="66"/>
      <c r="E32" s="66"/>
      <c r="F32" s="66"/>
      <c r="H32" s="137" t="s">
        <v>208</v>
      </c>
      <c r="J32" s="54">
        <v>7</v>
      </c>
      <c r="L32" s="54"/>
    </row>
    <row r="33" spans="1:12" x14ac:dyDescent="0.3">
      <c r="H33" s="137" t="s">
        <v>372</v>
      </c>
      <c r="J33" s="54">
        <v>1</v>
      </c>
      <c r="K33" s="57"/>
      <c r="L33" s="54"/>
    </row>
    <row r="34" spans="1:12" x14ac:dyDescent="0.3">
      <c r="A34" s="82"/>
      <c r="B34" s="69"/>
      <c r="C34" s="82"/>
      <c r="D34" s="66"/>
      <c r="E34" s="69"/>
      <c r="F34" s="66"/>
      <c r="H34" s="137" t="s">
        <v>370</v>
      </c>
      <c r="J34" s="54"/>
      <c r="L34" s="54"/>
    </row>
    <row r="35" spans="1:12" x14ac:dyDescent="0.3">
      <c r="A35" s="82"/>
      <c r="B35" s="69"/>
      <c r="C35" s="82"/>
      <c r="D35" s="66"/>
      <c r="E35" s="69"/>
      <c r="F35" s="66"/>
      <c r="H35" s="73"/>
      <c r="J35" s="73"/>
      <c r="K35" s="57"/>
      <c r="L35" s="54"/>
    </row>
    <row r="36" spans="1:12" x14ac:dyDescent="0.3">
      <c r="A36" s="82"/>
      <c r="B36" s="69"/>
      <c r="C36" s="82"/>
      <c r="D36" s="66"/>
      <c r="E36" s="69"/>
      <c r="F36" s="66"/>
      <c r="H36" s="138" t="s">
        <v>63</v>
      </c>
      <c r="I36" s="75"/>
      <c r="J36" s="80" t="s">
        <v>60</v>
      </c>
      <c r="K36" s="55" t="s">
        <v>64</v>
      </c>
      <c r="L36" s="132"/>
    </row>
    <row r="37" spans="1:12" x14ac:dyDescent="0.3">
      <c r="A37" s="82"/>
      <c r="B37" s="69"/>
      <c r="C37" s="82"/>
      <c r="D37" s="66"/>
      <c r="E37" s="69"/>
      <c r="F37" s="66"/>
      <c r="H37" s="104" t="s">
        <v>396</v>
      </c>
      <c r="I37" s="64"/>
      <c r="J37" s="78">
        <v>1</v>
      </c>
      <c r="K37" s="105" t="s">
        <v>397</v>
      </c>
      <c r="L37" s="106"/>
    </row>
    <row r="38" spans="1:12" s="73" customFormat="1" x14ac:dyDescent="0.3">
      <c r="F38" s="57"/>
      <c r="H38" s="104"/>
      <c r="J38" s="72"/>
      <c r="K38" s="105"/>
    </row>
    <row r="39" spans="1:12" ht="13.8" customHeight="1" x14ac:dyDescent="0.3">
      <c r="E39" s="103" t="s">
        <v>380</v>
      </c>
      <c r="G39" s="80"/>
      <c r="H39" s="104" t="s">
        <v>415</v>
      </c>
      <c r="I39" s="66"/>
      <c r="J39" s="69">
        <v>1</v>
      </c>
      <c r="K39" s="105" t="s">
        <v>416</v>
      </c>
      <c r="L39" s="66"/>
    </row>
    <row r="40" spans="1:12" ht="13.8" customHeight="1" x14ac:dyDescent="0.3">
      <c r="G40" s="80"/>
      <c r="H40" s="149" t="s">
        <v>417</v>
      </c>
      <c r="I40" s="66"/>
      <c r="J40" s="69">
        <v>1</v>
      </c>
      <c r="K40" s="105"/>
      <c r="L40" s="61"/>
    </row>
    <row r="41" spans="1:12" x14ac:dyDescent="0.3">
      <c r="A41" s="107"/>
      <c r="B41" s="68"/>
      <c r="C41" s="69"/>
      <c r="D41" s="108"/>
      <c r="E41" s="109"/>
      <c r="G41" s="80"/>
      <c r="H41" s="104"/>
      <c r="I41" s="64"/>
      <c r="J41" s="78"/>
      <c r="K41" s="105"/>
      <c r="L41" s="66"/>
    </row>
    <row r="42" spans="1:12" x14ac:dyDescent="0.3">
      <c r="A42" s="107"/>
      <c r="B42" s="139"/>
      <c r="C42" s="131"/>
      <c r="D42" s="140"/>
      <c r="E42" s="141"/>
      <c r="G42" s="63"/>
      <c r="H42" s="104"/>
      <c r="I42" s="64"/>
      <c r="J42" s="78"/>
      <c r="K42" s="105"/>
    </row>
    <row r="43" spans="1:12" x14ac:dyDescent="0.3">
      <c r="B43" s="139"/>
      <c r="C43" s="131"/>
      <c r="D43" s="140"/>
      <c r="E43" s="142" t="s">
        <v>381</v>
      </c>
      <c r="H43" s="104" t="s">
        <v>412</v>
      </c>
      <c r="I43" s="64"/>
      <c r="J43" s="78">
        <v>3</v>
      </c>
      <c r="K43" s="105"/>
      <c r="L43" s="66"/>
    </row>
    <row r="44" spans="1:12" x14ac:dyDescent="0.3">
      <c r="A44" s="81" t="s">
        <v>382</v>
      </c>
      <c r="B44" s="64"/>
      <c r="C44" s="78"/>
      <c r="D44" s="105"/>
      <c r="E44" s="106"/>
      <c r="H44" s="104" t="s">
        <v>413</v>
      </c>
      <c r="I44" s="64"/>
      <c r="J44" s="78">
        <v>3</v>
      </c>
      <c r="K44" s="105"/>
      <c r="L44" s="61"/>
    </row>
    <row r="45" spans="1:12" ht="13.8" customHeight="1" x14ac:dyDescent="0.3">
      <c r="A45" s="81" t="s">
        <v>418</v>
      </c>
      <c r="B45" s="68"/>
      <c r="C45" s="69"/>
      <c r="D45" s="108"/>
      <c r="E45" s="109"/>
      <c r="G45" s="80"/>
      <c r="H45" s="149" t="s">
        <v>414</v>
      </c>
      <c r="I45" s="64"/>
      <c r="J45" s="78"/>
      <c r="K45" s="105"/>
      <c r="L45" s="61"/>
    </row>
    <row r="46" spans="1:12" x14ac:dyDescent="0.3">
      <c r="A46" s="81"/>
      <c r="B46" s="68"/>
      <c r="C46" s="69"/>
      <c r="D46" s="108"/>
      <c r="E46" s="109"/>
      <c r="G46" s="80"/>
      <c r="H46" s="104"/>
      <c r="I46" s="64"/>
      <c r="J46" s="78"/>
      <c r="K46" s="105"/>
      <c r="L46" s="66"/>
    </row>
    <row r="47" spans="1:12" x14ac:dyDescent="0.3">
      <c r="D47" s="80"/>
      <c r="I47" s="80"/>
    </row>
    <row r="49" spans="1:12" s="54" customFormat="1" x14ac:dyDescent="0.3">
      <c r="B49" s="114" t="s">
        <v>374</v>
      </c>
      <c r="C49" s="146" t="s">
        <v>420</v>
      </c>
      <c r="D49" s="81"/>
      <c r="F49" s="114" t="s">
        <v>375</v>
      </c>
      <c r="G49" s="145" t="s">
        <v>424</v>
      </c>
      <c r="H49" s="61"/>
      <c r="J49" s="114" t="s">
        <v>376</v>
      </c>
      <c r="K49" s="145" t="s">
        <v>421</v>
      </c>
      <c r="L49" s="61"/>
    </row>
    <row r="50" spans="1:12" s="54" customFormat="1" x14ac:dyDescent="0.3">
      <c r="B50" s="114" t="s">
        <v>383</v>
      </c>
      <c r="C50" s="147" t="s">
        <v>423</v>
      </c>
      <c r="D50" s="82"/>
      <c r="F50" s="114" t="s">
        <v>377</v>
      </c>
      <c r="G50" s="147" t="s">
        <v>422</v>
      </c>
      <c r="H50" s="66"/>
      <c r="J50" s="114" t="s">
        <v>378</v>
      </c>
      <c r="K50" s="69"/>
      <c r="L50" s="66"/>
    </row>
    <row r="51" spans="1:12" s="54" customFormat="1" ht="17.399999999999999" x14ac:dyDescent="0.3">
      <c r="A51" s="57"/>
      <c r="B51" s="57"/>
      <c r="C51" s="57"/>
      <c r="D51" s="57"/>
      <c r="E51" s="57"/>
      <c r="F51" s="71" t="s">
        <v>77</v>
      </c>
      <c r="G51" s="57"/>
      <c r="H51" s="57"/>
      <c r="I51" s="57"/>
      <c r="J51" s="57"/>
      <c r="L51" s="57"/>
    </row>
    <row r="52" spans="1:12" s="54" customFormat="1" ht="9" customHeight="1" x14ac:dyDescent="0.3">
      <c r="A52" s="57"/>
      <c r="B52" s="57"/>
      <c r="C52" s="57"/>
      <c r="D52" s="57"/>
      <c r="E52" s="57"/>
      <c r="F52" s="57"/>
      <c r="G52" s="57"/>
      <c r="H52" s="57"/>
      <c r="I52" s="57"/>
      <c r="J52" s="57"/>
      <c r="L52" s="57"/>
    </row>
    <row r="53" spans="1:12" s="54" customFormat="1" x14ac:dyDescent="0.3">
      <c r="A53" s="80" t="s">
        <v>78</v>
      </c>
      <c r="B53" s="80"/>
      <c r="C53" s="75" t="s">
        <v>73</v>
      </c>
      <c r="D53" s="80" t="s">
        <v>79</v>
      </c>
      <c r="E53" s="75"/>
      <c r="F53" s="80"/>
      <c r="G53" s="80" t="s">
        <v>78</v>
      </c>
      <c r="H53" s="80"/>
      <c r="I53" s="75" t="s">
        <v>73</v>
      </c>
      <c r="J53" s="80" t="s">
        <v>79</v>
      </c>
      <c r="K53" s="75"/>
      <c r="L53" s="80"/>
    </row>
    <row r="54" spans="1:12" x14ac:dyDescent="0.3">
      <c r="A54" s="148" t="s">
        <v>425</v>
      </c>
      <c r="B54" s="100"/>
      <c r="C54" s="133">
        <v>1</v>
      </c>
      <c r="D54" s="100" t="s">
        <v>407</v>
      </c>
      <c r="E54" s="100"/>
      <c r="F54" s="135"/>
      <c r="G54" s="100"/>
      <c r="H54" s="100"/>
      <c r="I54" s="133"/>
      <c r="J54" s="100"/>
      <c r="K54" s="133"/>
      <c r="L54" s="100"/>
    </row>
    <row r="55" spans="1:12" x14ac:dyDescent="0.3">
      <c r="A55" s="99"/>
      <c r="B55" s="99"/>
      <c r="C55" s="134"/>
      <c r="D55" s="99"/>
      <c r="E55" s="99"/>
      <c r="F55" s="136"/>
      <c r="G55" s="99"/>
      <c r="H55" s="99"/>
      <c r="I55" s="134"/>
      <c r="J55" s="99"/>
      <c r="K55" s="134"/>
      <c r="L55" s="99"/>
    </row>
    <row r="56" spans="1:12" x14ac:dyDescent="0.3">
      <c r="A56" s="99"/>
      <c r="B56" s="99"/>
      <c r="C56" s="134"/>
      <c r="D56" s="99"/>
      <c r="E56" s="99"/>
      <c r="F56" s="136"/>
      <c r="G56" s="99"/>
      <c r="H56" s="99"/>
      <c r="I56" s="134"/>
      <c r="J56" s="99"/>
      <c r="K56" s="134"/>
      <c r="L56" s="99"/>
    </row>
    <row r="57" spans="1:12" x14ac:dyDescent="0.3">
      <c r="A57" s="99"/>
      <c r="B57" s="99"/>
      <c r="C57" s="134"/>
      <c r="D57" s="99"/>
      <c r="E57" s="99"/>
      <c r="F57" s="136"/>
      <c r="G57" s="99"/>
      <c r="H57" s="99"/>
      <c r="I57" s="134"/>
      <c r="J57" s="99"/>
      <c r="K57" s="134"/>
      <c r="L57" s="99"/>
    </row>
    <row r="60" spans="1:12" s="54" customFormat="1" ht="17.399999999999999" x14ac:dyDescent="0.3">
      <c r="A60" s="57"/>
      <c r="B60" s="57"/>
      <c r="C60" s="57"/>
      <c r="D60" s="57"/>
      <c r="E60" s="57"/>
      <c r="F60" s="71" t="s">
        <v>80</v>
      </c>
      <c r="G60" s="57"/>
      <c r="H60" s="57"/>
      <c r="I60" s="57"/>
      <c r="J60" s="57"/>
      <c r="L60" s="57"/>
    </row>
    <row r="61" spans="1:12" s="54" customFormat="1" ht="9" customHeight="1" x14ac:dyDescent="0.3">
      <c r="A61" s="57"/>
      <c r="B61" s="57"/>
      <c r="C61" s="57"/>
      <c r="D61" s="57"/>
      <c r="E61" s="57"/>
      <c r="F61" s="57"/>
      <c r="G61" s="57"/>
      <c r="H61" s="57"/>
      <c r="I61" s="57"/>
      <c r="J61" s="57"/>
      <c r="L61" s="57"/>
    </row>
    <row r="62" spans="1:12" s="54" customFormat="1" x14ac:dyDescent="0.3">
      <c r="A62" s="57" t="s">
        <v>81</v>
      </c>
      <c r="B62" s="57" t="s">
        <v>82</v>
      </c>
      <c r="C62" s="57" t="s">
        <v>61</v>
      </c>
      <c r="D62" s="57"/>
      <c r="E62" s="57"/>
      <c r="F62" s="57" t="s">
        <v>83</v>
      </c>
      <c r="G62" s="57"/>
      <c r="H62" s="57" t="s">
        <v>86</v>
      </c>
      <c r="I62" s="57" t="s">
        <v>85</v>
      </c>
      <c r="J62" s="57" t="s">
        <v>84</v>
      </c>
      <c r="K62" s="57" t="s">
        <v>87</v>
      </c>
      <c r="L62" s="57"/>
    </row>
    <row r="63" spans="1:12" x14ac:dyDescent="0.3">
      <c r="A63" s="61"/>
      <c r="B63" s="61"/>
      <c r="C63" s="61"/>
      <c r="D63" s="61"/>
      <c r="E63" s="61"/>
      <c r="F63" s="61"/>
      <c r="G63" s="61"/>
      <c r="H63" s="61"/>
      <c r="I63" s="61"/>
      <c r="J63" s="61"/>
      <c r="K63" s="78"/>
      <c r="L63" s="61"/>
    </row>
    <row r="64" spans="1:12" x14ac:dyDescent="0.3">
      <c r="A64" s="66"/>
      <c r="B64" s="66"/>
      <c r="C64" s="66"/>
      <c r="D64" s="66"/>
      <c r="E64" s="66"/>
      <c r="F64" s="66"/>
      <c r="G64" s="66"/>
      <c r="H64" s="66"/>
      <c r="I64" s="66"/>
      <c r="J64" s="66"/>
      <c r="K64" s="69"/>
      <c r="L64" s="66"/>
    </row>
    <row r="65" spans="1:12" x14ac:dyDescent="0.3">
      <c r="A65" s="66"/>
      <c r="B65" s="66"/>
      <c r="C65" s="66"/>
      <c r="D65" s="66"/>
      <c r="E65" s="66"/>
      <c r="F65" s="66"/>
      <c r="G65" s="66"/>
      <c r="H65" s="66"/>
      <c r="I65" s="66"/>
      <c r="J65" s="66"/>
      <c r="K65" s="69"/>
      <c r="L65" s="66"/>
    </row>
    <row r="66" spans="1:12" x14ac:dyDescent="0.3">
      <c r="A66" s="66"/>
      <c r="B66" s="66"/>
      <c r="C66" s="66"/>
      <c r="D66" s="66"/>
      <c r="E66" s="66"/>
      <c r="F66" s="66"/>
      <c r="G66" s="66"/>
      <c r="H66" s="66"/>
      <c r="I66" s="66"/>
      <c r="J66" s="66"/>
      <c r="K66" s="69"/>
      <c r="L66" s="66"/>
    </row>
    <row r="67" spans="1:12" x14ac:dyDescent="0.3">
      <c r="A67" s="66"/>
      <c r="B67" s="66"/>
      <c r="C67" s="66"/>
      <c r="D67" s="66"/>
      <c r="E67" s="66"/>
      <c r="F67" s="66"/>
      <c r="G67" s="66"/>
      <c r="H67" s="66"/>
      <c r="I67" s="66"/>
      <c r="J67" s="66"/>
      <c r="K67" s="69"/>
      <c r="L67" s="66"/>
    </row>
    <row r="68" spans="1:12" x14ac:dyDescent="0.3">
      <c r="A68" s="66"/>
      <c r="B68" s="66"/>
      <c r="C68" s="66"/>
      <c r="D68" s="66"/>
      <c r="E68" s="66"/>
      <c r="F68" s="66"/>
      <c r="G68" s="66"/>
      <c r="H68" s="66"/>
      <c r="I68" s="66"/>
      <c r="J68" s="66"/>
      <c r="K68" s="69"/>
      <c r="L68" s="66"/>
    </row>
    <row r="69" spans="1:12" x14ac:dyDescent="0.3">
      <c r="A69" s="66"/>
      <c r="B69" s="66"/>
      <c r="C69" s="66"/>
      <c r="D69" s="66"/>
      <c r="E69" s="66"/>
      <c r="F69" s="66"/>
      <c r="G69" s="66"/>
      <c r="H69" s="66"/>
      <c r="I69" s="66"/>
      <c r="J69" s="66"/>
      <c r="K69" s="69"/>
      <c r="L69" s="66"/>
    </row>
    <row r="70" spans="1:12" x14ac:dyDescent="0.3">
      <c r="A70" s="66"/>
      <c r="B70" s="66"/>
      <c r="C70" s="66"/>
      <c r="D70" s="66"/>
      <c r="E70" s="66"/>
      <c r="F70" s="66"/>
      <c r="G70" s="66"/>
      <c r="H70" s="66"/>
      <c r="I70" s="66"/>
      <c r="J70" s="66"/>
      <c r="K70" s="69"/>
      <c r="L70" s="66"/>
    </row>
    <row r="71" spans="1:12" x14ac:dyDescent="0.3">
      <c r="A71" s="66"/>
      <c r="B71" s="66"/>
      <c r="C71" s="66"/>
      <c r="D71" s="66"/>
      <c r="E71" s="66"/>
      <c r="F71" s="66"/>
      <c r="G71" s="66"/>
      <c r="H71" s="66"/>
      <c r="I71" s="66"/>
      <c r="J71" s="66"/>
      <c r="K71" s="69"/>
      <c r="L71" s="66"/>
    </row>
    <row r="74" spans="1:12" ht="17.399999999999999" x14ac:dyDescent="0.3">
      <c r="F74" s="71" t="s">
        <v>71</v>
      </c>
    </row>
    <row r="76" spans="1:12" x14ac:dyDescent="0.3">
      <c r="A76" s="85"/>
      <c r="B76" s="130"/>
      <c r="C76" s="85"/>
      <c r="D76" s="85"/>
      <c r="E76" s="85"/>
      <c r="F76" s="85"/>
      <c r="G76" s="85"/>
      <c r="H76" s="85"/>
      <c r="I76" s="85"/>
      <c r="J76" s="85"/>
      <c r="K76" s="131"/>
      <c r="L76" s="85"/>
    </row>
    <row r="77" spans="1:12" ht="13.8" customHeight="1" x14ac:dyDescent="0.3">
      <c r="A77" s="66"/>
      <c r="B77" s="66"/>
      <c r="C77" s="66"/>
      <c r="D77" s="66"/>
      <c r="E77" s="66"/>
      <c r="F77" s="66"/>
      <c r="G77" s="66"/>
      <c r="H77" s="66"/>
      <c r="I77" s="66"/>
      <c r="J77" s="66"/>
      <c r="K77" s="69"/>
      <c r="L77" s="66"/>
    </row>
    <row r="78" spans="1:12" x14ac:dyDescent="0.3">
      <c r="A78" s="66"/>
      <c r="B78" s="66"/>
      <c r="C78" s="66"/>
      <c r="D78" s="66"/>
      <c r="E78" s="66"/>
      <c r="F78" s="66"/>
      <c r="G78" s="66"/>
      <c r="H78" s="66"/>
      <c r="I78" s="66"/>
      <c r="J78" s="66"/>
      <c r="K78" s="69"/>
      <c r="L78" s="66"/>
    </row>
    <row r="79" spans="1:12" x14ac:dyDescent="0.3">
      <c r="A79" s="66"/>
      <c r="B79" s="66"/>
      <c r="C79" s="66"/>
      <c r="D79" s="66"/>
      <c r="E79" s="66"/>
      <c r="F79" s="66"/>
      <c r="G79" s="66"/>
      <c r="H79" s="66"/>
      <c r="I79" s="66"/>
      <c r="J79" s="66"/>
      <c r="K79" s="69"/>
      <c r="L79" s="66"/>
    </row>
    <row r="80" spans="1:12" x14ac:dyDescent="0.3">
      <c r="A80" s="66"/>
      <c r="B80" s="66"/>
      <c r="C80" s="66"/>
      <c r="D80" s="66"/>
      <c r="E80" s="66"/>
      <c r="F80" s="66"/>
      <c r="G80" s="66"/>
      <c r="H80" s="66"/>
      <c r="I80" s="66"/>
      <c r="J80" s="66"/>
      <c r="K80" s="69"/>
      <c r="L80" s="66"/>
    </row>
    <row r="83" spans="1:12" ht="17.399999999999999" x14ac:dyDescent="0.3">
      <c r="B83" s="71" t="s">
        <v>72</v>
      </c>
      <c r="F83" s="71" t="s">
        <v>373</v>
      </c>
      <c r="J83" s="83" t="s">
        <v>74</v>
      </c>
    </row>
    <row r="84" spans="1:12" x14ac:dyDescent="0.3">
      <c r="A84" s="63" t="s">
        <v>0</v>
      </c>
      <c r="B84" s="63" t="s">
        <v>73</v>
      </c>
      <c r="C84" s="63" t="s">
        <v>61</v>
      </c>
      <c r="E84" s="76"/>
      <c r="I84" s="123" t="s">
        <v>75</v>
      </c>
      <c r="J84" s="61"/>
      <c r="K84" s="61"/>
      <c r="L84" s="61"/>
    </row>
    <row r="85" spans="1:12" x14ac:dyDescent="0.3">
      <c r="A85" s="66"/>
      <c r="B85" s="66"/>
      <c r="C85" s="66"/>
      <c r="D85" s="67"/>
      <c r="E85" s="66"/>
      <c r="F85" s="66"/>
      <c r="G85" s="66"/>
      <c r="H85" s="67"/>
      <c r="I85" s="123" t="s">
        <v>76</v>
      </c>
      <c r="J85" s="61"/>
      <c r="K85" s="61"/>
      <c r="L85" s="61"/>
    </row>
    <row r="86" spans="1:12" x14ac:dyDescent="0.3">
      <c r="A86" s="66"/>
      <c r="B86" s="66"/>
      <c r="C86" s="66"/>
      <c r="D86" s="67"/>
      <c r="E86" s="66"/>
      <c r="F86" s="66"/>
      <c r="G86" s="66"/>
      <c r="H86" s="66"/>
      <c r="I86" s="76"/>
      <c r="J86" s="61"/>
      <c r="K86" s="61"/>
      <c r="L86" s="61"/>
    </row>
    <row r="87" spans="1:12" x14ac:dyDescent="0.3">
      <c r="A87" s="66"/>
      <c r="B87" s="66"/>
      <c r="C87" s="66"/>
      <c r="D87" s="67"/>
      <c r="E87" s="66"/>
      <c r="F87" s="66"/>
      <c r="G87" s="66"/>
      <c r="H87" s="66"/>
      <c r="I87" s="76"/>
      <c r="J87" s="61"/>
      <c r="K87" s="61"/>
      <c r="L87" s="61"/>
    </row>
    <row r="88" spans="1:12" x14ac:dyDescent="0.3">
      <c r="A88" s="66"/>
      <c r="B88" s="66"/>
      <c r="C88" s="66"/>
      <c r="D88" s="67"/>
      <c r="E88" s="66"/>
      <c r="F88" s="66"/>
      <c r="G88" s="66"/>
      <c r="H88" s="66"/>
      <c r="I88" s="76"/>
      <c r="J88" s="61"/>
      <c r="K88" s="61"/>
      <c r="L88" s="61"/>
    </row>
    <row r="89" spans="1:12" x14ac:dyDescent="0.3">
      <c r="A89" s="66"/>
      <c r="B89" s="66"/>
      <c r="C89" s="66"/>
      <c r="D89" s="67"/>
      <c r="E89" s="66"/>
      <c r="F89" s="66"/>
      <c r="G89" s="66"/>
      <c r="H89" s="66"/>
      <c r="I89" s="76"/>
      <c r="J89" s="61"/>
      <c r="K89" s="61"/>
      <c r="L89" s="61"/>
    </row>
    <row r="90" spans="1:12" x14ac:dyDescent="0.3">
      <c r="A90" s="66"/>
      <c r="B90" s="66"/>
      <c r="C90" s="66"/>
      <c r="D90" s="67"/>
      <c r="E90" s="66"/>
      <c r="F90" s="66"/>
      <c r="G90" s="66"/>
      <c r="H90" s="66"/>
      <c r="I90" s="76"/>
      <c r="J90" s="61"/>
      <c r="K90" s="61"/>
      <c r="L90" s="61"/>
    </row>
    <row r="93" spans="1:12" x14ac:dyDescent="0.3">
      <c r="A93" s="57" t="s">
        <v>88</v>
      </c>
      <c r="B93" s="57" t="s">
        <v>89</v>
      </c>
      <c r="C93" s="57" t="s">
        <v>90</v>
      </c>
      <c r="D93" s="57" t="s">
        <v>91</v>
      </c>
      <c r="E93" s="57" t="s">
        <v>92</v>
      </c>
      <c r="F93" s="57" t="s">
        <v>93</v>
      </c>
      <c r="I93" s="57" t="s">
        <v>94</v>
      </c>
    </row>
    <row r="94" spans="1:12" x14ac:dyDescent="0.3">
      <c r="A94" s="66"/>
      <c r="B94" s="66"/>
      <c r="C94" s="66"/>
      <c r="D94" s="66"/>
      <c r="E94" s="66"/>
      <c r="F94" s="66"/>
      <c r="G94" s="66"/>
      <c r="I94" s="66"/>
      <c r="J94" s="66"/>
      <c r="K94" s="66"/>
      <c r="L94" s="66"/>
    </row>
    <row r="95" spans="1:12" x14ac:dyDescent="0.3">
      <c r="A95" s="66"/>
      <c r="B95" s="66"/>
      <c r="C95" s="66"/>
      <c r="D95" s="66"/>
      <c r="E95" s="66"/>
      <c r="F95" s="66"/>
      <c r="G95" s="66"/>
      <c r="I95" s="61"/>
      <c r="J95" s="61"/>
      <c r="K95" s="61"/>
      <c r="L95" s="61"/>
    </row>
    <row r="96" spans="1:12" x14ac:dyDescent="0.3">
      <c r="A96" s="66"/>
      <c r="B96" s="66"/>
      <c r="C96" s="66"/>
      <c r="D96" s="66"/>
      <c r="E96" s="66"/>
      <c r="F96" s="66"/>
      <c r="G96" s="66"/>
      <c r="I96" s="61"/>
      <c r="J96" s="61"/>
      <c r="K96" s="61"/>
      <c r="L96" s="61"/>
    </row>
    <row r="97" spans="1:12" x14ac:dyDescent="0.3">
      <c r="A97" s="66"/>
      <c r="B97" s="66"/>
      <c r="C97" s="66"/>
      <c r="D97" s="66"/>
      <c r="E97" s="66"/>
      <c r="F97" s="66"/>
      <c r="G97" s="66"/>
      <c r="I97" s="61"/>
      <c r="J97" s="61"/>
      <c r="K97" s="61"/>
      <c r="L97" s="61"/>
    </row>
    <row r="98" spans="1:12" x14ac:dyDescent="0.3">
      <c r="A98" s="66"/>
      <c r="B98" s="66"/>
      <c r="C98" s="66"/>
      <c r="D98" s="66"/>
      <c r="E98" s="66"/>
      <c r="F98" s="66"/>
      <c r="G98" s="66"/>
      <c r="I98" s="61"/>
      <c r="J98" s="61"/>
      <c r="K98" s="61"/>
      <c r="L98" s="61"/>
    </row>
    <row r="99" spans="1:12" x14ac:dyDescent="0.3">
      <c r="A99" s="66"/>
      <c r="B99" s="66"/>
      <c r="C99" s="66"/>
      <c r="D99" s="66"/>
      <c r="E99" s="66"/>
      <c r="F99" s="66"/>
      <c r="G99" s="66"/>
      <c r="I99" s="61"/>
      <c r="J99" s="61"/>
      <c r="K99" s="61"/>
      <c r="L99" s="61"/>
    </row>
    <row r="100" spans="1:12" x14ac:dyDescent="0.3">
      <c r="A100" s="66"/>
      <c r="B100" s="66"/>
      <c r="C100" s="66"/>
      <c r="D100" s="66"/>
      <c r="E100" s="66"/>
      <c r="F100" s="66"/>
      <c r="G100" s="66"/>
      <c r="I100" s="61"/>
      <c r="J100" s="61"/>
      <c r="K100" s="61"/>
      <c r="L100" s="61"/>
    </row>
    <row r="101" spans="1:12" ht="17.399999999999999" x14ac:dyDescent="0.3">
      <c r="F101" s="83" t="s">
        <v>55</v>
      </c>
    </row>
    <row r="102" spans="1:12" x14ac:dyDescent="0.3">
      <c r="A102" s="63" t="s">
        <v>0</v>
      </c>
      <c r="B102" s="92" t="s">
        <v>60</v>
      </c>
      <c r="C102" s="63" t="s">
        <v>104</v>
      </c>
      <c r="D102" s="63"/>
      <c r="E102" s="63"/>
      <c r="F102" s="63"/>
      <c r="G102" s="63" t="s">
        <v>0</v>
      </c>
      <c r="H102" s="92" t="s">
        <v>60</v>
      </c>
      <c r="I102" s="63" t="s">
        <v>104</v>
      </c>
      <c r="J102" s="63"/>
      <c r="K102" s="92"/>
    </row>
    <row r="103" spans="1:12" x14ac:dyDescent="0.3">
      <c r="A103" s="122" t="s">
        <v>96</v>
      </c>
      <c r="B103" s="84"/>
      <c r="C103" s="85"/>
      <c r="D103" s="85"/>
      <c r="E103" s="85"/>
      <c r="F103" s="86"/>
      <c r="G103" s="95"/>
      <c r="H103" s="85"/>
      <c r="I103" s="85"/>
      <c r="J103" s="85"/>
      <c r="K103" s="85"/>
      <c r="L103" s="87"/>
    </row>
    <row r="104" spans="1:12" x14ac:dyDescent="0.3">
      <c r="A104" s="123" t="s">
        <v>95</v>
      </c>
      <c r="B104" s="94"/>
      <c r="C104" s="66"/>
      <c r="D104" s="66"/>
      <c r="E104" s="66"/>
      <c r="F104" s="67"/>
      <c r="G104" s="96"/>
      <c r="H104" s="66"/>
      <c r="I104" s="66"/>
      <c r="J104" s="66"/>
      <c r="K104" s="66"/>
      <c r="L104" s="93"/>
    </row>
    <row r="105" spans="1:12" x14ac:dyDescent="0.3">
      <c r="A105" s="123" t="s">
        <v>97</v>
      </c>
      <c r="B105" s="76"/>
      <c r="F105" s="74"/>
      <c r="G105" s="97"/>
      <c r="K105" s="57"/>
      <c r="L105" s="88"/>
    </row>
    <row r="106" spans="1:12" x14ac:dyDescent="0.3">
      <c r="A106" s="123" t="s">
        <v>100</v>
      </c>
      <c r="B106" s="94"/>
      <c r="C106" s="66"/>
      <c r="D106" s="66"/>
      <c r="E106" s="66"/>
      <c r="F106" s="67"/>
      <c r="G106" s="96"/>
      <c r="H106" s="66"/>
      <c r="I106" s="66"/>
      <c r="J106" s="66"/>
      <c r="K106" s="66"/>
      <c r="L106" s="93"/>
    </row>
    <row r="107" spans="1:12" x14ac:dyDescent="0.3">
      <c r="A107" s="124" t="s">
        <v>101</v>
      </c>
      <c r="B107" s="91">
        <v>2</v>
      </c>
      <c r="C107" s="81" t="s">
        <v>406</v>
      </c>
      <c r="D107" s="61"/>
      <c r="E107" s="61"/>
      <c r="F107" s="62"/>
      <c r="G107" s="98"/>
      <c r="H107" s="61"/>
      <c r="I107" s="61"/>
      <c r="J107" s="61"/>
      <c r="K107" s="61"/>
      <c r="L107" s="89"/>
    </row>
    <row r="109" spans="1:12" x14ac:dyDescent="0.3">
      <c r="A109" s="63" t="s">
        <v>0</v>
      </c>
      <c r="B109" s="92" t="s">
        <v>60</v>
      </c>
      <c r="C109" s="63" t="s">
        <v>104</v>
      </c>
      <c r="D109" s="63"/>
      <c r="E109" s="63"/>
      <c r="F109" s="63"/>
      <c r="G109" s="63" t="s">
        <v>0</v>
      </c>
      <c r="H109" s="92" t="s">
        <v>60</v>
      </c>
      <c r="I109" s="63" t="s">
        <v>104</v>
      </c>
    </row>
    <row r="110" spans="1:12" x14ac:dyDescent="0.3">
      <c r="A110" s="122" t="s">
        <v>99</v>
      </c>
      <c r="B110" s="84"/>
      <c r="C110" s="85"/>
      <c r="D110" s="85"/>
      <c r="E110" s="85"/>
      <c r="F110" s="85"/>
      <c r="G110" s="95"/>
      <c r="H110" s="85"/>
      <c r="I110" s="85"/>
      <c r="J110" s="85"/>
      <c r="K110" s="85"/>
      <c r="L110" s="87"/>
    </row>
    <row r="111" spans="1:12" x14ac:dyDescent="0.3">
      <c r="A111" s="123" t="s">
        <v>103</v>
      </c>
      <c r="B111" s="94"/>
      <c r="C111" s="66"/>
      <c r="D111" s="66"/>
      <c r="E111" s="66"/>
      <c r="F111" s="66"/>
      <c r="G111" s="96"/>
      <c r="H111" s="66"/>
      <c r="I111" s="66"/>
      <c r="J111" s="66"/>
      <c r="K111" s="69"/>
      <c r="L111" s="93"/>
    </row>
    <row r="112" spans="1:12" x14ac:dyDescent="0.3">
      <c r="A112" s="124" t="s">
        <v>102</v>
      </c>
      <c r="B112" s="77"/>
      <c r="C112" s="61"/>
      <c r="D112" s="61"/>
      <c r="E112" s="61"/>
      <c r="F112" s="61"/>
      <c r="G112" s="98"/>
      <c r="H112" s="61"/>
      <c r="I112" s="61"/>
      <c r="J112" s="61"/>
      <c r="K112" s="61"/>
      <c r="L112" s="89"/>
    </row>
    <row r="113" spans="1:12" x14ac:dyDescent="0.3">
      <c r="K113" s="57"/>
      <c r="L113" s="54"/>
    </row>
    <row r="114" spans="1:12" x14ac:dyDescent="0.3">
      <c r="A114" s="122" t="s">
        <v>105</v>
      </c>
      <c r="B114" s="85"/>
      <c r="C114" s="82" t="s">
        <v>395</v>
      </c>
      <c r="D114" s="66"/>
      <c r="E114" s="66"/>
      <c r="F114" s="66"/>
      <c r="G114" s="66"/>
      <c r="H114" s="66"/>
      <c r="I114" s="66"/>
      <c r="J114" s="66"/>
      <c r="K114" s="66"/>
      <c r="L114" s="93"/>
    </row>
    <row r="115" spans="1:12" x14ac:dyDescent="0.3">
      <c r="A115" s="123" t="s">
        <v>106</v>
      </c>
      <c r="C115" s="82" t="s">
        <v>404</v>
      </c>
      <c r="D115" s="66"/>
      <c r="E115" s="66"/>
      <c r="F115" s="66"/>
      <c r="G115" s="66"/>
      <c r="H115" s="66"/>
      <c r="I115" s="66"/>
      <c r="J115" s="66"/>
      <c r="K115" s="66"/>
      <c r="L115" s="93"/>
    </row>
    <row r="116" spans="1:12" x14ac:dyDescent="0.3">
      <c r="A116" s="123" t="s">
        <v>98</v>
      </c>
      <c r="C116" s="82" t="s">
        <v>405</v>
      </c>
      <c r="D116" s="66"/>
      <c r="E116" s="66"/>
      <c r="F116" s="66"/>
      <c r="G116" s="66"/>
      <c r="H116" s="66"/>
      <c r="I116" s="66"/>
      <c r="J116" s="66"/>
      <c r="K116" s="66"/>
      <c r="L116" s="93"/>
    </row>
    <row r="117" spans="1:12" x14ac:dyDescent="0.3">
      <c r="A117" s="123" t="s">
        <v>107</v>
      </c>
      <c r="C117" s="82"/>
      <c r="D117" s="66"/>
      <c r="E117" s="66"/>
      <c r="F117" s="66"/>
      <c r="G117" s="66"/>
      <c r="H117" s="66"/>
      <c r="I117" s="66"/>
      <c r="J117" s="66"/>
      <c r="K117" s="66"/>
      <c r="L117" s="93"/>
    </row>
    <row r="118" spans="1:12" x14ac:dyDescent="0.3">
      <c r="A118" s="124" t="s">
        <v>108</v>
      </c>
      <c r="B118" s="61"/>
      <c r="C118" s="82"/>
      <c r="D118" s="66"/>
      <c r="E118" s="66"/>
      <c r="F118" s="66"/>
      <c r="G118" s="66"/>
      <c r="H118" s="66"/>
      <c r="I118" s="66"/>
      <c r="J118" s="66"/>
      <c r="K118" s="66"/>
      <c r="L118" s="93"/>
    </row>
    <row r="120" spans="1:12" x14ac:dyDescent="0.3">
      <c r="A120" s="63" t="s">
        <v>110</v>
      </c>
      <c r="B120" s="63"/>
      <c r="C120" s="63" t="s">
        <v>109</v>
      </c>
      <c r="E120" s="63" t="s">
        <v>61</v>
      </c>
    </row>
    <row r="121" spans="1:12" x14ac:dyDescent="0.3">
      <c r="A121" s="122" t="s">
        <v>398</v>
      </c>
      <c r="B121" s="85"/>
      <c r="C121" s="128" t="s">
        <v>399</v>
      </c>
      <c r="D121" s="85"/>
      <c r="E121" s="128" t="s">
        <v>400</v>
      </c>
      <c r="F121" s="85"/>
      <c r="G121" s="85"/>
      <c r="H121" s="85"/>
      <c r="I121" s="85"/>
      <c r="J121" s="85"/>
      <c r="K121" s="85"/>
      <c r="L121" s="87"/>
    </row>
    <row r="122" spans="1:12" x14ac:dyDescent="0.3">
      <c r="A122" s="122" t="s">
        <v>401</v>
      </c>
      <c r="B122" s="85"/>
      <c r="C122" s="128" t="s">
        <v>402</v>
      </c>
      <c r="D122" s="85"/>
      <c r="E122" s="128" t="s">
        <v>403</v>
      </c>
      <c r="F122" s="85"/>
      <c r="G122" s="85"/>
      <c r="H122" s="85"/>
      <c r="I122" s="85"/>
      <c r="J122" s="85"/>
      <c r="K122" s="85"/>
      <c r="L122" s="87"/>
    </row>
    <row r="123" spans="1:12" x14ac:dyDescent="0.3">
      <c r="A123" s="94"/>
      <c r="B123" s="66"/>
      <c r="C123" s="66"/>
      <c r="D123" s="66"/>
      <c r="E123" s="66"/>
      <c r="F123" s="66"/>
      <c r="G123" s="66"/>
      <c r="H123" s="66"/>
      <c r="I123" s="66"/>
      <c r="J123" s="66"/>
      <c r="K123" s="66"/>
      <c r="L123" s="93"/>
    </row>
    <row r="124" spans="1:12" x14ac:dyDescent="0.3">
      <c r="A124" s="77"/>
      <c r="B124" s="61"/>
      <c r="C124" s="61"/>
      <c r="D124" s="61"/>
      <c r="E124" s="61"/>
      <c r="F124" s="61"/>
      <c r="G124" s="61"/>
      <c r="H124" s="61"/>
      <c r="I124" s="61"/>
      <c r="J124" s="61"/>
      <c r="K124" s="61"/>
      <c r="L124" s="89"/>
    </row>
    <row r="126" spans="1:12" ht="17.399999999999999" x14ac:dyDescent="0.3">
      <c r="B126" s="83" t="s">
        <v>17</v>
      </c>
      <c r="F126" s="83" t="s">
        <v>123</v>
      </c>
      <c r="J126" s="83"/>
    </row>
    <row r="127" spans="1:12" x14ac:dyDescent="0.3">
      <c r="E127" s="80" t="s">
        <v>0</v>
      </c>
      <c r="F127" s="80" t="s">
        <v>4</v>
      </c>
      <c r="G127" s="80" t="s">
        <v>389</v>
      </c>
    </row>
    <row r="128" spans="1:12" x14ac:dyDescent="0.3">
      <c r="A128" s="122" t="s">
        <v>113</v>
      </c>
      <c r="B128" s="128">
        <v>41</v>
      </c>
      <c r="C128" s="125"/>
      <c r="E128" s="119"/>
      <c r="F128" s="115"/>
      <c r="G128" s="115"/>
      <c r="H128" s="115"/>
      <c r="I128" s="115"/>
      <c r="J128" s="115"/>
      <c r="K128" s="115"/>
      <c r="L128" s="116"/>
    </row>
    <row r="129" spans="1:12" x14ac:dyDescent="0.3">
      <c r="A129" s="123" t="s">
        <v>112</v>
      </c>
      <c r="B129" s="80">
        <v>150</v>
      </c>
      <c r="C129" s="126"/>
      <c r="E129" s="120" t="s">
        <v>384</v>
      </c>
      <c r="F129" s="63" t="s">
        <v>385</v>
      </c>
      <c r="G129" s="63"/>
      <c r="H129" s="63"/>
      <c r="I129" s="63"/>
      <c r="J129" s="63"/>
      <c r="K129" s="63"/>
      <c r="L129" s="117"/>
    </row>
    <row r="130" spans="1:12" x14ac:dyDescent="0.3">
      <c r="A130" s="123" t="s">
        <v>114</v>
      </c>
      <c r="B130" s="80"/>
      <c r="C130" s="126"/>
      <c r="E130" s="120" t="s">
        <v>386</v>
      </c>
      <c r="F130" s="63" t="s">
        <v>387</v>
      </c>
      <c r="G130" s="63"/>
      <c r="H130" s="63"/>
      <c r="I130" s="63"/>
      <c r="J130" s="63"/>
      <c r="K130" s="63"/>
      <c r="L130" s="117"/>
    </row>
    <row r="131" spans="1:12" x14ac:dyDescent="0.3">
      <c r="A131" s="123" t="s">
        <v>115</v>
      </c>
      <c r="B131" s="80"/>
      <c r="C131" s="126"/>
      <c r="E131" s="120"/>
      <c r="F131" s="63" t="s">
        <v>388</v>
      </c>
      <c r="G131" s="63"/>
      <c r="H131" s="63"/>
      <c r="I131" s="63"/>
      <c r="J131" s="63"/>
      <c r="K131" s="63"/>
      <c r="L131" s="117"/>
    </row>
    <row r="132" spans="1:12" x14ac:dyDescent="0.3">
      <c r="A132" s="123" t="s">
        <v>116</v>
      </c>
      <c r="B132" s="114" t="s">
        <v>390</v>
      </c>
      <c r="C132" s="126"/>
      <c r="E132" s="120"/>
      <c r="F132" s="63"/>
      <c r="G132" s="63"/>
      <c r="H132" s="63"/>
      <c r="I132" s="63"/>
      <c r="J132" s="63"/>
      <c r="K132" s="63"/>
      <c r="L132" s="117"/>
    </row>
    <row r="133" spans="1:12" x14ac:dyDescent="0.3">
      <c r="A133" s="123" t="s">
        <v>117</v>
      </c>
      <c r="B133" s="114" t="s">
        <v>390</v>
      </c>
      <c r="C133" s="126"/>
      <c r="E133" s="120"/>
      <c r="F133" s="63"/>
      <c r="G133" s="63"/>
      <c r="H133" s="63"/>
      <c r="I133" s="63"/>
      <c r="J133" s="63"/>
      <c r="K133" s="63"/>
      <c r="L133" s="117"/>
    </row>
    <row r="134" spans="1:12" x14ac:dyDescent="0.3">
      <c r="A134" s="123" t="s">
        <v>118</v>
      </c>
      <c r="B134" s="114" t="s">
        <v>391</v>
      </c>
      <c r="C134" s="126"/>
      <c r="E134" s="120"/>
      <c r="F134" s="63"/>
      <c r="G134" s="63"/>
      <c r="H134" s="63"/>
      <c r="I134" s="63"/>
      <c r="J134" s="63"/>
      <c r="K134" s="63"/>
      <c r="L134" s="117"/>
    </row>
    <row r="135" spans="1:12" x14ac:dyDescent="0.3">
      <c r="A135" s="123" t="s">
        <v>119</v>
      </c>
      <c r="B135" s="114" t="s">
        <v>392</v>
      </c>
      <c r="C135" s="126"/>
      <c r="E135" s="120"/>
      <c r="F135" s="63"/>
      <c r="G135" s="63"/>
      <c r="H135" s="63"/>
      <c r="I135" s="63"/>
      <c r="J135" s="63"/>
      <c r="K135" s="63"/>
      <c r="L135" s="117"/>
    </row>
    <row r="136" spans="1:12" x14ac:dyDescent="0.3">
      <c r="A136" s="123" t="s">
        <v>120</v>
      </c>
      <c r="B136" s="114">
        <v>1.91</v>
      </c>
      <c r="C136" s="126"/>
      <c r="E136" s="120"/>
      <c r="F136" s="63"/>
      <c r="G136" s="63"/>
      <c r="H136" s="63"/>
      <c r="I136" s="63"/>
      <c r="J136" s="63"/>
      <c r="K136" s="63"/>
      <c r="L136" s="117"/>
    </row>
    <row r="137" spans="1:12" x14ac:dyDescent="0.3">
      <c r="A137" s="123" t="s">
        <v>121</v>
      </c>
      <c r="B137" s="114" t="s">
        <v>393</v>
      </c>
      <c r="C137" s="126"/>
      <c r="E137" s="120"/>
      <c r="F137" s="63"/>
      <c r="G137" s="63"/>
      <c r="H137" s="63"/>
      <c r="I137" s="63"/>
      <c r="J137" s="63"/>
      <c r="K137" s="63"/>
      <c r="L137" s="117"/>
    </row>
    <row r="138" spans="1:12" x14ac:dyDescent="0.3">
      <c r="A138" s="124" t="s">
        <v>122</v>
      </c>
      <c r="B138" s="129" t="s">
        <v>394</v>
      </c>
      <c r="C138" s="127"/>
      <c r="E138" s="121"/>
      <c r="F138" s="100"/>
      <c r="G138" s="100"/>
      <c r="H138" s="100"/>
      <c r="I138" s="100"/>
      <c r="J138" s="100"/>
      <c r="K138" s="100"/>
      <c r="L138" s="118"/>
    </row>
    <row r="141" spans="1:12" x14ac:dyDescent="0.3">
      <c r="A141" s="90" t="s">
        <v>379</v>
      </c>
    </row>
    <row r="142" spans="1:12" x14ac:dyDescent="0.3">
      <c r="A142" s="217" t="s">
        <v>426</v>
      </c>
      <c r="B142" s="217"/>
      <c r="C142" s="217"/>
      <c r="D142" s="217"/>
      <c r="E142" s="217"/>
      <c r="F142" s="217"/>
      <c r="G142" s="217"/>
      <c r="H142" s="217"/>
      <c r="I142" s="217"/>
      <c r="J142" s="217"/>
      <c r="K142" s="217"/>
    </row>
    <row r="143" spans="1:12" x14ac:dyDescent="0.3">
      <c r="A143" s="217"/>
      <c r="B143" s="217"/>
      <c r="C143" s="217"/>
      <c r="D143" s="217"/>
      <c r="E143" s="217"/>
      <c r="F143" s="217"/>
      <c r="G143" s="217"/>
      <c r="H143" s="217"/>
      <c r="I143" s="217"/>
      <c r="J143" s="217"/>
      <c r="K143" s="217"/>
    </row>
    <row r="144" spans="1:12" x14ac:dyDescent="0.3">
      <c r="A144" s="217"/>
      <c r="B144" s="217"/>
      <c r="C144" s="217"/>
      <c r="D144" s="217"/>
      <c r="E144" s="217"/>
      <c r="F144" s="217"/>
      <c r="G144" s="217"/>
      <c r="H144" s="217"/>
      <c r="I144" s="217"/>
      <c r="J144" s="217"/>
      <c r="K144" s="217"/>
    </row>
    <row r="146" spans="1:11" x14ac:dyDescent="0.3">
      <c r="A146" s="90" t="s">
        <v>6</v>
      </c>
    </row>
    <row r="147" spans="1:11" x14ac:dyDescent="0.3">
      <c r="A147" s="217" t="s">
        <v>427</v>
      </c>
      <c r="B147" s="217"/>
      <c r="C147" s="217"/>
      <c r="D147" s="217"/>
      <c r="E147" s="217"/>
      <c r="F147" s="217"/>
      <c r="G147" s="217"/>
      <c r="H147" s="217"/>
      <c r="I147" s="217"/>
      <c r="J147" s="217"/>
      <c r="K147" s="217"/>
    </row>
    <row r="148" spans="1:11" x14ac:dyDescent="0.3">
      <c r="A148" s="217"/>
      <c r="B148" s="217"/>
      <c r="C148" s="217"/>
      <c r="D148" s="217"/>
      <c r="E148" s="217"/>
      <c r="F148" s="217"/>
      <c r="G148" s="217"/>
      <c r="H148" s="217"/>
      <c r="I148" s="217"/>
      <c r="J148" s="217"/>
      <c r="K148" s="217"/>
    </row>
    <row r="149" spans="1:11" x14ac:dyDescent="0.3">
      <c r="A149" s="217"/>
      <c r="B149" s="217"/>
      <c r="C149" s="217"/>
      <c r="D149" s="217"/>
      <c r="E149" s="217"/>
      <c r="F149" s="217"/>
      <c r="G149" s="217"/>
      <c r="H149" s="217"/>
      <c r="I149" s="217"/>
      <c r="J149" s="217"/>
      <c r="K149" s="217"/>
    </row>
    <row r="150" spans="1:11" ht="17.399999999999999" x14ac:dyDescent="0.3">
      <c r="F150" s="71" t="s">
        <v>111</v>
      </c>
    </row>
  </sheetData>
  <mergeCells count="2">
    <mergeCell ref="A142:K144"/>
    <mergeCell ref="A147:K149"/>
  </mergeCells>
  <pageMargins left="0.25" right="0.25"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765C4-F014-4204-8327-F3BDF9D524F0}">
  <sheetPr codeName="Foglio3"/>
  <dimension ref="A1:B110"/>
  <sheetViews>
    <sheetView topLeftCell="A17" workbookViewId="0">
      <selection activeCell="D10" sqref="D10"/>
    </sheetView>
  </sheetViews>
  <sheetFormatPr defaultRowHeight="16.8" x14ac:dyDescent="0.4"/>
  <cols>
    <col min="1" max="1" width="3.44140625" style="22" customWidth="1"/>
    <col min="2" max="2" width="83.33203125" style="24" customWidth="1"/>
  </cols>
  <sheetData>
    <row r="1" spans="1:2" ht="19.2" x14ac:dyDescent="0.45">
      <c r="A1" s="26" t="s">
        <v>236</v>
      </c>
      <c r="B1" s="23"/>
    </row>
    <row r="2" spans="1:2" x14ac:dyDescent="0.4">
      <c r="B2" s="23" t="s">
        <v>245</v>
      </c>
    </row>
    <row r="3" spans="1:2" x14ac:dyDescent="0.4">
      <c r="B3" s="24" t="s">
        <v>246</v>
      </c>
    </row>
    <row r="4" spans="1:2" x14ac:dyDescent="0.4">
      <c r="B4" s="23" t="s">
        <v>247</v>
      </c>
    </row>
    <row r="5" spans="1:2" x14ac:dyDescent="0.4">
      <c r="B5" s="24" t="s">
        <v>248</v>
      </c>
    </row>
    <row r="6" spans="1:2" x14ac:dyDescent="0.4">
      <c r="B6" s="24" t="s">
        <v>249</v>
      </c>
    </row>
    <row r="7" spans="1:2" x14ac:dyDescent="0.4">
      <c r="B7" s="23" t="s">
        <v>250</v>
      </c>
    </row>
    <row r="8" spans="1:2" x14ac:dyDescent="0.4">
      <c r="B8" s="24" t="s">
        <v>251</v>
      </c>
    </row>
    <row r="9" spans="1:2" x14ac:dyDescent="0.4">
      <c r="B9" s="24" t="s">
        <v>252</v>
      </c>
    </row>
    <row r="10" spans="1:2" ht="33.6" x14ac:dyDescent="0.4">
      <c r="B10" s="23" t="s">
        <v>253</v>
      </c>
    </row>
    <row r="11" spans="1:2" ht="33.6" x14ac:dyDescent="0.4">
      <c r="B11" s="24" t="s">
        <v>254</v>
      </c>
    </row>
    <row r="12" spans="1:2" x14ac:dyDescent="0.4">
      <c r="B12" s="22" t="s">
        <v>255</v>
      </c>
    </row>
    <row r="13" spans="1:2" ht="33.6" x14ac:dyDescent="0.4">
      <c r="B13" s="23" t="s">
        <v>256</v>
      </c>
    </row>
    <row r="14" spans="1:2" x14ac:dyDescent="0.4">
      <c r="B14" s="23" t="s">
        <v>257</v>
      </c>
    </row>
    <row r="15" spans="1:2" x14ac:dyDescent="0.4">
      <c r="B15" s="24" t="s">
        <v>258</v>
      </c>
    </row>
    <row r="16" spans="1:2" ht="33.6" x14ac:dyDescent="0.4">
      <c r="B16" s="23" t="s">
        <v>259</v>
      </c>
    </row>
    <row r="18" spans="1:2" ht="19.2" x14ac:dyDescent="0.45">
      <c r="A18" s="26" t="s">
        <v>237</v>
      </c>
    </row>
    <row r="19" spans="1:2" x14ac:dyDescent="0.4">
      <c r="B19" s="23" t="s">
        <v>260</v>
      </c>
    </row>
    <row r="20" spans="1:2" x14ac:dyDescent="0.4">
      <c r="B20" s="24" t="s">
        <v>261</v>
      </c>
    </row>
    <row r="21" spans="1:2" x14ac:dyDescent="0.4">
      <c r="B21" s="24" t="s">
        <v>262</v>
      </c>
    </row>
    <row r="22" spans="1:2" x14ac:dyDescent="0.4">
      <c r="B22" s="23" t="s">
        <v>263</v>
      </c>
    </row>
    <row r="23" spans="1:2" x14ac:dyDescent="0.4">
      <c r="B23" s="24" t="s">
        <v>264</v>
      </c>
    </row>
    <row r="24" spans="1:2" x14ac:dyDescent="0.4">
      <c r="B24" s="23" t="s">
        <v>265</v>
      </c>
    </row>
    <row r="25" spans="1:2" x14ac:dyDescent="0.4">
      <c r="B25" s="24" t="s">
        <v>266</v>
      </c>
    </row>
    <row r="26" spans="1:2" ht="33.6" x14ac:dyDescent="0.4">
      <c r="B26" s="24" t="s">
        <v>267</v>
      </c>
    </row>
    <row r="28" spans="1:2" ht="19.2" x14ac:dyDescent="0.45">
      <c r="A28" s="26" t="s">
        <v>238</v>
      </c>
    </row>
    <row r="29" spans="1:2" x14ac:dyDescent="0.4">
      <c r="B29" s="23" t="s">
        <v>268</v>
      </c>
    </row>
    <row r="30" spans="1:2" x14ac:dyDescent="0.4">
      <c r="B30" s="24" t="s">
        <v>269</v>
      </c>
    </row>
    <row r="31" spans="1:2" x14ac:dyDescent="0.4">
      <c r="B31" s="24" t="s">
        <v>270</v>
      </c>
    </row>
    <row r="32" spans="1:2" x14ac:dyDescent="0.4">
      <c r="B32" s="25" t="s">
        <v>271</v>
      </c>
    </row>
    <row r="33" spans="1:2" x14ac:dyDescent="0.4">
      <c r="B33" s="24" t="s">
        <v>272</v>
      </c>
    </row>
    <row r="35" spans="1:2" x14ac:dyDescent="0.4">
      <c r="A35" s="25" t="s">
        <v>239</v>
      </c>
    </row>
    <row r="36" spans="1:2" x14ac:dyDescent="0.4">
      <c r="B36" s="24" t="s">
        <v>273</v>
      </c>
    </row>
    <row r="37" spans="1:2" x14ac:dyDescent="0.4">
      <c r="B37" s="24" t="s">
        <v>274</v>
      </c>
    </row>
    <row r="38" spans="1:2" ht="33.6" x14ac:dyDescent="0.4">
      <c r="B38" s="24" t="s">
        <v>275</v>
      </c>
    </row>
    <row r="39" spans="1:2" x14ac:dyDescent="0.4">
      <c r="B39" s="24" t="s">
        <v>276</v>
      </c>
    </row>
    <row r="40" spans="1:2" x14ac:dyDescent="0.4">
      <c r="B40" s="24" t="s">
        <v>277</v>
      </c>
    </row>
    <row r="41" spans="1:2" x14ac:dyDescent="0.4">
      <c r="B41" s="22" t="s">
        <v>278</v>
      </c>
    </row>
    <row r="43" spans="1:2" x14ac:dyDescent="0.4">
      <c r="A43" s="25" t="s">
        <v>240</v>
      </c>
    </row>
    <row r="44" spans="1:2" x14ac:dyDescent="0.4">
      <c r="B44" s="22" t="s">
        <v>279</v>
      </c>
    </row>
    <row r="45" spans="1:2" x14ac:dyDescent="0.4">
      <c r="B45" s="22" t="s">
        <v>280</v>
      </c>
    </row>
    <row r="46" spans="1:2" x14ac:dyDescent="0.4">
      <c r="B46" s="22" t="s">
        <v>281</v>
      </c>
    </row>
    <row r="47" spans="1:2" x14ac:dyDescent="0.4">
      <c r="B47" s="22" t="s">
        <v>282</v>
      </c>
    </row>
    <row r="48" spans="1:2" x14ac:dyDescent="0.4">
      <c r="B48" s="22" t="s">
        <v>283</v>
      </c>
    </row>
    <row r="49" spans="1:2" x14ac:dyDescent="0.4">
      <c r="B49" s="22" t="s">
        <v>284</v>
      </c>
    </row>
    <row r="50" spans="1:2" x14ac:dyDescent="0.4">
      <c r="B50" s="22" t="s">
        <v>285</v>
      </c>
    </row>
    <row r="51" spans="1:2" x14ac:dyDescent="0.4">
      <c r="B51" s="22" t="s">
        <v>286</v>
      </c>
    </row>
    <row r="53" spans="1:2" x14ac:dyDescent="0.4">
      <c r="A53" s="25" t="s">
        <v>241</v>
      </c>
    </row>
    <row r="54" spans="1:2" x14ac:dyDescent="0.4">
      <c r="B54" s="22" t="s">
        <v>287</v>
      </c>
    </row>
    <row r="55" spans="1:2" x14ac:dyDescent="0.4">
      <c r="B55" s="22" t="s">
        <v>288</v>
      </c>
    </row>
    <row r="56" spans="1:2" x14ac:dyDescent="0.4">
      <c r="B56" s="22" t="s">
        <v>289</v>
      </c>
    </row>
    <row r="57" spans="1:2" x14ac:dyDescent="0.4">
      <c r="B57" s="22" t="s">
        <v>290</v>
      </c>
    </row>
    <row r="58" spans="1:2" x14ac:dyDescent="0.4">
      <c r="B58" s="22" t="s">
        <v>291</v>
      </c>
    </row>
    <row r="59" spans="1:2" x14ac:dyDescent="0.4">
      <c r="B59" s="22" t="s">
        <v>292</v>
      </c>
    </row>
    <row r="60" spans="1:2" x14ac:dyDescent="0.4">
      <c r="B60" s="22" t="s">
        <v>293</v>
      </c>
    </row>
    <row r="62" spans="1:2" x14ac:dyDescent="0.4">
      <c r="A62" s="25" t="s">
        <v>242</v>
      </c>
    </row>
    <row r="63" spans="1:2" x14ac:dyDescent="0.4">
      <c r="B63" s="24" t="s">
        <v>294</v>
      </c>
    </row>
    <row r="64" spans="1:2" x14ac:dyDescent="0.4">
      <c r="B64" s="24" t="s">
        <v>295</v>
      </c>
    </row>
    <row r="65" spans="2:2" x14ac:dyDescent="0.4">
      <c r="B65" s="24" t="s">
        <v>296</v>
      </c>
    </row>
    <row r="66" spans="2:2" x14ac:dyDescent="0.4">
      <c r="B66" s="24" t="s">
        <v>297</v>
      </c>
    </row>
    <row r="86" spans="2:2" x14ac:dyDescent="0.4">
      <c r="B86" s="24" t="s">
        <v>243</v>
      </c>
    </row>
    <row r="88" spans="2:2" x14ac:dyDescent="0.4">
      <c r="B88" s="24" t="s">
        <v>298</v>
      </c>
    </row>
    <row r="89" spans="2:2" x14ac:dyDescent="0.4">
      <c r="B89" s="24" t="s">
        <v>299</v>
      </c>
    </row>
    <row r="90" spans="2:2" x14ac:dyDescent="0.4">
      <c r="B90" s="24" t="s">
        <v>300</v>
      </c>
    </row>
    <row r="91" spans="2:2" x14ac:dyDescent="0.4">
      <c r="B91" s="24" t="s">
        <v>301</v>
      </c>
    </row>
    <row r="92" spans="2:2" x14ac:dyDescent="0.4">
      <c r="B92" s="24" t="s">
        <v>302</v>
      </c>
    </row>
    <row r="93" spans="2:2" ht="33.6" x14ac:dyDescent="0.4">
      <c r="B93" s="24" t="s">
        <v>303</v>
      </c>
    </row>
    <row r="94" spans="2:2" x14ac:dyDescent="0.4">
      <c r="B94" s="24" t="s">
        <v>304</v>
      </c>
    </row>
    <row r="98" spans="2:2" x14ac:dyDescent="0.4">
      <c r="B98" s="24" t="s">
        <v>244</v>
      </c>
    </row>
    <row r="100" spans="2:2" x14ac:dyDescent="0.4">
      <c r="B100" s="24" t="s">
        <v>305</v>
      </c>
    </row>
    <row r="102" spans="2:2" x14ac:dyDescent="0.4">
      <c r="B102" s="24" t="s">
        <v>306</v>
      </c>
    </row>
    <row r="104" spans="2:2" x14ac:dyDescent="0.4">
      <c r="B104" s="24" t="s">
        <v>307</v>
      </c>
    </row>
    <row r="106" spans="2:2" x14ac:dyDescent="0.4">
      <c r="B106" s="24" t="s">
        <v>308</v>
      </c>
    </row>
    <row r="108" spans="2:2" x14ac:dyDescent="0.4">
      <c r="B108" s="24" t="s">
        <v>309</v>
      </c>
    </row>
    <row r="110" spans="2:2" ht="33.6" x14ac:dyDescent="0.4">
      <c r="B110" s="24" t="s">
        <v>310</v>
      </c>
    </row>
  </sheetData>
  <pageMargins left="0.25" right="0.25"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B1265-A304-4A70-84A2-1BEE78880113}">
  <sheetPr codeName="Foglio4"/>
  <dimension ref="A1:U31"/>
  <sheetViews>
    <sheetView zoomScale="110" zoomScaleNormal="110" workbookViewId="0">
      <selection activeCell="N24" sqref="N24"/>
    </sheetView>
  </sheetViews>
  <sheetFormatPr defaultRowHeight="14.4" x14ac:dyDescent="0.3"/>
  <cols>
    <col min="1" max="1" width="22.5546875" customWidth="1"/>
    <col min="2" max="2" width="4.88671875" style="5" customWidth="1"/>
  </cols>
  <sheetData>
    <row r="1" spans="1:21" ht="21" customHeight="1" x14ac:dyDescent="0.3">
      <c r="A1" s="228" t="s">
        <v>209</v>
      </c>
      <c r="B1" s="228"/>
      <c r="C1" s="228"/>
      <c r="D1" s="228"/>
      <c r="E1" s="228"/>
      <c r="F1" s="228"/>
      <c r="G1" s="228"/>
      <c r="H1" s="228"/>
      <c r="I1" s="228"/>
      <c r="J1" s="228"/>
      <c r="K1" s="34"/>
      <c r="L1" s="34"/>
      <c r="M1" s="34"/>
      <c r="N1" s="34"/>
      <c r="O1" s="34"/>
      <c r="P1" s="34"/>
      <c r="Q1" s="34"/>
      <c r="R1" s="34"/>
      <c r="S1" s="34"/>
      <c r="T1" s="34"/>
      <c r="U1" s="29"/>
    </row>
    <row r="2" spans="1:21" ht="4.2" customHeight="1" x14ac:dyDescent="0.35">
      <c r="A2" s="30"/>
      <c r="B2" s="31"/>
      <c r="C2" s="32"/>
      <c r="D2" s="32"/>
      <c r="E2" s="32"/>
      <c r="F2" s="32"/>
      <c r="G2" s="32"/>
      <c r="H2" s="32"/>
      <c r="I2" s="32"/>
      <c r="J2" s="32"/>
      <c r="K2" s="33"/>
      <c r="L2" s="33"/>
      <c r="M2" s="33"/>
      <c r="N2" s="33"/>
      <c r="O2" s="33"/>
      <c r="P2" s="33"/>
      <c r="Q2" s="33"/>
      <c r="R2" s="33"/>
      <c r="S2" s="33"/>
      <c r="T2" s="33"/>
      <c r="U2" s="33"/>
    </row>
    <row r="3" spans="1:21" ht="21" customHeight="1" x14ac:dyDescent="0.3">
      <c r="A3" s="7"/>
      <c r="B3" s="6"/>
      <c r="D3" s="27"/>
      <c r="E3" s="28" t="s">
        <v>222</v>
      </c>
      <c r="F3" s="27"/>
      <c r="G3" s="27"/>
      <c r="H3" s="27"/>
    </row>
    <row r="4" spans="1:21" x14ac:dyDescent="0.3">
      <c r="A4" s="7"/>
      <c r="B4" s="6"/>
      <c r="C4" s="12" t="s">
        <v>213</v>
      </c>
      <c r="D4" s="12" t="s">
        <v>214</v>
      </c>
      <c r="E4" s="12" t="s">
        <v>215</v>
      </c>
      <c r="F4" s="12" t="s">
        <v>216</v>
      </c>
      <c r="G4" s="12" t="s">
        <v>217</v>
      </c>
      <c r="H4" s="12" t="s">
        <v>218</v>
      </c>
      <c r="I4" s="12" t="s">
        <v>311</v>
      </c>
      <c r="J4" s="12" t="s">
        <v>311</v>
      </c>
    </row>
    <row r="5" spans="1:21" ht="17.399999999999999" x14ac:dyDescent="0.3">
      <c r="A5" s="10" t="s">
        <v>231</v>
      </c>
      <c r="B5" s="19" t="s">
        <v>228</v>
      </c>
      <c r="C5" s="9" t="s">
        <v>235</v>
      </c>
      <c r="D5" s="9" t="s">
        <v>235</v>
      </c>
      <c r="E5" s="9" t="s">
        <v>235</v>
      </c>
      <c r="F5" s="9" t="s">
        <v>235</v>
      </c>
      <c r="G5" s="9" t="s">
        <v>235</v>
      </c>
      <c r="H5" s="9" t="s">
        <v>235</v>
      </c>
      <c r="I5" s="9" t="s">
        <v>235</v>
      </c>
      <c r="J5" s="9" t="s">
        <v>235</v>
      </c>
    </row>
    <row r="6" spans="1:21" ht="5.4" customHeight="1" x14ac:dyDescent="0.3">
      <c r="A6" s="7"/>
      <c r="B6" s="6"/>
      <c r="C6" s="7"/>
      <c r="D6" s="7"/>
      <c r="E6" s="7"/>
      <c r="F6" s="7"/>
      <c r="G6" s="7"/>
      <c r="H6" s="7"/>
    </row>
    <row r="7" spans="1:21" ht="17.399999999999999" customHeight="1" x14ac:dyDescent="0.3">
      <c r="A7" s="15" t="s">
        <v>229</v>
      </c>
      <c r="B7" s="21">
        <v>3</v>
      </c>
      <c r="C7" s="20" t="b">
        <v>0</v>
      </c>
      <c r="D7" s="20" t="b">
        <v>0</v>
      </c>
      <c r="E7" s="20" t="b">
        <v>0</v>
      </c>
      <c r="F7" s="20" t="b">
        <v>0</v>
      </c>
      <c r="G7" s="20" t="b">
        <v>0</v>
      </c>
      <c r="H7" s="20" t="b">
        <v>0</v>
      </c>
      <c r="I7" s="20" t="b">
        <v>0</v>
      </c>
      <c r="J7" s="20" t="b">
        <v>0</v>
      </c>
    </row>
    <row r="8" spans="1:21" s="8" customFormat="1" ht="18" customHeight="1" x14ac:dyDescent="0.3">
      <c r="A8" s="16" t="s">
        <v>210</v>
      </c>
      <c r="B8" s="21">
        <v>2</v>
      </c>
      <c r="C8" s="20" t="b">
        <v>0</v>
      </c>
      <c r="D8" s="20" t="b">
        <v>0</v>
      </c>
      <c r="E8" s="20" t="b">
        <v>0</v>
      </c>
      <c r="F8" s="20" t="b">
        <v>0</v>
      </c>
      <c r="G8" s="20" t="b">
        <v>0</v>
      </c>
      <c r="H8" s="20" t="b">
        <v>0</v>
      </c>
      <c r="I8" s="20" t="b">
        <v>0</v>
      </c>
      <c r="J8" s="20" t="b">
        <v>0</v>
      </c>
    </row>
    <row r="9" spans="1:21" s="8" customFormat="1" ht="18" customHeight="1" x14ac:dyDescent="0.3">
      <c r="A9" s="16" t="s">
        <v>211</v>
      </c>
      <c r="B9" s="21">
        <v>3</v>
      </c>
      <c r="C9" s="20" t="b">
        <v>0</v>
      </c>
      <c r="D9" s="20" t="b">
        <v>0</v>
      </c>
      <c r="E9" s="20" t="b">
        <v>0</v>
      </c>
      <c r="F9" s="20" t="b">
        <v>0</v>
      </c>
      <c r="G9" s="20" t="b">
        <v>0</v>
      </c>
      <c r="H9" s="20" t="b">
        <v>0</v>
      </c>
      <c r="I9" s="20" t="b">
        <v>0</v>
      </c>
      <c r="J9" s="20" t="b">
        <v>0</v>
      </c>
    </row>
    <row r="10" spans="1:21" s="8" customFormat="1" ht="18" customHeight="1" x14ac:dyDescent="0.3">
      <c r="A10" s="16" t="s">
        <v>212</v>
      </c>
      <c r="B10" s="21">
        <v>2</v>
      </c>
      <c r="C10" s="20" t="b">
        <v>0</v>
      </c>
      <c r="D10" s="20" t="b">
        <v>0</v>
      </c>
      <c r="E10" s="20" t="b">
        <v>0</v>
      </c>
      <c r="F10" s="20" t="b">
        <v>0</v>
      </c>
      <c r="G10" s="20" t="b">
        <v>0</v>
      </c>
      <c r="H10" s="20" t="b">
        <v>0</v>
      </c>
      <c r="I10" s="20" t="b">
        <v>0</v>
      </c>
      <c r="J10" s="20" t="b">
        <v>0</v>
      </c>
    </row>
    <row r="11" spans="1:21" s="8" customFormat="1" ht="7.2" customHeight="1" x14ac:dyDescent="0.3">
      <c r="A11" s="11"/>
      <c r="B11" s="21"/>
      <c r="C11" s="6"/>
      <c r="D11" s="6"/>
      <c r="E11" s="6"/>
      <c r="F11" s="6"/>
      <c r="G11" s="6"/>
      <c r="H11" s="6"/>
      <c r="I11" s="6"/>
      <c r="J11" s="6"/>
    </row>
    <row r="12" spans="1:21" s="8" customFormat="1" ht="18" customHeight="1" x14ac:dyDescent="0.3">
      <c r="A12" s="17" t="s">
        <v>219</v>
      </c>
      <c r="B12" s="21">
        <v>3</v>
      </c>
      <c r="C12" s="20" t="b">
        <v>0</v>
      </c>
      <c r="D12" s="20" t="b">
        <v>0</v>
      </c>
      <c r="E12" s="20" t="b">
        <v>0</v>
      </c>
      <c r="F12" s="20" t="b">
        <v>0</v>
      </c>
      <c r="G12" s="20" t="b">
        <v>0</v>
      </c>
      <c r="H12" s="20" t="b">
        <v>0</v>
      </c>
      <c r="I12" s="20" t="b">
        <v>0</v>
      </c>
      <c r="J12" s="20" t="b">
        <v>0</v>
      </c>
    </row>
    <row r="13" spans="1:21" s="8" customFormat="1" ht="18" customHeight="1" x14ac:dyDescent="0.3">
      <c r="A13" s="17" t="s">
        <v>220</v>
      </c>
      <c r="B13" s="21">
        <v>1</v>
      </c>
      <c r="C13" s="20" t="b">
        <v>0</v>
      </c>
      <c r="D13" s="20" t="b">
        <v>0</v>
      </c>
      <c r="E13" s="20" t="b">
        <v>0</v>
      </c>
      <c r="F13" s="20" t="b">
        <v>0</v>
      </c>
      <c r="G13" s="20" t="b">
        <v>0</v>
      </c>
      <c r="H13" s="20" t="b">
        <v>0</v>
      </c>
      <c r="I13" s="20" t="b">
        <v>0</v>
      </c>
      <c r="J13" s="20" t="b">
        <v>0</v>
      </c>
    </row>
    <row r="14" spans="1:21" s="8" customFormat="1" ht="18" customHeight="1" x14ac:dyDescent="0.3">
      <c r="A14" s="17" t="s">
        <v>221</v>
      </c>
      <c r="B14" s="21">
        <v>3</v>
      </c>
      <c r="C14" s="20" t="b">
        <v>0</v>
      </c>
      <c r="D14" s="20" t="b">
        <v>0</v>
      </c>
      <c r="E14" s="20" t="b">
        <v>0</v>
      </c>
      <c r="F14" s="20" t="b">
        <v>0</v>
      </c>
      <c r="G14" s="20" t="b">
        <v>0</v>
      </c>
      <c r="H14" s="20" t="b">
        <v>0</v>
      </c>
      <c r="I14" s="20" t="b">
        <v>0</v>
      </c>
      <c r="J14" s="20" t="b">
        <v>0</v>
      </c>
    </row>
    <row r="15" spans="1:21" s="8" customFormat="1" ht="7.2" customHeight="1" x14ac:dyDescent="0.3">
      <c r="A15" s="11"/>
      <c r="B15" s="21"/>
      <c r="C15" s="6"/>
      <c r="D15" s="6"/>
      <c r="E15" s="6"/>
      <c r="F15" s="6"/>
      <c r="G15" s="6"/>
      <c r="H15" s="6"/>
      <c r="I15" s="6"/>
      <c r="J15" s="6"/>
    </row>
    <row r="16" spans="1:21" s="8" customFormat="1" ht="18" customHeight="1" x14ac:dyDescent="0.3">
      <c r="A16" s="18" t="s">
        <v>232</v>
      </c>
      <c r="B16" s="21">
        <v>1</v>
      </c>
      <c r="C16" s="20" t="b">
        <v>0</v>
      </c>
      <c r="D16" s="20" t="b">
        <v>0</v>
      </c>
      <c r="E16" s="20" t="b">
        <v>0</v>
      </c>
      <c r="F16" s="20" t="b">
        <v>0</v>
      </c>
      <c r="G16" s="20" t="b">
        <v>0</v>
      </c>
      <c r="H16" s="20" t="b">
        <v>0</v>
      </c>
      <c r="I16" s="20" t="b">
        <v>0</v>
      </c>
      <c r="J16" s="20" t="b">
        <v>0</v>
      </c>
    </row>
    <row r="18" spans="1:10" x14ac:dyDescent="0.3">
      <c r="A18" s="14" t="s">
        <v>313</v>
      </c>
    </row>
    <row r="19" spans="1:10" x14ac:dyDescent="0.3">
      <c r="A19" s="14" t="s">
        <v>312</v>
      </c>
    </row>
    <row r="20" spans="1:10" x14ac:dyDescent="0.3">
      <c r="A20" s="14" t="s">
        <v>314</v>
      </c>
    </row>
    <row r="21" spans="1:10" ht="4.8" customHeight="1" x14ac:dyDescent="0.3"/>
    <row r="23" spans="1:10" ht="46.2" customHeight="1" x14ac:dyDescent="0.3">
      <c r="A23" s="13" t="s">
        <v>229</v>
      </c>
      <c r="C23" s="227" t="s">
        <v>230</v>
      </c>
      <c r="D23" s="227"/>
      <c r="E23" s="227"/>
      <c r="F23" s="227"/>
      <c r="G23" s="227"/>
      <c r="H23" s="227"/>
      <c r="I23" s="227"/>
      <c r="J23" s="227"/>
    </row>
    <row r="24" spans="1:10" ht="46.2" customHeight="1" x14ac:dyDescent="0.3">
      <c r="A24" s="13" t="s">
        <v>210</v>
      </c>
      <c r="C24" s="227" t="s">
        <v>223</v>
      </c>
      <c r="D24" s="227"/>
      <c r="E24" s="227"/>
      <c r="F24" s="227"/>
      <c r="G24" s="227"/>
      <c r="H24" s="227"/>
      <c r="I24" s="227"/>
      <c r="J24" s="227"/>
    </row>
    <row r="25" spans="1:10" ht="46.2" customHeight="1" x14ac:dyDescent="0.3">
      <c r="A25" s="13" t="s">
        <v>211</v>
      </c>
      <c r="C25" s="227" t="s">
        <v>224</v>
      </c>
      <c r="D25" s="227"/>
      <c r="E25" s="227"/>
      <c r="F25" s="227"/>
      <c r="G25" s="227"/>
      <c r="H25" s="227"/>
      <c r="I25" s="227"/>
      <c r="J25" s="227"/>
    </row>
    <row r="26" spans="1:10" ht="46.2" customHeight="1" x14ac:dyDescent="0.3">
      <c r="A26" s="13" t="s">
        <v>212</v>
      </c>
      <c r="C26" s="227" t="s">
        <v>225</v>
      </c>
      <c r="D26" s="227"/>
      <c r="E26" s="227"/>
      <c r="F26" s="227"/>
      <c r="G26" s="227"/>
      <c r="H26" s="227"/>
      <c r="I26" s="227"/>
      <c r="J26" s="227"/>
    </row>
    <row r="27" spans="1:10" ht="46.2" customHeight="1" x14ac:dyDescent="0.3">
      <c r="A27" s="13" t="s">
        <v>219</v>
      </c>
      <c r="C27" s="227" t="s">
        <v>226</v>
      </c>
      <c r="D27" s="227"/>
      <c r="E27" s="227"/>
      <c r="F27" s="227"/>
      <c r="G27" s="227"/>
      <c r="H27" s="227"/>
      <c r="I27" s="227"/>
      <c r="J27" s="227"/>
    </row>
    <row r="28" spans="1:10" ht="46.2" customHeight="1" x14ac:dyDescent="0.3">
      <c r="A28" s="13" t="s">
        <v>220</v>
      </c>
      <c r="C28" s="227" t="s">
        <v>227</v>
      </c>
      <c r="D28" s="227"/>
      <c r="E28" s="227"/>
      <c r="F28" s="227"/>
      <c r="G28" s="227"/>
      <c r="H28" s="227"/>
      <c r="I28" s="227"/>
      <c r="J28" s="227"/>
    </row>
    <row r="29" spans="1:10" ht="46.2" customHeight="1" x14ac:dyDescent="0.3">
      <c r="A29" s="13" t="s">
        <v>221</v>
      </c>
      <c r="C29" s="227" t="s">
        <v>234</v>
      </c>
      <c r="D29" s="227"/>
      <c r="E29" s="227"/>
      <c r="F29" s="227"/>
      <c r="G29" s="227"/>
      <c r="H29" s="227"/>
      <c r="I29" s="227"/>
      <c r="J29" s="227"/>
    </row>
    <row r="30" spans="1:10" ht="46.8" customHeight="1" x14ac:dyDescent="0.3">
      <c r="A30" s="13" t="s">
        <v>232</v>
      </c>
      <c r="C30" s="227" t="s">
        <v>233</v>
      </c>
      <c r="D30" s="227"/>
      <c r="E30" s="227"/>
      <c r="F30" s="227"/>
      <c r="G30" s="227"/>
      <c r="H30" s="227"/>
      <c r="I30" s="227"/>
      <c r="J30" s="227"/>
    </row>
    <row r="31" spans="1:10" x14ac:dyDescent="0.3">
      <c r="B31"/>
    </row>
  </sheetData>
  <mergeCells count="9">
    <mergeCell ref="C29:J29"/>
    <mergeCell ref="C30:J30"/>
    <mergeCell ref="A1:J1"/>
    <mergeCell ref="C23:J23"/>
    <mergeCell ref="C24:J24"/>
    <mergeCell ref="C25:J25"/>
    <mergeCell ref="C26:J26"/>
    <mergeCell ref="C27:J27"/>
    <mergeCell ref="C28:J28"/>
  </mergeCells>
  <phoneticPr fontId="11" type="noConversion"/>
  <pageMargins left="0.25" right="0.25"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1DFD-0677-48BC-BE67-FCB74B646958}">
  <sheetPr codeName="Foglio5"/>
  <dimension ref="A1:X127"/>
  <sheetViews>
    <sheetView workbookViewId="0">
      <selection activeCell="AD9" sqref="AD9"/>
    </sheetView>
  </sheetViews>
  <sheetFormatPr defaultRowHeight="15.6" x14ac:dyDescent="0.35"/>
  <cols>
    <col min="1" max="1" width="21.77734375" style="35" customWidth="1"/>
    <col min="2" max="6" width="2.5546875" customWidth="1"/>
    <col min="7" max="7" width="4.21875" customWidth="1"/>
    <col min="8" max="12" width="2.5546875" customWidth="1"/>
    <col min="13" max="13" width="4.21875" customWidth="1"/>
    <col min="14" max="14" width="16.44140625" customWidth="1"/>
    <col min="15" max="27" width="2.5546875" customWidth="1"/>
  </cols>
  <sheetData>
    <row r="1" spans="1:24" x14ac:dyDescent="0.35">
      <c r="A1" s="43" t="s">
        <v>315</v>
      </c>
      <c r="N1" s="43" t="s">
        <v>56</v>
      </c>
    </row>
    <row r="3" spans="1:24" x14ac:dyDescent="0.3">
      <c r="A3" s="36" t="s">
        <v>11</v>
      </c>
      <c r="B3" s="37"/>
      <c r="C3" s="38"/>
      <c r="D3" s="37"/>
      <c r="E3" s="39"/>
      <c r="F3" s="37"/>
      <c r="G3" s="2"/>
      <c r="H3" s="37"/>
      <c r="I3" s="39"/>
      <c r="J3" s="39"/>
      <c r="K3" s="39"/>
      <c r="L3" s="39"/>
      <c r="N3" s="36" t="s">
        <v>316</v>
      </c>
      <c r="O3" s="39"/>
      <c r="P3" s="39"/>
      <c r="Q3" s="39"/>
      <c r="R3" s="39"/>
      <c r="S3" s="39"/>
      <c r="T3" s="39"/>
      <c r="U3" s="39"/>
      <c r="V3" s="39"/>
      <c r="W3" s="39"/>
      <c r="X3" s="39"/>
    </row>
    <row r="4" spans="1:24" x14ac:dyDescent="0.3">
      <c r="A4" s="36" t="s">
        <v>14</v>
      </c>
      <c r="B4" s="37"/>
      <c r="C4" s="38"/>
      <c r="D4" s="37"/>
      <c r="E4" s="39"/>
      <c r="F4" s="37"/>
      <c r="G4" s="2"/>
      <c r="H4" s="37"/>
      <c r="I4" s="39"/>
      <c r="J4" s="39"/>
      <c r="K4" s="39"/>
      <c r="L4" s="39"/>
      <c r="N4" s="36" t="s">
        <v>317</v>
      </c>
      <c r="O4" s="39"/>
      <c r="P4" s="39"/>
      <c r="Q4" s="39"/>
      <c r="R4" s="39"/>
      <c r="S4" s="39"/>
      <c r="T4" s="39"/>
      <c r="U4" s="39"/>
      <c r="V4" s="39"/>
      <c r="W4" s="39"/>
      <c r="X4" s="39"/>
    </row>
    <row r="5" spans="1:24" x14ac:dyDescent="0.3">
      <c r="A5" s="36" t="s">
        <v>15</v>
      </c>
      <c r="B5" s="37"/>
      <c r="C5" s="38"/>
      <c r="D5" s="37"/>
      <c r="E5" s="39"/>
      <c r="F5" s="37"/>
      <c r="G5" s="2"/>
      <c r="H5" s="37"/>
      <c r="I5" s="39"/>
      <c r="J5" s="39"/>
      <c r="K5" s="39"/>
      <c r="L5" s="39"/>
      <c r="N5" s="36" t="s">
        <v>318</v>
      </c>
      <c r="O5" s="39"/>
      <c r="P5" s="39"/>
      <c r="Q5" s="39"/>
      <c r="R5" s="39"/>
      <c r="S5" s="39"/>
      <c r="T5" s="39"/>
      <c r="U5" s="39"/>
      <c r="V5" s="39"/>
      <c r="W5" s="39"/>
      <c r="X5" s="39"/>
    </row>
    <row r="6" spans="1:24" x14ac:dyDescent="0.3">
      <c r="A6" s="36" t="s">
        <v>12</v>
      </c>
      <c r="B6" s="39"/>
      <c r="C6" s="39"/>
      <c r="D6" s="39"/>
      <c r="E6" s="39"/>
      <c r="F6" s="39"/>
      <c r="H6" s="39"/>
      <c r="I6" s="39"/>
      <c r="J6" s="39"/>
      <c r="K6" s="39"/>
      <c r="L6" s="39"/>
      <c r="N6" s="36" t="s">
        <v>319</v>
      </c>
      <c r="O6" s="39"/>
      <c r="P6" s="39"/>
      <c r="Q6" s="39"/>
      <c r="R6" s="39"/>
      <c r="S6" s="39"/>
      <c r="T6" s="39"/>
      <c r="U6" s="39"/>
      <c r="V6" s="39"/>
      <c r="W6" s="39"/>
      <c r="X6" s="39"/>
    </row>
    <row r="7" spans="1:24" x14ac:dyDescent="0.3">
      <c r="A7" s="36" t="s">
        <v>16</v>
      </c>
      <c r="B7" s="39"/>
      <c r="C7" s="39"/>
      <c r="D7" s="39"/>
      <c r="E7" s="39"/>
      <c r="F7" s="39"/>
      <c r="H7" s="39"/>
      <c r="I7" s="39"/>
      <c r="J7" s="39"/>
      <c r="K7" s="39"/>
      <c r="L7" s="39"/>
      <c r="N7" s="36" t="s">
        <v>129</v>
      </c>
      <c r="O7" s="39"/>
      <c r="P7" s="39"/>
      <c r="Q7" s="39"/>
      <c r="R7" s="39"/>
      <c r="S7" s="39"/>
      <c r="T7" s="39"/>
      <c r="U7" s="39"/>
      <c r="V7" s="39"/>
      <c r="W7" s="39"/>
      <c r="X7" s="39"/>
    </row>
    <row r="8" spans="1:24" x14ac:dyDescent="0.3">
      <c r="A8" s="36" t="s">
        <v>17</v>
      </c>
      <c r="B8" s="39"/>
      <c r="C8" s="39"/>
      <c r="D8" s="39"/>
      <c r="E8" s="39"/>
      <c r="F8" s="39"/>
      <c r="H8" s="39"/>
      <c r="I8" s="39"/>
      <c r="J8" s="39"/>
      <c r="K8" s="39"/>
      <c r="L8" s="39"/>
      <c r="N8" s="36" t="s">
        <v>327</v>
      </c>
      <c r="O8" s="39"/>
      <c r="P8" s="39"/>
      <c r="Q8" s="39"/>
      <c r="R8" s="39"/>
      <c r="S8" s="39"/>
      <c r="T8" s="39"/>
      <c r="U8" s="39"/>
      <c r="V8" s="39"/>
      <c r="W8" s="39"/>
      <c r="X8" s="39"/>
    </row>
    <row r="9" spans="1:24" x14ac:dyDescent="0.3">
      <c r="A9" s="36" t="s">
        <v>13</v>
      </c>
      <c r="B9" s="39"/>
      <c r="C9" s="39"/>
      <c r="D9" s="39"/>
      <c r="E9" s="39"/>
      <c r="F9" s="39"/>
      <c r="H9" s="39"/>
      <c r="I9" s="39"/>
      <c r="J9" s="39"/>
      <c r="K9" s="39"/>
      <c r="L9" s="39"/>
      <c r="N9" s="36" t="s">
        <v>328</v>
      </c>
      <c r="O9" s="39"/>
      <c r="P9" s="39"/>
      <c r="Q9" s="39"/>
      <c r="R9" s="39"/>
      <c r="S9" s="39"/>
      <c r="T9" s="39"/>
      <c r="U9" s="39"/>
      <c r="V9" s="39"/>
      <c r="W9" s="39"/>
      <c r="X9" s="39"/>
    </row>
    <row r="10" spans="1:24" x14ac:dyDescent="0.3">
      <c r="A10" s="36" t="s">
        <v>18</v>
      </c>
      <c r="B10" s="39"/>
      <c r="C10" s="39"/>
      <c r="D10" s="39"/>
      <c r="E10" s="39"/>
      <c r="F10" s="39"/>
      <c r="H10" s="39"/>
      <c r="I10" s="39"/>
      <c r="J10" s="39"/>
      <c r="K10" s="39"/>
      <c r="L10" s="39"/>
      <c r="N10" s="36" t="s">
        <v>320</v>
      </c>
      <c r="O10" s="39"/>
      <c r="P10" s="39"/>
      <c r="Q10" s="39"/>
      <c r="R10" s="39"/>
      <c r="S10" s="39"/>
      <c r="T10" s="39"/>
      <c r="U10" s="39"/>
      <c r="V10" s="39"/>
      <c r="W10" s="39"/>
      <c r="X10" s="39"/>
    </row>
    <row r="11" spans="1:24" x14ac:dyDescent="0.3">
      <c r="A11" s="36" t="s">
        <v>19</v>
      </c>
      <c r="B11" s="39"/>
      <c r="C11" s="39"/>
      <c r="D11" s="39"/>
      <c r="E11" s="39"/>
      <c r="F11" s="39"/>
      <c r="H11" s="39"/>
      <c r="I11" s="39"/>
      <c r="J11" s="39"/>
      <c r="K11" s="39"/>
      <c r="L11" s="39"/>
      <c r="N11" s="36" t="s">
        <v>130</v>
      </c>
      <c r="O11" s="39"/>
      <c r="P11" s="39"/>
      <c r="Q11" s="39"/>
      <c r="R11" s="39"/>
      <c r="S11" s="39"/>
      <c r="T11" s="39"/>
      <c r="U11" s="39"/>
      <c r="V11" s="39"/>
      <c r="W11" s="39"/>
      <c r="X11" s="39"/>
    </row>
    <row r="12" spans="1:24" x14ac:dyDescent="0.3">
      <c r="A12" s="36"/>
      <c r="N12" s="36" t="s">
        <v>321</v>
      </c>
      <c r="O12" s="39"/>
      <c r="P12" s="39"/>
      <c r="Q12" s="39"/>
      <c r="R12" s="39"/>
      <c r="S12" s="39"/>
      <c r="T12" s="39"/>
      <c r="U12" s="39"/>
      <c r="V12" s="39"/>
      <c r="W12" s="39"/>
      <c r="X12" s="39"/>
    </row>
    <row r="13" spans="1:24" x14ac:dyDescent="0.3">
      <c r="A13" s="36" t="s">
        <v>23</v>
      </c>
      <c r="B13" s="39"/>
      <c r="C13" s="39"/>
      <c r="D13" s="39"/>
      <c r="E13" s="39"/>
      <c r="F13" s="39"/>
      <c r="H13" s="39"/>
      <c r="I13" s="39"/>
      <c r="J13" s="39"/>
      <c r="K13" s="39"/>
      <c r="L13" s="39"/>
      <c r="N13" s="36" t="s">
        <v>329</v>
      </c>
      <c r="O13" s="39"/>
      <c r="P13" s="39"/>
      <c r="Q13" s="39"/>
      <c r="R13" s="39"/>
      <c r="S13" s="39"/>
      <c r="T13" s="39"/>
      <c r="U13" s="39"/>
      <c r="V13" s="39"/>
      <c r="W13" s="39"/>
      <c r="X13" s="39"/>
    </row>
    <row r="14" spans="1:24" x14ac:dyDescent="0.3">
      <c r="A14" s="36" t="s">
        <v>32</v>
      </c>
      <c r="B14" s="39"/>
      <c r="C14" s="39"/>
      <c r="D14" s="39"/>
      <c r="E14" s="39"/>
      <c r="F14" s="39"/>
      <c r="H14" s="39"/>
      <c r="I14" s="39"/>
      <c r="J14" s="39"/>
      <c r="K14" s="39"/>
      <c r="L14" s="39"/>
      <c r="N14" s="36" t="s">
        <v>330</v>
      </c>
      <c r="O14" s="39"/>
      <c r="P14" s="39"/>
      <c r="Q14" s="39"/>
      <c r="R14" s="39"/>
      <c r="S14" s="39"/>
      <c r="T14" s="39"/>
      <c r="U14" s="39"/>
      <c r="V14" s="39"/>
      <c r="W14" s="39"/>
      <c r="X14" s="39"/>
    </row>
    <row r="15" spans="1:24" x14ac:dyDescent="0.3">
      <c r="A15" s="36" t="s">
        <v>52</v>
      </c>
      <c r="B15" s="39"/>
      <c r="C15" s="39"/>
      <c r="D15" s="39"/>
      <c r="E15" s="39"/>
      <c r="F15" s="39"/>
      <c r="H15" s="39"/>
      <c r="I15" s="39"/>
      <c r="J15" s="39"/>
      <c r="K15" s="39"/>
      <c r="L15" s="39"/>
      <c r="N15" s="36" t="s">
        <v>322</v>
      </c>
      <c r="O15" s="39"/>
      <c r="P15" s="39"/>
      <c r="Q15" s="39"/>
      <c r="R15" s="39"/>
      <c r="S15" s="39"/>
      <c r="T15" s="39"/>
      <c r="U15" s="39"/>
      <c r="V15" s="39"/>
      <c r="W15" s="39"/>
      <c r="X15" s="39"/>
    </row>
    <row r="16" spans="1:24" x14ac:dyDescent="0.3">
      <c r="A16" s="36" t="s">
        <v>26</v>
      </c>
      <c r="B16" s="39"/>
      <c r="C16" s="39"/>
      <c r="D16" s="39"/>
      <c r="E16" s="39"/>
      <c r="F16" s="39"/>
      <c r="H16" s="39"/>
      <c r="I16" s="39"/>
      <c r="J16" s="39"/>
      <c r="K16" s="39"/>
      <c r="L16" s="39"/>
      <c r="N16" s="36" t="s">
        <v>323</v>
      </c>
      <c r="O16" s="39"/>
      <c r="P16" s="39"/>
      <c r="Q16" s="39"/>
      <c r="R16" s="39"/>
      <c r="S16" s="39"/>
      <c r="T16" s="39"/>
      <c r="U16" s="39"/>
      <c r="V16" s="39"/>
      <c r="W16" s="39"/>
      <c r="X16" s="39"/>
    </row>
    <row r="17" spans="1:24" x14ac:dyDescent="0.3">
      <c r="A17" s="36" t="s">
        <v>27</v>
      </c>
      <c r="B17" s="39"/>
      <c r="C17" s="39"/>
      <c r="D17" s="39"/>
      <c r="E17" s="39"/>
      <c r="F17" s="39"/>
      <c r="H17" s="39"/>
      <c r="I17" s="39"/>
      <c r="J17" s="39"/>
      <c r="K17" s="39"/>
      <c r="L17" s="39"/>
      <c r="N17" s="36" t="s">
        <v>324</v>
      </c>
      <c r="O17" s="39"/>
      <c r="P17" s="39"/>
      <c r="Q17" s="39"/>
      <c r="R17" s="39"/>
      <c r="S17" s="39"/>
      <c r="T17" s="39"/>
      <c r="U17" s="39"/>
      <c r="V17" s="39"/>
      <c r="W17" s="39"/>
      <c r="X17" s="39"/>
    </row>
    <row r="18" spans="1:24" x14ac:dyDescent="0.3">
      <c r="A18" s="36" t="s">
        <v>28</v>
      </c>
      <c r="B18" s="39"/>
      <c r="C18" s="39"/>
      <c r="D18" s="39"/>
      <c r="E18" s="39"/>
      <c r="F18" s="39"/>
      <c r="H18" s="39"/>
      <c r="I18" s="39"/>
      <c r="J18" s="39"/>
      <c r="K18" s="39"/>
      <c r="L18" s="39"/>
      <c r="N18" s="36" t="s">
        <v>325</v>
      </c>
      <c r="O18" s="39"/>
      <c r="P18" s="39"/>
      <c r="Q18" s="39"/>
      <c r="R18" s="39"/>
      <c r="S18" s="39"/>
      <c r="T18" s="39"/>
      <c r="U18" s="39"/>
      <c r="V18" s="39"/>
      <c r="W18" s="39"/>
      <c r="X18" s="39"/>
    </row>
    <row r="19" spans="1:24" x14ac:dyDescent="0.3">
      <c r="A19" s="36" t="s">
        <v>24</v>
      </c>
      <c r="B19" s="39"/>
      <c r="C19" s="39"/>
      <c r="D19" s="39"/>
      <c r="E19" s="39"/>
      <c r="F19" s="39"/>
      <c r="H19" s="39"/>
      <c r="I19" s="39"/>
      <c r="J19" s="39"/>
      <c r="K19" s="39"/>
      <c r="L19" s="39"/>
      <c r="N19" s="36" t="s">
        <v>326</v>
      </c>
      <c r="O19" s="39"/>
      <c r="P19" s="39"/>
      <c r="Q19" s="39"/>
      <c r="R19" s="39"/>
      <c r="S19" s="39"/>
      <c r="T19" s="39"/>
      <c r="U19" s="39"/>
      <c r="V19" s="39"/>
      <c r="W19" s="39"/>
      <c r="X19" s="39"/>
    </row>
    <row r="20" spans="1:24" x14ac:dyDescent="0.3">
      <c r="A20" s="36" t="s">
        <v>25</v>
      </c>
      <c r="B20" s="39"/>
      <c r="C20" s="39"/>
      <c r="D20" s="39"/>
      <c r="E20" s="39"/>
      <c r="F20" s="39"/>
      <c r="H20" s="39"/>
      <c r="I20" s="39"/>
      <c r="J20" s="39"/>
      <c r="K20" s="39"/>
      <c r="L20" s="39"/>
      <c r="N20" s="36"/>
    </row>
    <row r="21" spans="1:24" x14ac:dyDescent="0.3">
      <c r="A21" s="36" t="s">
        <v>37</v>
      </c>
      <c r="B21" s="39"/>
      <c r="C21" s="39"/>
      <c r="D21" s="39"/>
      <c r="E21" s="39"/>
      <c r="F21" s="39"/>
      <c r="H21" s="39"/>
      <c r="I21" s="39"/>
      <c r="J21" s="39"/>
      <c r="K21" s="39"/>
      <c r="L21" s="39"/>
      <c r="N21" s="40"/>
      <c r="O21" s="39"/>
      <c r="P21" s="39"/>
      <c r="Q21" s="39"/>
      <c r="R21" s="39"/>
      <c r="S21" s="39"/>
      <c r="T21" s="39"/>
      <c r="U21" s="39"/>
      <c r="V21" s="39"/>
      <c r="W21" s="39"/>
      <c r="X21" s="39"/>
    </row>
    <row r="22" spans="1:24" x14ac:dyDescent="0.3">
      <c r="A22" s="36" t="s">
        <v>29</v>
      </c>
      <c r="B22" s="39"/>
      <c r="C22" s="39"/>
      <c r="D22" s="39"/>
      <c r="E22" s="39"/>
      <c r="F22" s="39"/>
      <c r="H22" s="39"/>
      <c r="I22" s="39"/>
      <c r="J22" s="39"/>
      <c r="K22" s="39"/>
      <c r="L22" s="39"/>
      <c r="N22" s="40"/>
      <c r="O22" s="39"/>
      <c r="P22" s="39"/>
      <c r="Q22" s="39"/>
      <c r="R22" s="39"/>
      <c r="S22" s="39"/>
      <c r="T22" s="39"/>
      <c r="U22" s="39"/>
      <c r="V22" s="39"/>
      <c r="W22" s="39"/>
      <c r="X22" s="39"/>
    </row>
    <row r="23" spans="1:24" x14ac:dyDescent="0.3">
      <c r="A23" s="36"/>
      <c r="N23" s="40"/>
      <c r="O23" s="39"/>
      <c r="P23" s="39"/>
      <c r="Q23" s="39"/>
      <c r="R23" s="39"/>
      <c r="S23" s="39"/>
      <c r="T23" s="39"/>
      <c r="U23" s="39"/>
      <c r="V23" s="39"/>
      <c r="W23" s="39"/>
      <c r="X23" s="39"/>
    </row>
    <row r="24" spans="1:24" x14ac:dyDescent="0.3">
      <c r="A24" s="36" t="s">
        <v>30</v>
      </c>
      <c r="B24" s="39"/>
      <c r="C24" s="39"/>
      <c r="D24" s="39"/>
      <c r="E24" s="39"/>
      <c r="F24" s="39"/>
      <c r="H24" s="39"/>
      <c r="I24" s="39"/>
      <c r="J24" s="39"/>
      <c r="K24" s="39"/>
      <c r="L24" s="39"/>
      <c r="N24" s="40"/>
      <c r="O24" s="39"/>
      <c r="P24" s="39"/>
      <c r="Q24" s="39"/>
      <c r="R24" s="39"/>
      <c r="S24" s="39"/>
      <c r="T24" s="39"/>
      <c r="U24" s="39"/>
      <c r="V24" s="39"/>
      <c r="W24" s="39"/>
      <c r="X24" s="39"/>
    </row>
    <row r="25" spans="1:24" x14ac:dyDescent="0.3">
      <c r="A25" s="36" t="s">
        <v>33</v>
      </c>
      <c r="B25" s="39"/>
      <c r="C25" s="39"/>
      <c r="D25" s="39"/>
      <c r="E25" s="39"/>
      <c r="F25" s="39"/>
      <c r="H25" s="39"/>
      <c r="I25" s="39"/>
      <c r="J25" s="39"/>
      <c r="K25" s="39"/>
      <c r="L25" s="39"/>
      <c r="N25" s="41"/>
      <c r="O25" s="39"/>
      <c r="P25" s="39"/>
      <c r="Q25" s="39"/>
      <c r="R25" s="39"/>
      <c r="S25" s="39"/>
      <c r="T25" s="39"/>
      <c r="U25" s="39"/>
      <c r="V25" s="39"/>
      <c r="W25" s="39"/>
      <c r="X25" s="39"/>
    </row>
    <row r="26" spans="1:24" x14ac:dyDescent="0.3">
      <c r="A26" s="36" t="s">
        <v>35</v>
      </c>
      <c r="B26" s="39"/>
      <c r="C26" s="39"/>
      <c r="D26" s="39"/>
      <c r="E26" s="39"/>
      <c r="F26" s="39"/>
      <c r="H26" s="39"/>
      <c r="I26" s="39"/>
      <c r="J26" s="39"/>
      <c r="K26" s="39"/>
      <c r="L26" s="39"/>
      <c r="N26" s="42"/>
      <c r="O26" s="39"/>
      <c r="P26" s="39"/>
      <c r="Q26" s="39"/>
      <c r="R26" s="39"/>
      <c r="S26" s="39"/>
      <c r="T26" s="39"/>
      <c r="U26" s="39"/>
      <c r="V26" s="39"/>
      <c r="W26" s="39"/>
      <c r="X26" s="39"/>
    </row>
    <row r="27" spans="1:24" x14ac:dyDescent="0.3">
      <c r="A27" s="36" t="s">
        <v>38</v>
      </c>
      <c r="B27" s="39"/>
      <c r="C27" s="39"/>
      <c r="D27" s="39"/>
      <c r="E27" s="39"/>
      <c r="F27" s="39"/>
      <c r="H27" s="39"/>
      <c r="I27" s="39"/>
      <c r="J27" s="39"/>
      <c r="K27" s="39"/>
      <c r="L27" s="39"/>
      <c r="N27" s="41"/>
      <c r="O27" s="39"/>
      <c r="P27" s="39"/>
      <c r="Q27" s="39"/>
      <c r="R27" s="39"/>
      <c r="S27" s="39"/>
      <c r="T27" s="39"/>
      <c r="U27" s="39"/>
      <c r="V27" s="39"/>
      <c r="W27" s="39"/>
      <c r="X27" s="39"/>
    </row>
    <row r="28" spans="1:24" x14ac:dyDescent="0.3">
      <c r="A28" s="36" t="s">
        <v>39</v>
      </c>
      <c r="B28" s="39"/>
      <c r="C28" s="39"/>
      <c r="D28" s="39"/>
      <c r="E28" s="39"/>
      <c r="F28" s="39"/>
      <c r="H28" s="39"/>
      <c r="I28" s="39"/>
      <c r="J28" s="39"/>
      <c r="K28" s="39"/>
      <c r="L28" s="39"/>
      <c r="N28" s="42"/>
      <c r="O28" s="39"/>
      <c r="P28" s="39"/>
      <c r="Q28" s="39"/>
      <c r="R28" s="39"/>
      <c r="S28" s="39"/>
      <c r="T28" s="39"/>
      <c r="U28" s="39"/>
      <c r="V28" s="39"/>
      <c r="W28" s="39"/>
      <c r="X28" s="39"/>
    </row>
    <row r="29" spans="1:24" x14ac:dyDescent="0.3">
      <c r="A29" s="36" t="s">
        <v>40</v>
      </c>
      <c r="B29" s="39"/>
      <c r="C29" s="39"/>
      <c r="D29" s="39"/>
      <c r="E29" s="39"/>
      <c r="F29" s="39"/>
      <c r="H29" s="39"/>
      <c r="I29" s="39"/>
      <c r="J29" s="39"/>
      <c r="K29" s="39"/>
      <c r="L29" s="39"/>
      <c r="N29" s="41"/>
      <c r="O29" s="39"/>
      <c r="P29" s="39"/>
      <c r="Q29" s="39"/>
      <c r="R29" s="39"/>
      <c r="S29" s="39"/>
      <c r="T29" s="39"/>
      <c r="U29" s="39"/>
      <c r="V29" s="39"/>
      <c r="W29" s="39"/>
      <c r="X29" s="39"/>
    </row>
    <row r="30" spans="1:24" x14ac:dyDescent="0.3">
      <c r="A30" s="36" t="s">
        <v>41</v>
      </c>
      <c r="B30" s="39"/>
      <c r="C30" s="39"/>
      <c r="D30" s="39"/>
      <c r="E30" s="39"/>
      <c r="F30" s="39"/>
      <c r="H30" s="39"/>
      <c r="I30" s="39"/>
      <c r="J30" s="39"/>
      <c r="K30" s="39"/>
      <c r="L30" s="39"/>
      <c r="N30" s="42"/>
      <c r="O30" s="39"/>
      <c r="P30" s="39"/>
      <c r="Q30" s="39"/>
      <c r="R30" s="39"/>
      <c r="S30" s="39"/>
      <c r="T30" s="39"/>
      <c r="U30" s="39"/>
      <c r="V30" s="39"/>
      <c r="W30" s="39"/>
      <c r="X30" s="39"/>
    </row>
    <row r="31" spans="1:24" x14ac:dyDescent="0.3">
      <c r="A31" s="36" t="s">
        <v>42</v>
      </c>
      <c r="B31" s="39"/>
      <c r="C31" s="39"/>
      <c r="D31" s="39"/>
      <c r="E31" s="39"/>
      <c r="F31" s="39"/>
      <c r="H31" s="39"/>
      <c r="I31" s="39"/>
      <c r="J31" s="39"/>
      <c r="K31" s="39"/>
      <c r="L31" s="39"/>
      <c r="N31" s="41"/>
      <c r="O31" s="39"/>
      <c r="P31" s="39"/>
      <c r="Q31" s="39"/>
      <c r="R31" s="39"/>
      <c r="S31" s="39"/>
      <c r="T31" s="39"/>
      <c r="U31" s="39"/>
      <c r="V31" s="39"/>
      <c r="W31" s="39"/>
      <c r="X31" s="39"/>
    </row>
    <row r="32" spans="1:24" x14ac:dyDescent="0.3">
      <c r="A32" s="36" t="s">
        <v>43</v>
      </c>
      <c r="B32" s="39"/>
      <c r="C32" s="39"/>
      <c r="D32" s="39"/>
      <c r="E32" s="39"/>
      <c r="F32" s="39"/>
      <c r="H32" s="39"/>
      <c r="I32" s="39"/>
      <c r="J32" s="39"/>
      <c r="K32" s="39"/>
      <c r="L32" s="39"/>
      <c r="N32" s="42"/>
      <c r="O32" s="39"/>
      <c r="P32" s="39"/>
      <c r="Q32" s="39"/>
      <c r="R32" s="39"/>
      <c r="S32" s="39"/>
      <c r="T32" s="39"/>
      <c r="U32" s="39"/>
      <c r="V32" s="39"/>
      <c r="W32" s="39"/>
      <c r="X32" s="39"/>
    </row>
    <row r="33" spans="1:24" x14ac:dyDescent="0.3">
      <c r="A33" s="36" t="s">
        <v>44</v>
      </c>
      <c r="B33" s="39"/>
      <c r="C33" s="39"/>
      <c r="D33" s="39"/>
      <c r="E33" s="39"/>
      <c r="F33" s="39"/>
      <c r="H33" s="39"/>
      <c r="I33" s="39"/>
      <c r="J33" s="39"/>
      <c r="K33" s="39"/>
      <c r="L33" s="39"/>
      <c r="N33" s="41"/>
      <c r="O33" s="39"/>
      <c r="P33" s="39"/>
      <c r="Q33" s="39"/>
      <c r="R33" s="39"/>
      <c r="S33" s="39"/>
      <c r="T33" s="39"/>
      <c r="U33" s="39"/>
      <c r="V33" s="39"/>
      <c r="W33" s="39"/>
      <c r="X33" s="39"/>
    </row>
    <row r="34" spans="1:24" x14ac:dyDescent="0.3">
      <c r="A34" s="36"/>
      <c r="N34" s="42"/>
      <c r="O34" s="39"/>
      <c r="P34" s="39"/>
      <c r="Q34" s="39"/>
      <c r="R34" s="39"/>
      <c r="S34" s="39"/>
      <c r="T34" s="39"/>
      <c r="U34" s="39"/>
      <c r="V34" s="39"/>
      <c r="W34" s="39"/>
      <c r="X34" s="39"/>
    </row>
    <row r="35" spans="1:24" x14ac:dyDescent="0.3">
      <c r="A35" s="36" t="s">
        <v>31</v>
      </c>
      <c r="B35" s="39"/>
      <c r="C35" s="39"/>
      <c r="D35" s="39"/>
      <c r="E35" s="39"/>
      <c r="F35" s="39"/>
      <c r="H35" s="39"/>
      <c r="I35" s="39"/>
      <c r="J35" s="39"/>
      <c r="K35" s="39"/>
      <c r="L35" s="39"/>
      <c r="N35" s="41"/>
      <c r="O35" s="39"/>
      <c r="P35" s="39"/>
      <c r="Q35" s="39"/>
      <c r="R35" s="39"/>
      <c r="S35" s="39"/>
      <c r="T35" s="39"/>
      <c r="U35" s="39"/>
      <c r="V35" s="39"/>
      <c r="W35" s="39"/>
      <c r="X35" s="39"/>
    </row>
    <row r="36" spans="1:24" x14ac:dyDescent="0.3">
      <c r="A36" s="36" t="s">
        <v>34</v>
      </c>
      <c r="B36" s="39"/>
      <c r="C36" s="39"/>
      <c r="D36" s="39"/>
      <c r="E36" s="39"/>
      <c r="F36" s="39"/>
      <c r="H36" s="39"/>
      <c r="I36" s="39"/>
      <c r="J36" s="39"/>
      <c r="K36" s="39"/>
      <c r="L36" s="39"/>
      <c r="N36" s="42"/>
      <c r="O36" s="39"/>
      <c r="P36" s="39"/>
      <c r="Q36" s="39"/>
      <c r="R36" s="39"/>
      <c r="S36" s="39"/>
      <c r="T36" s="39"/>
      <c r="U36" s="39"/>
      <c r="V36" s="39"/>
      <c r="W36" s="39"/>
      <c r="X36" s="39"/>
    </row>
    <row r="37" spans="1:24" x14ac:dyDescent="0.3">
      <c r="A37" s="36" t="s">
        <v>36</v>
      </c>
      <c r="B37" s="39"/>
      <c r="C37" s="39"/>
      <c r="D37" s="39"/>
      <c r="E37" s="39"/>
      <c r="F37" s="39"/>
      <c r="H37" s="39"/>
      <c r="I37" s="39"/>
      <c r="J37" s="39"/>
      <c r="K37" s="39"/>
      <c r="L37" s="39"/>
      <c r="N37" s="42"/>
      <c r="O37" s="39"/>
      <c r="P37" s="39"/>
      <c r="Q37" s="39"/>
      <c r="R37" s="39"/>
      <c r="S37" s="39"/>
      <c r="T37" s="39"/>
      <c r="U37" s="39"/>
      <c r="V37" s="39"/>
      <c r="W37" s="39"/>
      <c r="X37" s="39"/>
    </row>
    <row r="38" spans="1:24" x14ac:dyDescent="0.3">
      <c r="A38" s="36" t="s">
        <v>45</v>
      </c>
      <c r="B38" s="39"/>
      <c r="C38" s="39"/>
      <c r="D38" s="39"/>
      <c r="E38" s="39"/>
      <c r="F38" s="39"/>
      <c r="H38" s="39"/>
      <c r="I38" s="39"/>
      <c r="J38" s="39"/>
      <c r="K38" s="39"/>
      <c r="L38" s="39"/>
      <c r="N38" s="41"/>
      <c r="O38" s="39"/>
      <c r="P38" s="39"/>
      <c r="Q38" s="39"/>
      <c r="R38" s="39"/>
      <c r="S38" s="39"/>
      <c r="T38" s="39"/>
      <c r="U38" s="39"/>
      <c r="V38" s="39"/>
      <c r="W38" s="39"/>
      <c r="X38" s="39"/>
    </row>
    <row r="39" spans="1:24" x14ac:dyDescent="0.3">
      <c r="A39" s="36" t="s">
        <v>46</v>
      </c>
      <c r="B39" s="39"/>
      <c r="C39" s="39"/>
      <c r="D39" s="39"/>
      <c r="E39" s="39"/>
      <c r="F39" s="39"/>
      <c r="H39" s="39"/>
      <c r="I39" s="39"/>
      <c r="J39" s="39"/>
      <c r="K39" s="39"/>
      <c r="L39" s="39"/>
      <c r="N39" s="41"/>
      <c r="O39" s="39"/>
      <c r="P39" s="39"/>
      <c r="Q39" s="39"/>
      <c r="R39" s="39"/>
      <c r="S39" s="39"/>
      <c r="T39" s="39"/>
      <c r="U39" s="39"/>
      <c r="V39" s="39"/>
      <c r="W39" s="39"/>
      <c r="X39" s="39"/>
    </row>
    <row r="40" spans="1:24" x14ac:dyDescent="0.3">
      <c r="A40" s="36" t="s">
        <v>47</v>
      </c>
      <c r="B40" s="39"/>
      <c r="C40" s="39"/>
      <c r="D40" s="39"/>
      <c r="E40" s="39"/>
      <c r="F40" s="39"/>
      <c r="H40" s="39"/>
      <c r="I40" s="39"/>
      <c r="J40" s="39"/>
      <c r="K40" s="39"/>
      <c r="L40" s="39"/>
      <c r="N40" s="41"/>
      <c r="O40" s="39"/>
      <c r="P40" s="39"/>
      <c r="Q40" s="39"/>
      <c r="R40" s="39"/>
      <c r="S40" s="39"/>
      <c r="T40" s="39"/>
      <c r="U40" s="39"/>
      <c r="V40" s="39"/>
      <c r="W40" s="39"/>
      <c r="X40" s="39"/>
    </row>
    <row r="41" spans="1:24" x14ac:dyDescent="0.3">
      <c r="A41" s="36" t="s">
        <v>48</v>
      </c>
      <c r="B41" s="39"/>
      <c r="C41" s="39"/>
      <c r="D41" s="39"/>
      <c r="E41" s="39"/>
      <c r="F41" s="39"/>
      <c r="H41" s="39"/>
      <c r="I41" s="39"/>
      <c r="J41" s="39"/>
      <c r="K41" s="39"/>
      <c r="L41" s="39"/>
      <c r="N41" s="41"/>
      <c r="O41" s="39"/>
      <c r="P41" s="39"/>
      <c r="Q41" s="39"/>
      <c r="R41" s="39"/>
      <c r="S41" s="39"/>
      <c r="T41" s="39"/>
      <c r="U41" s="39"/>
      <c r="V41" s="39"/>
      <c r="W41" s="39"/>
      <c r="X41" s="39"/>
    </row>
    <row r="42" spans="1:24" x14ac:dyDescent="0.3">
      <c r="A42" s="36" t="s">
        <v>49</v>
      </c>
      <c r="B42" s="39"/>
      <c r="C42" s="39"/>
      <c r="D42" s="39"/>
      <c r="E42" s="39"/>
      <c r="F42" s="39"/>
      <c r="H42" s="39"/>
      <c r="I42" s="39"/>
      <c r="J42" s="39"/>
      <c r="K42" s="39"/>
      <c r="L42" s="39"/>
      <c r="N42" s="41"/>
      <c r="O42" s="39"/>
      <c r="P42" s="39"/>
      <c r="Q42" s="39"/>
      <c r="R42" s="39"/>
      <c r="S42" s="39"/>
      <c r="T42" s="39"/>
      <c r="U42" s="39"/>
      <c r="V42" s="39"/>
      <c r="W42" s="39"/>
      <c r="X42" s="39"/>
    </row>
    <row r="43" spans="1:24" x14ac:dyDescent="0.3">
      <c r="A43" s="36" t="s">
        <v>50</v>
      </c>
      <c r="B43" s="39"/>
      <c r="C43" s="39"/>
      <c r="D43" s="39"/>
      <c r="E43" s="39"/>
      <c r="F43" s="39"/>
      <c r="H43" s="39"/>
      <c r="I43" s="39"/>
      <c r="J43" s="39"/>
      <c r="K43" s="39"/>
      <c r="L43" s="39"/>
      <c r="N43" s="41"/>
      <c r="O43" s="39"/>
      <c r="P43" s="39"/>
      <c r="Q43" s="39"/>
      <c r="R43" s="39"/>
      <c r="S43" s="39"/>
      <c r="T43" s="39"/>
      <c r="U43" s="39"/>
      <c r="V43" s="39"/>
      <c r="W43" s="39"/>
      <c r="X43" s="39"/>
    </row>
    <row r="44" spans="1:24" x14ac:dyDescent="0.3">
      <c r="A44" s="36" t="s">
        <v>51</v>
      </c>
      <c r="B44" s="39"/>
      <c r="C44" s="39"/>
      <c r="D44" s="39"/>
      <c r="E44" s="39"/>
      <c r="F44" s="39"/>
      <c r="H44" s="39"/>
      <c r="I44" s="39"/>
      <c r="J44" s="39"/>
      <c r="K44" s="39"/>
      <c r="L44" s="39"/>
      <c r="N44" s="41"/>
      <c r="O44" s="39"/>
      <c r="P44" s="39"/>
      <c r="Q44" s="39"/>
      <c r="R44" s="39"/>
      <c r="S44" s="39"/>
      <c r="T44" s="39"/>
      <c r="U44" s="39"/>
      <c r="V44" s="39"/>
      <c r="W44" s="39"/>
      <c r="X44" s="39"/>
    </row>
    <row r="45" spans="1:24" x14ac:dyDescent="0.3">
      <c r="A45" s="36"/>
    </row>
    <row r="46" spans="1:24" x14ac:dyDescent="0.3">
      <c r="A46" s="36"/>
    </row>
    <row r="47" spans="1:24" x14ac:dyDescent="0.3">
      <c r="A47" s="36"/>
    </row>
    <row r="48" spans="1:24" x14ac:dyDescent="0.3">
      <c r="A48" s="36"/>
    </row>
    <row r="49" spans="1:1" x14ac:dyDescent="0.3">
      <c r="A49" s="36"/>
    </row>
    <row r="50" spans="1:1" x14ac:dyDescent="0.3">
      <c r="A50" s="36"/>
    </row>
    <row r="51" spans="1:1" x14ac:dyDescent="0.3">
      <c r="A51" s="36"/>
    </row>
    <row r="52" spans="1:1" x14ac:dyDescent="0.3">
      <c r="A52" s="36"/>
    </row>
    <row r="53" spans="1:1" x14ac:dyDescent="0.3">
      <c r="A53" s="36"/>
    </row>
    <row r="54" spans="1:1" x14ac:dyDescent="0.3">
      <c r="A54" s="36"/>
    </row>
    <row r="55" spans="1:1" x14ac:dyDescent="0.3">
      <c r="A55" s="36"/>
    </row>
    <row r="56" spans="1:1" x14ac:dyDescent="0.3">
      <c r="A56" s="36"/>
    </row>
    <row r="57" spans="1:1" x14ac:dyDescent="0.3">
      <c r="A57" s="36"/>
    </row>
    <row r="58" spans="1:1" x14ac:dyDescent="0.3">
      <c r="A58" s="36"/>
    </row>
    <row r="59" spans="1:1" x14ac:dyDescent="0.3">
      <c r="A59" s="36"/>
    </row>
    <row r="60" spans="1:1" x14ac:dyDescent="0.3">
      <c r="A60" s="36"/>
    </row>
    <row r="61" spans="1:1" x14ac:dyDescent="0.3">
      <c r="A61" s="36"/>
    </row>
    <row r="62" spans="1:1" x14ac:dyDescent="0.3">
      <c r="A62" s="36"/>
    </row>
    <row r="63" spans="1:1" x14ac:dyDescent="0.3">
      <c r="A63" s="36"/>
    </row>
    <row r="64" spans="1:1" x14ac:dyDescent="0.3">
      <c r="A64" s="36"/>
    </row>
    <row r="65" spans="1:1" x14ac:dyDescent="0.3">
      <c r="A65" s="36"/>
    </row>
    <row r="66" spans="1:1" x14ac:dyDescent="0.3">
      <c r="A66" s="36"/>
    </row>
    <row r="67" spans="1:1" x14ac:dyDescent="0.3">
      <c r="A67" s="36"/>
    </row>
    <row r="68" spans="1:1" x14ac:dyDescent="0.3">
      <c r="A68" s="36"/>
    </row>
    <row r="69" spans="1:1" x14ac:dyDescent="0.3">
      <c r="A69" s="36"/>
    </row>
    <row r="70" spans="1:1" x14ac:dyDescent="0.3">
      <c r="A70" s="36"/>
    </row>
    <row r="71" spans="1:1" x14ac:dyDescent="0.3">
      <c r="A71" s="36"/>
    </row>
    <row r="72" spans="1:1" x14ac:dyDescent="0.3">
      <c r="A72" s="36"/>
    </row>
    <row r="73" spans="1:1" x14ac:dyDescent="0.3">
      <c r="A73" s="36"/>
    </row>
    <row r="74" spans="1:1" x14ac:dyDescent="0.3">
      <c r="A74" s="36"/>
    </row>
    <row r="75" spans="1:1" x14ac:dyDescent="0.3">
      <c r="A75" s="36"/>
    </row>
    <row r="76" spans="1:1" x14ac:dyDescent="0.3">
      <c r="A76" s="36"/>
    </row>
    <row r="77" spans="1:1" x14ac:dyDescent="0.3">
      <c r="A77" s="36"/>
    </row>
    <row r="78" spans="1:1" x14ac:dyDescent="0.3">
      <c r="A78" s="36"/>
    </row>
    <row r="79" spans="1:1" x14ac:dyDescent="0.3">
      <c r="A79" s="36"/>
    </row>
    <row r="80" spans="1:1" x14ac:dyDescent="0.3">
      <c r="A80" s="36"/>
    </row>
    <row r="81" spans="1:1" x14ac:dyDescent="0.3">
      <c r="A81" s="36"/>
    </row>
    <row r="82" spans="1:1" x14ac:dyDescent="0.3">
      <c r="A82" s="36"/>
    </row>
    <row r="83" spans="1:1" x14ac:dyDescent="0.3">
      <c r="A83" s="36"/>
    </row>
    <row r="84" spans="1:1" x14ac:dyDescent="0.3">
      <c r="A84" s="36"/>
    </row>
    <row r="85" spans="1:1" x14ac:dyDescent="0.3">
      <c r="A85" s="36"/>
    </row>
    <row r="86" spans="1:1" x14ac:dyDescent="0.3">
      <c r="A86" s="36"/>
    </row>
    <row r="87" spans="1:1" x14ac:dyDescent="0.3">
      <c r="A87" s="36"/>
    </row>
    <row r="88" spans="1:1" x14ac:dyDescent="0.3">
      <c r="A88" s="36"/>
    </row>
    <row r="89" spans="1:1" x14ac:dyDescent="0.3">
      <c r="A89" s="36"/>
    </row>
    <row r="90" spans="1:1" x14ac:dyDescent="0.3">
      <c r="A90" s="36"/>
    </row>
    <row r="91" spans="1:1" x14ac:dyDescent="0.3">
      <c r="A91" s="36"/>
    </row>
    <row r="92" spans="1:1" x14ac:dyDescent="0.3">
      <c r="A92" s="36"/>
    </row>
    <row r="93" spans="1:1" x14ac:dyDescent="0.3">
      <c r="A93" s="36"/>
    </row>
    <row r="94" spans="1:1" x14ac:dyDescent="0.3">
      <c r="A94" s="36"/>
    </row>
    <row r="95" spans="1:1" x14ac:dyDescent="0.3">
      <c r="A95" s="36"/>
    </row>
    <row r="96" spans="1:1" x14ac:dyDescent="0.3">
      <c r="A96" s="36"/>
    </row>
    <row r="97" spans="1:1" x14ac:dyDescent="0.3">
      <c r="A97" s="36"/>
    </row>
    <row r="98" spans="1:1" x14ac:dyDescent="0.3">
      <c r="A98" s="36"/>
    </row>
    <row r="99" spans="1:1" x14ac:dyDescent="0.3">
      <c r="A99" s="36"/>
    </row>
    <row r="100" spans="1:1" x14ac:dyDescent="0.3">
      <c r="A100" s="36"/>
    </row>
    <row r="101" spans="1:1" x14ac:dyDescent="0.3">
      <c r="A101" s="36"/>
    </row>
    <row r="102" spans="1:1" x14ac:dyDescent="0.3">
      <c r="A102" s="36"/>
    </row>
    <row r="103" spans="1:1" x14ac:dyDescent="0.3">
      <c r="A103" s="36"/>
    </row>
    <row r="104" spans="1:1" x14ac:dyDescent="0.3">
      <c r="A104" s="36"/>
    </row>
    <row r="105" spans="1:1" x14ac:dyDescent="0.3">
      <c r="A105" s="36"/>
    </row>
    <row r="106" spans="1:1" x14ac:dyDescent="0.3">
      <c r="A106" s="36"/>
    </row>
    <row r="107" spans="1:1" x14ac:dyDescent="0.3">
      <c r="A107" s="36"/>
    </row>
    <row r="108" spans="1:1" x14ac:dyDescent="0.3">
      <c r="A108" s="36"/>
    </row>
    <row r="109" spans="1:1" x14ac:dyDescent="0.3">
      <c r="A109" s="36"/>
    </row>
    <row r="110" spans="1:1" x14ac:dyDescent="0.3">
      <c r="A110" s="36"/>
    </row>
    <row r="111" spans="1:1" x14ac:dyDescent="0.3">
      <c r="A111" s="36"/>
    </row>
    <row r="112" spans="1:1" x14ac:dyDescent="0.3">
      <c r="A112" s="36"/>
    </row>
    <row r="113" spans="1:1" x14ac:dyDescent="0.3">
      <c r="A113" s="36"/>
    </row>
    <row r="114" spans="1:1" x14ac:dyDescent="0.3">
      <c r="A114" s="36"/>
    </row>
    <row r="115" spans="1:1" x14ac:dyDescent="0.3">
      <c r="A115" s="36"/>
    </row>
    <row r="116" spans="1:1" x14ac:dyDescent="0.3">
      <c r="A116" s="36"/>
    </row>
    <row r="117" spans="1:1" x14ac:dyDescent="0.3">
      <c r="A117" s="36"/>
    </row>
    <row r="118" spans="1:1" x14ac:dyDescent="0.3">
      <c r="A118" s="36"/>
    </row>
    <row r="119" spans="1:1" x14ac:dyDescent="0.3">
      <c r="A119" s="36"/>
    </row>
    <row r="120" spans="1:1" x14ac:dyDescent="0.3">
      <c r="A120" s="36"/>
    </row>
    <row r="121" spans="1:1" x14ac:dyDescent="0.3">
      <c r="A121" s="36"/>
    </row>
    <row r="122" spans="1:1" x14ac:dyDescent="0.3">
      <c r="A122" s="36"/>
    </row>
    <row r="123" spans="1:1" x14ac:dyDescent="0.3">
      <c r="A123" s="36"/>
    </row>
    <row r="124" spans="1:1" x14ac:dyDescent="0.3">
      <c r="A124" s="36"/>
    </row>
    <row r="125" spans="1:1" x14ac:dyDescent="0.3">
      <c r="A125" s="36"/>
    </row>
    <row r="126" spans="1:1" x14ac:dyDescent="0.3">
      <c r="A126" s="36"/>
    </row>
    <row r="127" spans="1:1" x14ac:dyDescent="0.3">
      <c r="A127" s="36"/>
    </row>
  </sheetData>
  <pageMargins left="0.25" right="0.25"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2B62-4737-4AF5-AB78-ACD525E8E598}">
  <sheetPr codeName="Foglio6"/>
  <dimension ref="A1:K58"/>
  <sheetViews>
    <sheetView workbookViewId="0">
      <selection activeCell="C55" sqref="C55"/>
    </sheetView>
  </sheetViews>
  <sheetFormatPr defaultRowHeight="14.4" x14ac:dyDescent="0.3"/>
  <cols>
    <col min="1" max="7" width="8.88671875" style="1"/>
    <col min="8" max="8" width="16.88671875" style="1" customWidth="1"/>
    <col min="9" max="9" width="8.88671875" style="3"/>
    <col min="10" max="16384" width="8.88671875" style="1"/>
  </cols>
  <sheetData>
    <row r="1" spans="1:11" x14ac:dyDescent="0.3">
      <c r="A1" s="1" t="s">
        <v>163</v>
      </c>
      <c r="H1" s="1" t="s">
        <v>164</v>
      </c>
      <c r="I1" s="3" t="s">
        <v>182</v>
      </c>
    </row>
    <row r="2" spans="1:11" x14ac:dyDescent="0.3">
      <c r="A2" s="1" t="s">
        <v>132</v>
      </c>
      <c r="H2" s="1" t="s">
        <v>165</v>
      </c>
      <c r="I2" s="3">
        <v>-2</v>
      </c>
    </row>
    <row r="3" spans="1:11" x14ac:dyDescent="0.3">
      <c r="H3" s="1" t="s">
        <v>166</v>
      </c>
      <c r="I3" s="3">
        <v>-4</v>
      </c>
    </row>
    <row r="4" spans="1:11" x14ac:dyDescent="0.3">
      <c r="A4" s="1" t="s">
        <v>133</v>
      </c>
      <c r="H4" s="1" t="s">
        <v>167</v>
      </c>
      <c r="I4" s="3">
        <v>-6</v>
      </c>
    </row>
    <row r="5" spans="1:11" x14ac:dyDescent="0.3">
      <c r="A5" s="1" t="s">
        <v>134</v>
      </c>
    </row>
    <row r="6" spans="1:11" x14ac:dyDescent="0.3">
      <c r="A6" s="1" t="s">
        <v>135</v>
      </c>
    </row>
    <row r="7" spans="1:11" x14ac:dyDescent="0.3">
      <c r="A7" s="1" t="s">
        <v>136</v>
      </c>
      <c r="H7" s="1" t="s">
        <v>155</v>
      </c>
    </row>
    <row r="8" spans="1:11" x14ac:dyDescent="0.3">
      <c r="H8" s="1" t="s">
        <v>156</v>
      </c>
      <c r="I8" s="3">
        <v>0</v>
      </c>
      <c r="K8" s="3"/>
    </row>
    <row r="9" spans="1:11" x14ac:dyDescent="0.3">
      <c r="A9" s="1" t="s">
        <v>137</v>
      </c>
      <c r="H9" s="1" t="s">
        <v>157</v>
      </c>
      <c r="I9" s="3">
        <v>-1</v>
      </c>
      <c r="K9" s="3"/>
    </row>
    <row r="10" spans="1:11" x14ac:dyDescent="0.3">
      <c r="A10" s="1" t="s">
        <v>138</v>
      </c>
      <c r="H10" s="1" t="s">
        <v>158</v>
      </c>
      <c r="I10" s="3">
        <v>-1</v>
      </c>
      <c r="K10" s="3"/>
    </row>
    <row r="11" spans="1:11" x14ac:dyDescent="0.3">
      <c r="H11" s="1" t="s">
        <v>159</v>
      </c>
      <c r="I11" s="3">
        <v>-2</v>
      </c>
      <c r="K11" s="3"/>
    </row>
    <row r="12" spans="1:11" x14ac:dyDescent="0.3">
      <c r="H12" s="1" t="s">
        <v>160</v>
      </c>
      <c r="I12" s="3">
        <v>-2</v>
      </c>
      <c r="K12" s="3"/>
    </row>
    <row r="13" spans="1:11" x14ac:dyDescent="0.3">
      <c r="A13" s="4" t="s">
        <v>171</v>
      </c>
      <c r="B13" s="4"/>
      <c r="C13" s="4"/>
      <c r="D13" s="4"/>
      <c r="F13" s="4"/>
      <c r="H13" s="1" t="s">
        <v>161</v>
      </c>
      <c r="I13" s="3">
        <v>-5</v>
      </c>
      <c r="K13" s="3"/>
    </row>
    <row r="14" spans="1:11" x14ac:dyDescent="0.3">
      <c r="A14" s="1" t="s">
        <v>139</v>
      </c>
      <c r="H14" s="1" t="s">
        <v>162</v>
      </c>
      <c r="K14" s="3"/>
    </row>
    <row r="15" spans="1:11" x14ac:dyDescent="0.3">
      <c r="A15" s="1" t="s">
        <v>140</v>
      </c>
    </row>
    <row r="16" spans="1:11" x14ac:dyDescent="0.3">
      <c r="A16" s="1" t="s">
        <v>172</v>
      </c>
      <c r="B16" s="3"/>
    </row>
    <row r="17" spans="1:9" x14ac:dyDescent="0.3">
      <c r="H17" s="1" t="s">
        <v>175</v>
      </c>
    </row>
    <row r="18" spans="1:9" x14ac:dyDescent="0.3">
      <c r="A18" s="1" t="s">
        <v>141</v>
      </c>
      <c r="H18" s="1" t="s">
        <v>183</v>
      </c>
      <c r="I18" s="3" t="s">
        <v>184</v>
      </c>
    </row>
    <row r="19" spans="1:9" x14ac:dyDescent="0.3">
      <c r="C19" s="1" t="s">
        <v>145</v>
      </c>
      <c r="D19" s="1" t="s">
        <v>149</v>
      </c>
      <c r="H19" s="1" t="s">
        <v>176</v>
      </c>
      <c r="I19" s="3">
        <v>0</v>
      </c>
    </row>
    <row r="20" spans="1:9" x14ac:dyDescent="0.3">
      <c r="A20" s="1" t="s">
        <v>142</v>
      </c>
      <c r="C20" s="1" t="s">
        <v>146</v>
      </c>
      <c r="D20" s="1" t="s">
        <v>147</v>
      </c>
      <c r="H20" s="1" t="s">
        <v>177</v>
      </c>
      <c r="I20" s="3">
        <v>1</v>
      </c>
    </row>
    <row r="21" spans="1:9" x14ac:dyDescent="0.3">
      <c r="A21" s="1" t="s">
        <v>143</v>
      </c>
      <c r="B21" s="4"/>
      <c r="C21" s="1" t="s">
        <v>146</v>
      </c>
      <c r="D21" s="4" t="s">
        <v>131</v>
      </c>
      <c r="E21" s="4"/>
      <c r="F21" s="4"/>
      <c r="H21" s="1" t="s">
        <v>178</v>
      </c>
      <c r="I21" s="3">
        <v>2</v>
      </c>
    </row>
    <row r="22" spans="1:9" x14ac:dyDescent="0.3">
      <c r="A22" s="4" t="s">
        <v>144</v>
      </c>
      <c r="C22" s="1" t="s">
        <v>148</v>
      </c>
      <c r="D22" s="1" t="s">
        <v>131</v>
      </c>
      <c r="H22" s="1" t="s">
        <v>179</v>
      </c>
      <c r="I22" s="3">
        <v>3</v>
      </c>
    </row>
    <row r="23" spans="1:9" x14ac:dyDescent="0.3">
      <c r="H23" s="1" t="s">
        <v>180</v>
      </c>
      <c r="I23" s="3">
        <v>4</v>
      </c>
    </row>
    <row r="24" spans="1:9" x14ac:dyDescent="0.3">
      <c r="A24" s="1" t="s">
        <v>170</v>
      </c>
      <c r="H24" s="1" t="s">
        <v>181</v>
      </c>
      <c r="I24" s="3">
        <v>5</v>
      </c>
    </row>
    <row r="26" spans="1:9" x14ac:dyDescent="0.3">
      <c r="A26" s="1" t="s">
        <v>150</v>
      </c>
    </row>
    <row r="27" spans="1:9" x14ac:dyDescent="0.3">
      <c r="C27" s="1" t="s">
        <v>145</v>
      </c>
    </row>
    <row r="28" spans="1:9" x14ac:dyDescent="0.3">
      <c r="A28" s="1" t="s">
        <v>142</v>
      </c>
      <c r="C28" s="1" t="s">
        <v>151</v>
      </c>
    </row>
    <row r="29" spans="1:9" x14ac:dyDescent="0.3">
      <c r="A29" s="1" t="s">
        <v>143</v>
      </c>
      <c r="C29" s="1" t="s">
        <v>152</v>
      </c>
    </row>
    <row r="30" spans="1:9" x14ac:dyDescent="0.3">
      <c r="A30" s="4" t="s">
        <v>144</v>
      </c>
      <c r="C30" s="1" t="s">
        <v>153</v>
      </c>
    </row>
    <row r="32" spans="1:9" x14ac:dyDescent="0.3">
      <c r="A32" s="1" t="s">
        <v>154</v>
      </c>
    </row>
    <row r="33" spans="1:1" x14ac:dyDescent="0.3">
      <c r="A33" s="1" t="s">
        <v>168</v>
      </c>
    </row>
    <row r="34" spans="1:1" x14ac:dyDescent="0.3">
      <c r="A34" s="1" t="s">
        <v>169</v>
      </c>
    </row>
    <row r="36" spans="1:1" x14ac:dyDescent="0.3">
      <c r="A36" s="1" t="s">
        <v>174</v>
      </c>
    </row>
    <row r="37" spans="1:1" x14ac:dyDescent="0.3">
      <c r="A37" s="1" t="s">
        <v>185</v>
      </c>
    </row>
    <row r="39" spans="1:1" x14ac:dyDescent="0.3">
      <c r="A39" s="1" t="s">
        <v>187</v>
      </c>
    </row>
    <row r="40" spans="1:1" x14ac:dyDescent="0.3">
      <c r="A40" s="1" t="s">
        <v>186</v>
      </c>
    </row>
    <row r="41" spans="1:1" x14ac:dyDescent="0.3">
      <c r="A41" s="1" t="s">
        <v>188</v>
      </c>
    </row>
    <row r="43" spans="1:1" x14ac:dyDescent="0.3">
      <c r="A43" s="1" t="s">
        <v>189</v>
      </c>
    </row>
    <row r="44" spans="1:1" x14ac:dyDescent="0.3">
      <c r="A44" s="1" t="s">
        <v>190</v>
      </c>
    </row>
    <row r="46" spans="1:1" x14ac:dyDescent="0.3">
      <c r="A46" s="1" t="s">
        <v>191</v>
      </c>
    </row>
    <row r="47" spans="1:1" x14ac:dyDescent="0.3">
      <c r="A47" s="1" t="s">
        <v>192</v>
      </c>
    </row>
    <row r="49" spans="1:1" x14ac:dyDescent="0.3">
      <c r="A49" s="1" t="s">
        <v>193</v>
      </c>
    </row>
    <row r="50" spans="1:1" x14ac:dyDescent="0.3">
      <c r="A50" s="1" t="s">
        <v>194</v>
      </c>
    </row>
    <row r="51" spans="1:1" x14ac:dyDescent="0.3">
      <c r="A51" s="1" t="s">
        <v>195</v>
      </c>
    </row>
    <row r="53" spans="1:1" x14ac:dyDescent="0.3">
      <c r="A53" s="1" t="s">
        <v>196</v>
      </c>
    </row>
    <row r="54" spans="1:1" x14ac:dyDescent="0.3">
      <c r="A54" s="1" t="s">
        <v>197</v>
      </c>
    </row>
    <row r="56" spans="1:1" x14ac:dyDescent="0.3">
      <c r="A56" s="1" t="s">
        <v>198</v>
      </c>
    </row>
    <row r="57" spans="1:1" x14ac:dyDescent="0.3">
      <c r="A57" s="1" t="s">
        <v>199</v>
      </c>
    </row>
    <row r="58" spans="1:1" x14ac:dyDescent="0.3">
      <c r="A58" s="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17</vt:i4>
      </vt:variant>
    </vt:vector>
  </HeadingPairs>
  <TitlesOfParts>
    <vt:vector size="17" baseType="lpstr">
      <vt:lpstr>_Toreador</vt:lpstr>
      <vt:lpstr>_Nosferatu</vt:lpstr>
      <vt:lpstr>_Brujah</vt:lpstr>
      <vt:lpstr>_Gangrel</vt:lpstr>
      <vt:lpstr>Scheda V3</vt:lpstr>
      <vt:lpstr>Brujah</vt:lpstr>
      <vt:lpstr>Tempo</vt:lpstr>
      <vt:lpstr>Dadi</vt:lpstr>
      <vt:lpstr>Discipline</vt:lpstr>
      <vt:lpstr>BackGround</vt:lpstr>
      <vt:lpstr>Natura</vt:lpstr>
      <vt:lpstr>Specialità</vt:lpstr>
      <vt:lpstr>Scheda V5</vt:lpstr>
      <vt:lpstr>Azioni</vt:lpstr>
      <vt:lpstr>Esperienza</vt:lpstr>
      <vt:lpstr>Utilizo PE</vt:lpstr>
      <vt:lpstr>Attacco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Claudio Bartolini</dc:creator>
  <cp:lastModifiedBy>Claudio Bartolini</cp:lastModifiedBy>
  <cp:lastPrinted>2025-11-24T20:50:12Z</cp:lastPrinted>
  <dcterms:created xsi:type="dcterms:W3CDTF">2025-10-05T22:02:24Z</dcterms:created>
  <dcterms:modified xsi:type="dcterms:W3CDTF">2025-11-25T23:19:23Z</dcterms:modified>
</cp:coreProperties>
</file>